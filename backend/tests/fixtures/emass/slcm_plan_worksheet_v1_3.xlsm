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1" codeName="{00000000-0000-0000-0000-000000000000}"/>
  <workbookPr filterPrivacy="1" codeName="ThisWorkbook"/>
  <xr:revisionPtr revIDLastSave="3" documentId="11_E41D1FEA4F86CD84A97D5ADD4BCA522EA5D0BC26" xr6:coauthVersionLast="47" xr6:coauthVersionMax="47" xr10:uidLastSave="{EE3E21F8-4548-4538-BD99-C8CF6B9A5166}"/>
  <bookViews>
    <workbookView xWindow="28680" yWindow="90" windowWidth="29040" windowHeight="15630" firstSheet="1" activeTab="1" xr2:uid="{00000000-000D-0000-FFFF-FFFF00000000}"/>
  </bookViews>
  <sheets>
    <sheet name="READ ME FIRST" sheetId="3" r:id="rId1"/>
    <sheet name="Final Results" sheetId="7" r:id="rId2"/>
    <sheet name="All Security Controls" sheetId="4" r:id="rId3"/>
  </sheets>
  <definedNames>
    <definedName name="_xlnm._FilterDatabase" localSheetId="2" hidden="1">'All Security Controls'!$A$1:$J$633</definedName>
    <definedName name="_xlnm._FilterDatabase" localSheetId="1" hidden="1">'Final Results'!$B$2:$J$2</definedName>
    <definedName name="_xlnm._FilterDatabase" localSheetId="0" hidden="1">'READ ME FIRST'!$V$1:$AC$633</definedName>
    <definedName name="CTRLPASTE">'READ ME FIRST'!$V$2:$V$801</definedName>
    <definedName name="SLCMFinal">'Final Results'!$B$3:$J$802</definedName>
    <definedName name="SLCMSet">'READ ME FIRST'!$V$2:$AD$801</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633" i="3" l="1"/>
  <c r="X633" i="3"/>
  <c r="Y633" i="3"/>
  <c r="Z633" i="3"/>
  <c r="AA633" i="3"/>
  <c r="AB633" i="3"/>
  <c r="AC633" i="3"/>
  <c r="W634" i="3"/>
  <c r="X634" i="3"/>
  <c r="Y634" i="3"/>
  <c r="Z634" i="3"/>
  <c r="AA634" i="3"/>
  <c r="AB634" i="3"/>
  <c r="AC634" i="3"/>
  <c r="W635" i="3"/>
  <c r="X635" i="3"/>
  <c r="Y635" i="3"/>
  <c r="Z635" i="3"/>
  <c r="AA635" i="3"/>
  <c r="AB635" i="3"/>
  <c r="AC635" i="3"/>
  <c r="W636" i="3"/>
  <c r="X636" i="3"/>
  <c r="Y636" i="3"/>
  <c r="Z636" i="3"/>
  <c r="AA636" i="3"/>
  <c r="AB636" i="3"/>
  <c r="AC636" i="3"/>
  <c r="W637" i="3"/>
  <c r="X637" i="3"/>
  <c r="Y637" i="3"/>
  <c r="Z637" i="3"/>
  <c r="AA637" i="3"/>
  <c r="AB637" i="3"/>
  <c r="AC637" i="3"/>
  <c r="W638" i="3"/>
  <c r="X638" i="3"/>
  <c r="Y638" i="3"/>
  <c r="Z638" i="3"/>
  <c r="AA638" i="3"/>
  <c r="AB638" i="3"/>
  <c r="AC638" i="3"/>
  <c r="W639" i="3"/>
  <c r="X639" i="3"/>
  <c r="Y639" i="3"/>
  <c r="Z639" i="3"/>
  <c r="AA639" i="3"/>
  <c r="AB639" i="3"/>
  <c r="AC639" i="3"/>
  <c r="W640" i="3"/>
  <c r="X640" i="3"/>
  <c r="Y640" i="3"/>
  <c r="Z640" i="3"/>
  <c r="AA640" i="3"/>
  <c r="AB640" i="3"/>
  <c r="AC640" i="3"/>
  <c r="W641" i="3"/>
  <c r="X641" i="3"/>
  <c r="Y641" i="3"/>
  <c r="Z641" i="3"/>
  <c r="AA641" i="3"/>
  <c r="AB641" i="3"/>
  <c r="AC641" i="3"/>
  <c r="W642" i="3"/>
  <c r="X642" i="3"/>
  <c r="Y642" i="3"/>
  <c r="Z642" i="3"/>
  <c r="AA642" i="3"/>
  <c r="AB642" i="3"/>
  <c r="AC642" i="3"/>
  <c r="W643" i="3"/>
  <c r="X643" i="3"/>
  <c r="Y643" i="3"/>
  <c r="Z643" i="3"/>
  <c r="AA643" i="3"/>
  <c r="AB643" i="3"/>
  <c r="AC643" i="3"/>
  <c r="W644" i="3"/>
  <c r="X644" i="3"/>
  <c r="Y644" i="3"/>
  <c r="Z644" i="3"/>
  <c r="AA644" i="3"/>
  <c r="AB644" i="3"/>
  <c r="AC644" i="3"/>
  <c r="W645" i="3"/>
  <c r="X645" i="3"/>
  <c r="Y645" i="3"/>
  <c r="Z645" i="3"/>
  <c r="AA645" i="3"/>
  <c r="AB645" i="3"/>
  <c r="AC645" i="3"/>
  <c r="W646" i="3"/>
  <c r="X646" i="3"/>
  <c r="Y646" i="3"/>
  <c r="Z646" i="3"/>
  <c r="AA646" i="3"/>
  <c r="AB646" i="3"/>
  <c r="AC646" i="3"/>
  <c r="W647" i="3"/>
  <c r="X647" i="3"/>
  <c r="Y647" i="3"/>
  <c r="Z647" i="3"/>
  <c r="AA647" i="3"/>
  <c r="AB647" i="3"/>
  <c r="AC647" i="3"/>
  <c r="W648" i="3"/>
  <c r="X648" i="3"/>
  <c r="Y648" i="3"/>
  <c r="Z648" i="3"/>
  <c r="AA648" i="3"/>
  <c r="AB648" i="3"/>
  <c r="AC648" i="3"/>
  <c r="W649" i="3"/>
  <c r="X649" i="3"/>
  <c r="Y649" i="3"/>
  <c r="Z649" i="3"/>
  <c r="AA649" i="3"/>
  <c r="AB649" i="3"/>
  <c r="AC649" i="3"/>
  <c r="W650" i="3"/>
  <c r="X650" i="3"/>
  <c r="Y650" i="3"/>
  <c r="Z650" i="3"/>
  <c r="AA650" i="3"/>
  <c r="AB650" i="3"/>
  <c r="AC650" i="3"/>
  <c r="W651" i="3"/>
  <c r="X651" i="3"/>
  <c r="Y651" i="3"/>
  <c r="Z651" i="3"/>
  <c r="AA651" i="3"/>
  <c r="AB651" i="3"/>
  <c r="AC651" i="3"/>
  <c r="W652" i="3"/>
  <c r="X652" i="3"/>
  <c r="Y652" i="3"/>
  <c r="Z652" i="3"/>
  <c r="AA652" i="3"/>
  <c r="AB652" i="3"/>
  <c r="AC652" i="3"/>
  <c r="W653" i="3"/>
  <c r="X653" i="3"/>
  <c r="Y653" i="3"/>
  <c r="Z653" i="3"/>
  <c r="AA653" i="3"/>
  <c r="AB653" i="3"/>
  <c r="AC653" i="3"/>
  <c r="W654" i="3"/>
  <c r="X654" i="3"/>
  <c r="Y654" i="3"/>
  <c r="Z654" i="3"/>
  <c r="AA654" i="3"/>
  <c r="AB654" i="3"/>
  <c r="AC654" i="3"/>
  <c r="W655" i="3"/>
  <c r="X655" i="3"/>
  <c r="Y655" i="3"/>
  <c r="Z655" i="3"/>
  <c r="AA655" i="3"/>
  <c r="AB655" i="3"/>
  <c r="AC655" i="3"/>
  <c r="W656" i="3"/>
  <c r="X656" i="3"/>
  <c r="Y656" i="3"/>
  <c r="Z656" i="3"/>
  <c r="AA656" i="3"/>
  <c r="AB656" i="3"/>
  <c r="AC656" i="3"/>
  <c r="W657" i="3"/>
  <c r="X657" i="3"/>
  <c r="Y657" i="3"/>
  <c r="Z657" i="3"/>
  <c r="AA657" i="3"/>
  <c r="AB657" i="3"/>
  <c r="AC657" i="3"/>
  <c r="W658" i="3"/>
  <c r="X658" i="3"/>
  <c r="Y658" i="3"/>
  <c r="Z658" i="3"/>
  <c r="AA658" i="3"/>
  <c r="AB658" i="3"/>
  <c r="AC658" i="3"/>
  <c r="W659" i="3"/>
  <c r="X659" i="3"/>
  <c r="Y659" i="3"/>
  <c r="Z659" i="3"/>
  <c r="AA659" i="3"/>
  <c r="AB659" i="3"/>
  <c r="AC659" i="3"/>
  <c r="W660" i="3"/>
  <c r="X660" i="3"/>
  <c r="Y660" i="3"/>
  <c r="Z660" i="3"/>
  <c r="AA660" i="3"/>
  <c r="AB660" i="3"/>
  <c r="AC660" i="3"/>
  <c r="W661" i="3"/>
  <c r="X661" i="3"/>
  <c r="Y661" i="3"/>
  <c r="Z661" i="3"/>
  <c r="AA661" i="3"/>
  <c r="AB661" i="3"/>
  <c r="AC661" i="3"/>
  <c r="W662" i="3"/>
  <c r="X662" i="3"/>
  <c r="Y662" i="3"/>
  <c r="Z662" i="3"/>
  <c r="AA662" i="3"/>
  <c r="AB662" i="3"/>
  <c r="AC662" i="3"/>
  <c r="W663" i="3"/>
  <c r="X663" i="3"/>
  <c r="Y663" i="3"/>
  <c r="Z663" i="3"/>
  <c r="AA663" i="3"/>
  <c r="AB663" i="3"/>
  <c r="AC663" i="3"/>
  <c r="W664" i="3"/>
  <c r="X664" i="3"/>
  <c r="Y664" i="3"/>
  <c r="Z664" i="3"/>
  <c r="AA664" i="3"/>
  <c r="AB664" i="3"/>
  <c r="AC664" i="3"/>
  <c r="W665" i="3"/>
  <c r="X665" i="3"/>
  <c r="Y665" i="3"/>
  <c r="Z665" i="3"/>
  <c r="AA665" i="3"/>
  <c r="AB665" i="3"/>
  <c r="AC665" i="3"/>
  <c r="W666" i="3"/>
  <c r="X666" i="3"/>
  <c r="Y666" i="3"/>
  <c r="Z666" i="3"/>
  <c r="AA666" i="3"/>
  <c r="AB666" i="3"/>
  <c r="AC666" i="3"/>
  <c r="W667" i="3"/>
  <c r="X667" i="3"/>
  <c r="Y667" i="3"/>
  <c r="Z667" i="3"/>
  <c r="AA667" i="3"/>
  <c r="AB667" i="3"/>
  <c r="AC667" i="3"/>
  <c r="W668" i="3"/>
  <c r="X668" i="3"/>
  <c r="Y668" i="3"/>
  <c r="Z668" i="3"/>
  <c r="AA668" i="3"/>
  <c r="AB668" i="3"/>
  <c r="AC668" i="3"/>
  <c r="W669" i="3"/>
  <c r="X669" i="3"/>
  <c r="Y669" i="3"/>
  <c r="Z669" i="3"/>
  <c r="AA669" i="3"/>
  <c r="AB669" i="3"/>
  <c r="AC669" i="3"/>
  <c r="W670" i="3"/>
  <c r="X670" i="3"/>
  <c r="Y670" i="3"/>
  <c r="Z670" i="3"/>
  <c r="AA670" i="3"/>
  <c r="AB670" i="3"/>
  <c r="AC670" i="3"/>
  <c r="W671" i="3"/>
  <c r="X671" i="3"/>
  <c r="Y671" i="3"/>
  <c r="Z671" i="3"/>
  <c r="AA671" i="3"/>
  <c r="AB671" i="3"/>
  <c r="AC671" i="3"/>
  <c r="W672" i="3"/>
  <c r="X672" i="3"/>
  <c r="Y672" i="3"/>
  <c r="Z672" i="3"/>
  <c r="AA672" i="3"/>
  <c r="AB672" i="3"/>
  <c r="AC672" i="3"/>
  <c r="W673" i="3"/>
  <c r="X673" i="3"/>
  <c r="Y673" i="3"/>
  <c r="Z673" i="3"/>
  <c r="AA673" i="3"/>
  <c r="AB673" i="3"/>
  <c r="AC673" i="3"/>
  <c r="W674" i="3"/>
  <c r="X674" i="3"/>
  <c r="Y674" i="3"/>
  <c r="Z674" i="3"/>
  <c r="AA674" i="3"/>
  <c r="AB674" i="3"/>
  <c r="AC674" i="3"/>
  <c r="W675" i="3"/>
  <c r="X675" i="3"/>
  <c r="Y675" i="3"/>
  <c r="Z675" i="3"/>
  <c r="AA675" i="3"/>
  <c r="AB675" i="3"/>
  <c r="AC675" i="3"/>
  <c r="W676" i="3"/>
  <c r="X676" i="3"/>
  <c r="Y676" i="3"/>
  <c r="Z676" i="3"/>
  <c r="AA676" i="3"/>
  <c r="AB676" i="3"/>
  <c r="AC676" i="3"/>
  <c r="W677" i="3"/>
  <c r="X677" i="3"/>
  <c r="Y677" i="3"/>
  <c r="Z677" i="3"/>
  <c r="AA677" i="3"/>
  <c r="AB677" i="3"/>
  <c r="AC677" i="3"/>
  <c r="W678" i="3"/>
  <c r="X678" i="3"/>
  <c r="Y678" i="3"/>
  <c r="Z678" i="3"/>
  <c r="AA678" i="3"/>
  <c r="AB678" i="3"/>
  <c r="AC678" i="3"/>
  <c r="W679" i="3"/>
  <c r="X679" i="3"/>
  <c r="Y679" i="3"/>
  <c r="Z679" i="3"/>
  <c r="AA679" i="3"/>
  <c r="AB679" i="3"/>
  <c r="AC679" i="3"/>
  <c r="W680" i="3"/>
  <c r="X680" i="3"/>
  <c r="Y680" i="3"/>
  <c r="Z680" i="3"/>
  <c r="AA680" i="3"/>
  <c r="AB680" i="3"/>
  <c r="AC680" i="3"/>
  <c r="W681" i="3"/>
  <c r="X681" i="3"/>
  <c r="Y681" i="3"/>
  <c r="Z681" i="3"/>
  <c r="AA681" i="3"/>
  <c r="AB681" i="3"/>
  <c r="AC681" i="3"/>
  <c r="W682" i="3"/>
  <c r="X682" i="3"/>
  <c r="Y682" i="3"/>
  <c r="Z682" i="3"/>
  <c r="AA682" i="3"/>
  <c r="AB682" i="3"/>
  <c r="AC682" i="3"/>
  <c r="W683" i="3"/>
  <c r="X683" i="3"/>
  <c r="Y683" i="3"/>
  <c r="Z683" i="3"/>
  <c r="AA683" i="3"/>
  <c r="AB683" i="3"/>
  <c r="AC683" i="3"/>
  <c r="W684" i="3"/>
  <c r="X684" i="3"/>
  <c r="Y684" i="3"/>
  <c r="Z684" i="3"/>
  <c r="AA684" i="3"/>
  <c r="AB684" i="3"/>
  <c r="AC684" i="3"/>
  <c r="W685" i="3"/>
  <c r="X685" i="3"/>
  <c r="Y685" i="3"/>
  <c r="Z685" i="3"/>
  <c r="AA685" i="3"/>
  <c r="AB685" i="3"/>
  <c r="AC685" i="3"/>
  <c r="W686" i="3"/>
  <c r="X686" i="3"/>
  <c r="Y686" i="3"/>
  <c r="Z686" i="3"/>
  <c r="AA686" i="3"/>
  <c r="AB686" i="3"/>
  <c r="AC686" i="3"/>
  <c r="W687" i="3"/>
  <c r="X687" i="3"/>
  <c r="Y687" i="3"/>
  <c r="Z687" i="3"/>
  <c r="AA687" i="3"/>
  <c r="AB687" i="3"/>
  <c r="AC687" i="3"/>
  <c r="W688" i="3"/>
  <c r="X688" i="3"/>
  <c r="Y688" i="3"/>
  <c r="Z688" i="3"/>
  <c r="AA688" i="3"/>
  <c r="AB688" i="3"/>
  <c r="AC688" i="3"/>
  <c r="W689" i="3"/>
  <c r="X689" i="3"/>
  <c r="Y689" i="3"/>
  <c r="Z689" i="3"/>
  <c r="AA689" i="3"/>
  <c r="AB689" i="3"/>
  <c r="AC689" i="3"/>
  <c r="W690" i="3"/>
  <c r="X690" i="3"/>
  <c r="Y690" i="3"/>
  <c r="Z690" i="3"/>
  <c r="AA690" i="3"/>
  <c r="AB690" i="3"/>
  <c r="AC690" i="3"/>
  <c r="W691" i="3"/>
  <c r="X691" i="3"/>
  <c r="Y691" i="3"/>
  <c r="Z691" i="3"/>
  <c r="AA691" i="3"/>
  <c r="AB691" i="3"/>
  <c r="AC691" i="3"/>
  <c r="W692" i="3"/>
  <c r="X692" i="3"/>
  <c r="Y692" i="3"/>
  <c r="Z692" i="3"/>
  <c r="AA692" i="3"/>
  <c r="AB692" i="3"/>
  <c r="AC692" i="3"/>
  <c r="W693" i="3"/>
  <c r="X693" i="3"/>
  <c r="Y693" i="3"/>
  <c r="Z693" i="3"/>
  <c r="AA693" i="3"/>
  <c r="AB693" i="3"/>
  <c r="AC693" i="3"/>
  <c r="W694" i="3"/>
  <c r="X694" i="3"/>
  <c r="Y694" i="3"/>
  <c r="Z694" i="3"/>
  <c r="AA694" i="3"/>
  <c r="AB694" i="3"/>
  <c r="AC694" i="3"/>
  <c r="W695" i="3"/>
  <c r="X695" i="3"/>
  <c r="Y695" i="3"/>
  <c r="Z695" i="3"/>
  <c r="AA695" i="3"/>
  <c r="AB695" i="3"/>
  <c r="AC695" i="3"/>
  <c r="W696" i="3"/>
  <c r="X696" i="3"/>
  <c r="Y696" i="3"/>
  <c r="Z696" i="3"/>
  <c r="AA696" i="3"/>
  <c r="AB696" i="3"/>
  <c r="AC696" i="3"/>
  <c r="W697" i="3"/>
  <c r="X697" i="3"/>
  <c r="Y697" i="3"/>
  <c r="Z697" i="3"/>
  <c r="AA697" i="3"/>
  <c r="AB697" i="3"/>
  <c r="AC697" i="3"/>
  <c r="W698" i="3"/>
  <c r="X698" i="3"/>
  <c r="Y698" i="3"/>
  <c r="Z698" i="3"/>
  <c r="AA698" i="3"/>
  <c r="AB698" i="3"/>
  <c r="AC698" i="3"/>
  <c r="W699" i="3"/>
  <c r="X699" i="3"/>
  <c r="Y699" i="3"/>
  <c r="Z699" i="3"/>
  <c r="AA699" i="3"/>
  <c r="AB699" i="3"/>
  <c r="AC699" i="3"/>
  <c r="W700" i="3"/>
  <c r="X700" i="3"/>
  <c r="Y700" i="3"/>
  <c r="Z700" i="3"/>
  <c r="AA700" i="3"/>
  <c r="AB700" i="3"/>
  <c r="AC700" i="3"/>
  <c r="W701" i="3"/>
  <c r="X701" i="3"/>
  <c r="Y701" i="3"/>
  <c r="Z701" i="3"/>
  <c r="AA701" i="3"/>
  <c r="AB701" i="3"/>
  <c r="AC701" i="3"/>
  <c r="W702" i="3"/>
  <c r="X702" i="3"/>
  <c r="Y702" i="3"/>
  <c r="Z702" i="3"/>
  <c r="AA702" i="3"/>
  <c r="AB702" i="3"/>
  <c r="AC702" i="3"/>
  <c r="W703" i="3"/>
  <c r="X703" i="3"/>
  <c r="Y703" i="3"/>
  <c r="Z703" i="3"/>
  <c r="AA703" i="3"/>
  <c r="AB703" i="3"/>
  <c r="AC703" i="3"/>
  <c r="W704" i="3"/>
  <c r="X704" i="3"/>
  <c r="Y704" i="3"/>
  <c r="Z704" i="3"/>
  <c r="AA704" i="3"/>
  <c r="AB704" i="3"/>
  <c r="AC704" i="3"/>
  <c r="W705" i="3"/>
  <c r="X705" i="3"/>
  <c r="Y705" i="3"/>
  <c r="Z705" i="3"/>
  <c r="AA705" i="3"/>
  <c r="AB705" i="3"/>
  <c r="AC705" i="3"/>
  <c r="W706" i="3"/>
  <c r="X706" i="3"/>
  <c r="Y706" i="3"/>
  <c r="Z706" i="3"/>
  <c r="AA706" i="3"/>
  <c r="AB706" i="3"/>
  <c r="AC706" i="3"/>
  <c r="W707" i="3"/>
  <c r="X707" i="3"/>
  <c r="Y707" i="3"/>
  <c r="Z707" i="3"/>
  <c r="AA707" i="3"/>
  <c r="AB707" i="3"/>
  <c r="AC707" i="3"/>
  <c r="W708" i="3"/>
  <c r="X708" i="3"/>
  <c r="Y708" i="3"/>
  <c r="Z708" i="3"/>
  <c r="AA708" i="3"/>
  <c r="AB708" i="3"/>
  <c r="AC708" i="3"/>
  <c r="W709" i="3"/>
  <c r="X709" i="3"/>
  <c r="Y709" i="3"/>
  <c r="Z709" i="3"/>
  <c r="AA709" i="3"/>
  <c r="AB709" i="3"/>
  <c r="AC709" i="3"/>
  <c r="W710" i="3"/>
  <c r="X710" i="3"/>
  <c r="Y710" i="3"/>
  <c r="Z710" i="3"/>
  <c r="AA710" i="3"/>
  <c r="AB710" i="3"/>
  <c r="AC710" i="3"/>
  <c r="W711" i="3"/>
  <c r="X711" i="3"/>
  <c r="Y711" i="3"/>
  <c r="Z711" i="3"/>
  <c r="AA711" i="3"/>
  <c r="AB711" i="3"/>
  <c r="AC711" i="3"/>
  <c r="W712" i="3"/>
  <c r="X712" i="3"/>
  <c r="Y712" i="3"/>
  <c r="Z712" i="3"/>
  <c r="AA712" i="3"/>
  <c r="AB712" i="3"/>
  <c r="AC712" i="3"/>
  <c r="W713" i="3"/>
  <c r="X713" i="3"/>
  <c r="Y713" i="3"/>
  <c r="Z713" i="3"/>
  <c r="AA713" i="3"/>
  <c r="AB713" i="3"/>
  <c r="AC713" i="3"/>
  <c r="W714" i="3"/>
  <c r="X714" i="3"/>
  <c r="Y714" i="3"/>
  <c r="Z714" i="3"/>
  <c r="AA714" i="3"/>
  <c r="AB714" i="3"/>
  <c r="AC714" i="3"/>
  <c r="W715" i="3"/>
  <c r="X715" i="3"/>
  <c r="Y715" i="3"/>
  <c r="Z715" i="3"/>
  <c r="AA715" i="3"/>
  <c r="AB715" i="3"/>
  <c r="AC715" i="3"/>
  <c r="W716" i="3"/>
  <c r="X716" i="3"/>
  <c r="Y716" i="3"/>
  <c r="Z716" i="3"/>
  <c r="AA716" i="3"/>
  <c r="AB716" i="3"/>
  <c r="AC716" i="3"/>
  <c r="W717" i="3"/>
  <c r="X717" i="3"/>
  <c r="Y717" i="3"/>
  <c r="Z717" i="3"/>
  <c r="AA717" i="3"/>
  <c r="AB717" i="3"/>
  <c r="AC717" i="3"/>
  <c r="W718" i="3"/>
  <c r="X718" i="3"/>
  <c r="Y718" i="3"/>
  <c r="Z718" i="3"/>
  <c r="AA718" i="3"/>
  <c r="AB718" i="3"/>
  <c r="AC718" i="3"/>
  <c r="W719" i="3"/>
  <c r="X719" i="3"/>
  <c r="Y719" i="3"/>
  <c r="Z719" i="3"/>
  <c r="AA719" i="3"/>
  <c r="AB719" i="3"/>
  <c r="AC719" i="3"/>
  <c r="W720" i="3"/>
  <c r="X720" i="3"/>
  <c r="Y720" i="3"/>
  <c r="Z720" i="3"/>
  <c r="AA720" i="3"/>
  <c r="AB720" i="3"/>
  <c r="AC720" i="3"/>
  <c r="W721" i="3"/>
  <c r="X721" i="3"/>
  <c r="Y721" i="3"/>
  <c r="Z721" i="3"/>
  <c r="AA721" i="3"/>
  <c r="AB721" i="3"/>
  <c r="AC721" i="3"/>
  <c r="W722" i="3"/>
  <c r="X722" i="3"/>
  <c r="Y722" i="3"/>
  <c r="Z722" i="3"/>
  <c r="AA722" i="3"/>
  <c r="AB722" i="3"/>
  <c r="AC722" i="3"/>
  <c r="W723" i="3"/>
  <c r="X723" i="3"/>
  <c r="Y723" i="3"/>
  <c r="Z723" i="3"/>
  <c r="AA723" i="3"/>
  <c r="AB723" i="3"/>
  <c r="AC723" i="3"/>
  <c r="W724" i="3"/>
  <c r="X724" i="3"/>
  <c r="Y724" i="3"/>
  <c r="Z724" i="3"/>
  <c r="AA724" i="3"/>
  <c r="AB724" i="3"/>
  <c r="AC724" i="3"/>
  <c r="W725" i="3"/>
  <c r="X725" i="3"/>
  <c r="Y725" i="3"/>
  <c r="Z725" i="3"/>
  <c r="AA725" i="3"/>
  <c r="AB725" i="3"/>
  <c r="AC725" i="3"/>
  <c r="W726" i="3"/>
  <c r="X726" i="3"/>
  <c r="Y726" i="3"/>
  <c r="Z726" i="3"/>
  <c r="AA726" i="3"/>
  <c r="AB726" i="3"/>
  <c r="AC726" i="3"/>
  <c r="W727" i="3"/>
  <c r="X727" i="3"/>
  <c r="Y727" i="3"/>
  <c r="Z727" i="3"/>
  <c r="AA727" i="3"/>
  <c r="AB727" i="3"/>
  <c r="AC727" i="3"/>
  <c r="W728" i="3"/>
  <c r="X728" i="3"/>
  <c r="Y728" i="3"/>
  <c r="Z728" i="3"/>
  <c r="AA728" i="3"/>
  <c r="AB728" i="3"/>
  <c r="AC728" i="3"/>
  <c r="W729" i="3"/>
  <c r="X729" i="3"/>
  <c r="Y729" i="3"/>
  <c r="Z729" i="3"/>
  <c r="AA729" i="3"/>
  <c r="AB729" i="3"/>
  <c r="AC729" i="3"/>
  <c r="W730" i="3"/>
  <c r="X730" i="3"/>
  <c r="Y730" i="3"/>
  <c r="Z730" i="3"/>
  <c r="AA730" i="3"/>
  <c r="AB730" i="3"/>
  <c r="AC730" i="3"/>
  <c r="W731" i="3"/>
  <c r="X731" i="3"/>
  <c r="Y731" i="3"/>
  <c r="Z731" i="3"/>
  <c r="AA731" i="3"/>
  <c r="AB731" i="3"/>
  <c r="AC731" i="3"/>
  <c r="W732" i="3"/>
  <c r="X732" i="3"/>
  <c r="Y732" i="3"/>
  <c r="Z732" i="3"/>
  <c r="AA732" i="3"/>
  <c r="AB732" i="3"/>
  <c r="AC732" i="3"/>
  <c r="W733" i="3"/>
  <c r="X733" i="3"/>
  <c r="Y733" i="3"/>
  <c r="Z733" i="3"/>
  <c r="AA733" i="3"/>
  <c r="AB733" i="3"/>
  <c r="AC733" i="3"/>
  <c r="W734" i="3"/>
  <c r="X734" i="3"/>
  <c r="Y734" i="3"/>
  <c r="Z734" i="3"/>
  <c r="AA734" i="3"/>
  <c r="AB734" i="3"/>
  <c r="AC734" i="3"/>
  <c r="W735" i="3"/>
  <c r="X735" i="3"/>
  <c r="Y735" i="3"/>
  <c r="Z735" i="3"/>
  <c r="AA735" i="3"/>
  <c r="AB735" i="3"/>
  <c r="AC735" i="3"/>
  <c r="W736" i="3"/>
  <c r="X736" i="3"/>
  <c r="Y736" i="3"/>
  <c r="Z736" i="3"/>
  <c r="AA736" i="3"/>
  <c r="AB736" i="3"/>
  <c r="AC736" i="3"/>
  <c r="W737" i="3"/>
  <c r="X737" i="3"/>
  <c r="Y737" i="3"/>
  <c r="Z737" i="3"/>
  <c r="AA737" i="3"/>
  <c r="AB737" i="3"/>
  <c r="AC737" i="3"/>
  <c r="W738" i="3"/>
  <c r="X738" i="3"/>
  <c r="Y738" i="3"/>
  <c r="Z738" i="3"/>
  <c r="AA738" i="3"/>
  <c r="AB738" i="3"/>
  <c r="AC738" i="3"/>
  <c r="W739" i="3"/>
  <c r="X739" i="3"/>
  <c r="Y739" i="3"/>
  <c r="Z739" i="3"/>
  <c r="AA739" i="3"/>
  <c r="AB739" i="3"/>
  <c r="AC739" i="3"/>
  <c r="W740" i="3"/>
  <c r="X740" i="3"/>
  <c r="Y740" i="3"/>
  <c r="Z740" i="3"/>
  <c r="AA740" i="3"/>
  <c r="AB740" i="3"/>
  <c r="AC740" i="3"/>
  <c r="W741" i="3"/>
  <c r="X741" i="3"/>
  <c r="Y741" i="3"/>
  <c r="Z741" i="3"/>
  <c r="AA741" i="3"/>
  <c r="AB741" i="3"/>
  <c r="AC741" i="3"/>
  <c r="W742" i="3"/>
  <c r="X742" i="3"/>
  <c r="Y742" i="3"/>
  <c r="Z742" i="3"/>
  <c r="AA742" i="3"/>
  <c r="AB742" i="3"/>
  <c r="AC742" i="3"/>
  <c r="W743" i="3"/>
  <c r="X743" i="3"/>
  <c r="Y743" i="3"/>
  <c r="Z743" i="3"/>
  <c r="AA743" i="3"/>
  <c r="AB743" i="3"/>
  <c r="AC743" i="3"/>
  <c r="W744" i="3"/>
  <c r="X744" i="3"/>
  <c r="Y744" i="3"/>
  <c r="Z744" i="3"/>
  <c r="AA744" i="3"/>
  <c r="AB744" i="3"/>
  <c r="AC744" i="3"/>
  <c r="W745" i="3"/>
  <c r="X745" i="3"/>
  <c r="Y745" i="3"/>
  <c r="Z745" i="3"/>
  <c r="AA745" i="3"/>
  <c r="AB745" i="3"/>
  <c r="AC745" i="3"/>
  <c r="W746" i="3"/>
  <c r="X746" i="3"/>
  <c r="Y746" i="3"/>
  <c r="Z746" i="3"/>
  <c r="AA746" i="3"/>
  <c r="AB746" i="3"/>
  <c r="AC746" i="3"/>
  <c r="W747" i="3"/>
  <c r="X747" i="3"/>
  <c r="Y747" i="3"/>
  <c r="Z747" i="3"/>
  <c r="AA747" i="3"/>
  <c r="AB747" i="3"/>
  <c r="AC747" i="3"/>
  <c r="W748" i="3"/>
  <c r="X748" i="3"/>
  <c r="Y748" i="3"/>
  <c r="Z748" i="3"/>
  <c r="AA748" i="3"/>
  <c r="AB748" i="3"/>
  <c r="AC748" i="3"/>
  <c r="W749" i="3"/>
  <c r="X749" i="3"/>
  <c r="Y749" i="3"/>
  <c r="Z749" i="3"/>
  <c r="AA749" i="3"/>
  <c r="AB749" i="3"/>
  <c r="AC749" i="3"/>
  <c r="W750" i="3"/>
  <c r="X750" i="3"/>
  <c r="Y750" i="3"/>
  <c r="Z750" i="3"/>
  <c r="AA750" i="3"/>
  <c r="AB750" i="3"/>
  <c r="AC750" i="3"/>
  <c r="W751" i="3"/>
  <c r="X751" i="3"/>
  <c r="Y751" i="3"/>
  <c r="Z751" i="3"/>
  <c r="AA751" i="3"/>
  <c r="AB751" i="3"/>
  <c r="AC751" i="3"/>
  <c r="W752" i="3"/>
  <c r="X752" i="3"/>
  <c r="Y752" i="3"/>
  <c r="Z752" i="3"/>
  <c r="AA752" i="3"/>
  <c r="AB752" i="3"/>
  <c r="AC752" i="3"/>
  <c r="W753" i="3"/>
  <c r="X753" i="3"/>
  <c r="Y753" i="3"/>
  <c r="Z753" i="3"/>
  <c r="AA753" i="3"/>
  <c r="AB753" i="3"/>
  <c r="AC753" i="3"/>
  <c r="W754" i="3"/>
  <c r="X754" i="3"/>
  <c r="Y754" i="3"/>
  <c r="Z754" i="3"/>
  <c r="AA754" i="3"/>
  <c r="AB754" i="3"/>
  <c r="AC754" i="3"/>
  <c r="W755" i="3"/>
  <c r="X755" i="3"/>
  <c r="Y755" i="3"/>
  <c r="Z755" i="3"/>
  <c r="AA755" i="3"/>
  <c r="AB755" i="3"/>
  <c r="AC755" i="3"/>
  <c r="W756" i="3"/>
  <c r="X756" i="3"/>
  <c r="Y756" i="3"/>
  <c r="Z756" i="3"/>
  <c r="AA756" i="3"/>
  <c r="AB756" i="3"/>
  <c r="AC756" i="3"/>
  <c r="W757" i="3"/>
  <c r="X757" i="3"/>
  <c r="Y757" i="3"/>
  <c r="Z757" i="3"/>
  <c r="AA757" i="3"/>
  <c r="AB757" i="3"/>
  <c r="AC757" i="3"/>
  <c r="W758" i="3"/>
  <c r="X758" i="3"/>
  <c r="Y758" i="3"/>
  <c r="Z758" i="3"/>
  <c r="AA758" i="3"/>
  <c r="AB758" i="3"/>
  <c r="AC758" i="3"/>
  <c r="W759" i="3"/>
  <c r="X759" i="3"/>
  <c r="Y759" i="3"/>
  <c r="Z759" i="3"/>
  <c r="AA759" i="3"/>
  <c r="AB759" i="3"/>
  <c r="AC759" i="3"/>
  <c r="W760" i="3"/>
  <c r="X760" i="3"/>
  <c r="Y760" i="3"/>
  <c r="Z760" i="3"/>
  <c r="AA760" i="3"/>
  <c r="AB760" i="3"/>
  <c r="AC760" i="3"/>
  <c r="W761" i="3"/>
  <c r="X761" i="3"/>
  <c r="Y761" i="3"/>
  <c r="Z761" i="3"/>
  <c r="AA761" i="3"/>
  <c r="AB761" i="3"/>
  <c r="AC761" i="3"/>
  <c r="W762" i="3"/>
  <c r="X762" i="3"/>
  <c r="Y762" i="3"/>
  <c r="Z762" i="3"/>
  <c r="AA762" i="3"/>
  <c r="AB762" i="3"/>
  <c r="AC762" i="3"/>
  <c r="W763" i="3"/>
  <c r="X763" i="3"/>
  <c r="Y763" i="3"/>
  <c r="Z763" i="3"/>
  <c r="AA763" i="3"/>
  <c r="AB763" i="3"/>
  <c r="AC763" i="3"/>
  <c r="W764" i="3"/>
  <c r="X764" i="3"/>
  <c r="Y764" i="3"/>
  <c r="Z764" i="3"/>
  <c r="AA764" i="3"/>
  <c r="AB764" i="3"/>
  <c r="AC764" i="3"/>
  <c r="W765" i="3"/>
  <c r="X765" i="3"/>
  <c r="Y765" i="3"/>
  <c r="Z765" i="3"/>
  <c r="AA765" i="3"/>
  <c r="AB765" i="3"/>
  <c r="AC765" i="3"/>
  <c r="W766" i="3"/>
  <c r="X766" i="3"/>
  <c r="Y766" i="3"/>
  <c r="Z766" i="3"/>
  <c r="AA766" i="3"/>
  <c r="AB766" i="3"/>
  <c r="AC766" i="3"/>
  <c r="W767" i="3"/>
  <c r="X767" i="3"/>
  <c r="Y767" i="3"/>
  <c r="Z767" i="3"/>
  <c r="AA767" i="3"/>
  <c r="AB767" i="3"/>
  <c r="AC767" i="3"/>
  <c r="W768" i="3"/>
  <c r="X768" i="3"/>
  <c r="Y768" i="3"/>
  <c r="Z768" i="3"/>
  <c r="AA768" i="3"/>
  <c r="AB768" i="3"/>
  <c r="AC768" i="3"/>
  <c r="W769" i="3"/>
  <c r="X769" i="3"/>
  <c r="Y769" i="3"/>
  <c r="Z769" i="3"/>
  <c r="AA769" i="3"/>
  <c r="AB769" i="3"/>
  <c r="AC769" i="3"/>
  <c r="W770" i="3"/>
  <c r="X770" i="3"/>
  <c r="Y770" i="3"/>
  <c r="Z770" i="3"/>
  <c r="AA770" i="3"/>
  <c r="AB770" i="3"/>
  <c r="AC770" i="3"/>
  <c r="W771" i="3"/>
  <c r="X771" i="3"/>
  <c r="Y771" i="3"/>
  <c r="Z771" i="3"/>
  <c r="AA771" i="3"/>
  <c r="AB771" i="3"/>
  <c r="AC771" i="3"/>
  <c r="W772" i="3"/>
  <c r="X772" i="3"/>
  <c r="Y772" i="3"/>
  <c r="Z772" i="3"/>
  <c r="AA772" i="3"/>
  <c r="AB772" i="3"/>
  <c r="AC772" i="3"/>
  <c r="W773" i="3"/>
  <c r="X773" i="3"/>
  <c r="Y773" i="3"/>
  <c r="Z773" i="3"/>
  <c r="AA773" i="3"/>
  <c r="AB773" i="3"/>
  <c r="AC773" i="3"/>
  <c r="W774" i="3"/>
  <c r="X774" i="3"/>
  <c r="Y774" i="3"/>
  <c r="Z774" i="3"/>
  <c r="AA774" i="3"/>
  <c r="AB774" i="3"/>
  <c r="AC774" i="3"/>
  <c r="W775" i="3"/>
  <c r="X775" i="3"/>
  <c r="Y775" i="3"/>
  <c r="Z775" i="3"/>
  <c r="AA775" i="3"/>
  <c r="AB775" i="3"/>
  <c r="AC775" i="3"/>
  <c r="W776" i="3"/>
  <c r="X776" i="3"/>
  <c r="Y776" i="3"/>
  <c r="Z776" i="3"/>
  <c r="AA776" i="3"/>
  <c r="AB776" i="3"/>
  <c r="AC776" i="3"/>
  <c r="W777" i="3"/>
  <c r="X777" i="3"/>
  <c r="Y777" i="3"/>
  <c r="Z777" i="3"/>
  <c r="AA777" i="3"/>
  <c r="AB777" i="3"/>
  <c r="AC777" i="3"/>
  <c r="W778" i="3"/>
  <c r="X778" i="3"/>
  <c r="Y778" i="3"/>
  <c r="Z778" i="3"/>
  <c r="AA778" i="3"/>
  <c r="AB778" i="3"/>
  <c r="AC778" i="3"/>
  <c r="W779" i="3"/>
  <c r="X779" i="3"/>
  <c r="Y779" i="3"/>
  <c r="Z779" i="3"/>
  <c r="AA779" i="3"/>
  <c r="AB779" i="3"/>
  <c r="AC779" i="3"/>
  <c r="W780" i="3"/>
  <c r="X780" i="3"/>
  <c r="Y780" i="3"/>
  <c r="Z780" i="3"/>
  <c r="AA780" i="3"/>
  <c r="AB780" i="3"/>
  <c r="AC780" i="3"/>
  <c r="W781" i="3"/>
  <c r="X781" i="3"/>
  <c r="Y781" i="3"/>
  <c r="Z781" i="3"/>
  <c r="AA781" i="3"/>
  <c r="AB781" i="3"/>
  <c r="AC781" i="3"/>
  <c r="W782" i="3"/>
  <c r="X782" i="3"/>
  <c r="Y782" i="3"/>
  <c r="Z782" i="3"/>
  <c r="AA782" i="3"/>
  <c r="AB782" i="3"/>
  <c r="AC782" i="3"/>
  <c r="W783" i="3"/>
  <c r="X783" i="3"/>
  <c r="Y783" i="3"/>
  <c r="Z783" i="3"/>
  <c r="AA783" i="3"/>
  <c r="AB783" i="3"/>
  <c r="AC783" i="3"/>
  <c r="W784" i="3"/>
  <c r="X784" i="3"/>
  <c r="Y784" i="3"/>
  <c r="Z784" i="3"/>
  <c r="AA784" i="3"/>
  <c r="AB784" i="3"/>
  <c r="AC784" i="3"/>
  <c r="W785" i="3"/>
  <c r="X785" i="3"/>
  <c r="Y785" i="3"/>
  <c r="Z785" i="3"/>
  <c r="AA785" i="3"/>
  <c r="AB785" i="3"/>
  <c r="AC785" i="3"/>
  <c r="W786" i="3"/>
  <c r="X786" i="3"/>
  <c r="Y786" i="3"/>
  <c r="Z786" i="3"/>
  <c r="AA786" i="3"/>
  <c r="AB786" i="3"/>
  <c r="AC786" i="3"/>
  <c r="W787" i="3"/>
  <c r="X787" i="3"/>
  <c r="Y787" i="3"/>
  <c r="Z787" i="3"/>
  <c r="AA787" i="3"/>
  <c r="AB787" i="3"/>
  <c r="AC787" i="3"/>
  <c r="W788" i="3"/>
  <c r="X788" i="3"/>
  <c r="Y788" i="3"/>
  <c r="Z788" i="3"/>
  <c r="AA788" i="3"/>
  <c r="AB788" i="3"/>
  <c r="AC788" i="3"/>
  <c r="W789" i="3"/>
  <c r="X789" i="3"/>
  <c r="Y789" i="3"/>
  <c r="Z789" i="3"/>
  <c r="AA789" i="3"/>
  <c r="AB789" i="3"/>
  <c r="AC789" i="3"/>
  <c r="W790" i="3"/>
  <c r="X790" i="3"/>
  <c r="Y790" i="3"/>
  <c r="Z790" i="3"/>
  <c r="AA790" i="3"/>
  <c r="AB790" i="3"/>
  <c r="AC790" i="3"/>
  <c r="W791" i="3"/>
  <c r="X791" i="3"/>
  <c r="Y791" i="3"/>
  <c r="Z791" i="3"/>
  <c r="AA791" i="3"/>
  <c r="AB791" i="3"/>
  <c r="AC791" i="3"/>
  <c r="W792" i="3"/>
  <c r="X792" i="3"/>
  <c r="Y792" i="3"/>
  <c r="Z792" i="3"/>
  <c r="AA792" i="3"/>
  <c r="AB792" i="3"/>
  <c r="AC792" i="3"/>
  <c r="W793" i="3"/>
  <c r="X793" i="3"/>
  <c r="Y793" i="3"/>
  <c r="Z793" i="3"/>
  <c r="AA793" i="3"/>
  <c r="AB793" i="3"/>
  <c r="AC793" i="3"/>
  <c r="W794" i="3"/>
  <c r="X794" i="3"/>
  <c r="Y794" i="3"/>
  <c r="Z794" i="3"/>
  <c r="AA794" i="3"/>
  <c r="AB794" i="3"/>
  <c r="AC794" i="3"/>
  <c r="W795" i="3"/>
  <c r="X795" i="3"/>
  <c r="Y795" i="3"/>
  <c r="Z795" i="3"/>
  <c r="AA795" i="3"/>
  <c r="AB795" i="3"/>
  <c r="AC795" i="3"/>
  <c r="W796" i="3"/>
  <c r="X796" i="3"/>
  <c r="Y796" i="3"/>
  <c r="Z796" i="3"/>
  <c r="AA796" i="3"/>
  <c r="AB796" i="3"/>
  <c r="AC796" i="3"/>
  <c r="W797" i="3"/>
  <c r="X797" i="3"/>
  <c r="Y797" i="3"/>
  <c r="Z797" i="3"/>
  <c r="AA797" i="3"/>
  <c r="AB797" i="3"/>
  <c r="AC797" i="3"/>
  <c r="W798" i="3"/>
  <c r="X798" i="3"/>
  <c r="Y798" i="3"/>
  <c r="Z798" i="3"/>
  <c r="AA798" i="3"/>
  <c r="AB798" i="3"/>
  <c r="AC798" i="3"/>
  <c r="W799" i="3"/>
  <c r="X799" i="3"/>
  <c r="Y799" i="3"/>
  <c r="Z799" i="3"/>
  <c r="AA799" i="3"/>
  <c r="AB799" i="3"/>
  <c r="AC799" i="3"/>
  <c r="W800" i="3"/>
  <c r="X800" i="3"/>
  <c r="Y800" i="3"/>
  <c r="Z800" i="3"/>
  <c r="AA800" i="3"/>
  <c r="AB800" i="3"/>
  <c r="AC800" i="3"/>
  <c r="W801" i="3"/>
  <c r="X801" i="3"/>
  <c r="Y801" i="3"/>
  <c r="Z801" i="3"/>
  <c r="AA801" i="3"/>
  <c r="AB801" i="3"/>
  <c r="AC801" i="3"/>
  <c r="W4" i="3"/>
  <c r="W433" i="3"/>
  <c r="W432" i="3"/>
  <c r="W628" i="3"/>
  <c r="W3" i="3"/>
  <c r="X3" i="3"/>
  <c r="Y3" i="3"/>
  <c r="Z3" i="3"/>
  <c r="AA3" i="3"/>
  <c r="AB3" i="3"/>
  <c r="AC3" i="3"/>
  <c r="X4" i="3"/>
  <c r="Y4" i="3"/>
  <c r="Z4" i="3"/>
  <c r="AA4" i="3"/>
  <c r="AB4" i="3"/>
  <c r="AC4" i="3"/>
  <c r="W5" i="3"/>
  <c r="X5" i="3"/>
  <c r="Y5" i="3"/>
  <c r="Z5" i="3"/>
  <c r="AA5" i="3"/>
  <c r="AB5" i="3"/>
  <c r="AC5" i="3"/>
  <c r="W6" i="3"/>
  <c r="X6" i="3"/>
  <c r="Y6" i="3"/>
  <c r="Z6" i="3"/>
  <c r="AA6" i="3"/>
  <c r="AB6" i="3"/>
  <c r="AC6" i="3"/>
  <c r="W7" i="3"/>
  <c r="X7" i="3"/>
  <c r="Y7" i="3"/>
  <c r="Z7" i="3"/>
  <c r="AA7" i="3"/>
  <c r="AB7" i="3"/>
  <c r="AC7" i="3"/>
  <c r="W8" i="3"/>
  <c r="X8" i="3"/>
  <c r="Y8" i="3"/>
  <c r="Z8" i="3"/>
  <c r="AA8" i="3"/>
  <c r="AB8" i="3"/>
  <c r="AC8" i="3"/>
  <c r="W9" i="3"/>
  <c r="X9" i="3"/>
  <c r="Y9" i="3"/>
  <c r="Z9" i="3"/>
  <c r="AA9" i="3"/>
  <c r="AB9" i="3"/>
  <c r="AC9" i="3"/>
  <c r="W10" i="3"/>
  <c r="X10" i="3"/>
  <c r="Y10" i="3"/>
  <c r="Z10" i="3"/>
  <c r="AA10" i="3"/>
  <c r="AB10" i="3"/>
  <c r="AC10" i="3"/>
  <c r="W11" i="3"/>
  <c r="X11" i="3"/>
  <c r="Y11" i="3"/>
  <c r="Z11" i="3"/>
  <c r="AA11" i="3"/>
  <c r="AB11" i="3"/>
  <c r="AC11" i="3"/>
  <c r="W12" i="3"/>
  <c r="X12" i="3"/>
  <c r="Y12" i="3"/>
  <c r="Z12" i="3"/>
  <c r="AA12" i="3"/>
  <c r="AB12" i="3"/>
  <c r="AC12" i="3"/>
  <c r="W13" i="3"/>
  <c r="X13" i="3"/>
  <c r="Y13" i="3"/>
  <c r="Z13" i="3"/>
  <c r="AA13" i="3"/>
  <c r="AB13" i="3"/>
  <c r="AC13" i="3"/>
  <c r="W14" i="3"/>
  <c r="X14" i="3"/>
  <c r="Y14" i="3"/>
  <c r="Z14" i="3"/>
  <c r="AA14" i="3"/>
  <c r="AB14" i="3"/>
  <c r="AC14" i="3"/>
  <c r="W15" i="3"/>
  <c r="X15" i="3"/>
  <c r="Y15" i="3"/>
  <c r="Z15" i="3"/>
  <c r="AA15" i="3"/>
  <c r="AB15" i="3"/>
  <c r="AC15" i="3"/>
  <c r="W16" i="3"/>
  <c r="X16" i="3"/>
  <c r="Y16" i="3"/>
  <c r="Z16" i="3"/>
  <c r="AA16" i="3"/>
  <c r="AB16" i="3"/>
  <c r="AC16" i="3"/>
  <c r="W17" i="3"/>
  <c r="X17" i="3"/>
  <c r="Y17" i="3"/>
  <c r="Z17" i="3"/>
  <c r="AA17" i="3"/>
  <c r="AB17" i="3"/>
  <c r="AC17" i="3"/>
  <c r="W18" i="3"/>
  <c r="X18" i="3"/>
  <c r="Y18" i="3"/>
  <c r="Z18" i="3"/>
  <c r="AA18" i="3"/>
  <c r="AB18" i="3"/>
  <c r="AC18" i="3"/>
  <c r="W19" i="3"/>
  <c r="X19" i="3"/>
  <c r="Y19" i="3"/>
  <c r="Z19" i="3"/>
  <c r="AA19" i="3"/>
  <c r="AB19" i="3"/>
  <c r="AC19" i="3"/>
  <c r="W20" i="3"/>
  <c r="X20" i="3"/>
  <c r="Y20" i="3"/>
  <c r="Z20" i="3"/>
  <c r="AA20" i="3"/>
  <c r="AB20" i="3"/>
  <c r="AC20" i="3"/>
  <c r="W21" i="3"/>
  <c r="X21" i="3"/>
  <c r="Y21" i="3"/>
  <c r="Z21" i="3"/>
  <c r="AA21" i="3"/>
  <c r="AB21" i="3"/>
  <c r="AC21" i="3"/>
  <c r="W22" i="3"/>
  <c r="X22" i="3"/>
  <c r="Y22" i="3"/>
  <c r="Z22" i="3"/>
  <c r="AA22" i="3"/>
  <c r="AB22" i="3"/>
  <c r="AC22" i="3"/>
  <c r="W23" i="3"/>
  <c r="X23" i="3"/>
  <c r="Y23" i="3"/>
  <c r="Z23" i="3"/>
  <c r="AA23" i="3"/>
  <c r="AB23" i="3"/>
  <c r="AC23" i="3"/>
  <c r="W24" i="3"/>
  <c r="X24" i="3"/>
  <c r="Y24" i="3"/>
  <c r="Z24" i="3"/>
  <c r="AA24" i="3"/>
  <c r="AB24" i="3"/>
  <c r="AC24" i="3"/>
  <c r="W25" i="3"/>
  <c r="X25" i="3"/>
  <c r="Y25" i="3"/>
  <c r="Z25" i="3"/>
  <c r="AA25" i="3"/>
  <c r="AB25" i="3"/>
  <c r="AC25" i="3"/>
  <c r="W26" i="3"/>
  <c r="X26" i="3"/>
  <c r="Y26" i="3"/>
  <c r="Z26" i="3"/>
  <c r="AA26" i="3"/>
  <c r="AB26" i="3"/>
  <c r="AC26" i="3"/>
  <c r="W27" i="3"/>
  <c r="X27" i="3"/>
  <c r="Y27" i="3"/>
  <c r="Z27" i="3"/>
  <c r="AA27" i="3"/>
  <c r="AB27" i="3"/>
  <c r="AC27" i="3"/>
  <c r="W28" i="3"/>
  <c r="X28" i="3"/>
  <c r="Y28" i="3"/>
  <c r="Z28" i="3"/>
  <c r="AA28" i="3"/>
  <c r="AB28" i="3"/>
  <c r="AC28" i="3"/>
  <c r="W29" i="3"/>
  <c r="X29" i="3"/>
  <c r="Y29" i="3"/>
  <c r="Z29" i="3"/>
  <c r="AA29" i="3"/>
  <c r="AB29" i="3"/>
  <c r="AC29" i="3"/>
  <c r="W30" i="3"/>
  <c r="X30" i="3"/>
  <c r="Y30" i="3"/>
  <c r="Z30" i="3"/>
  <c r="AA30" i="3"/>
  <c r="AB30" i="3"/>
  <c r="AC30" i="3"/>
  <c r="W31" i="3"/>
  <c r="X31" i="3"/>
  <c r="Y31" i="3"/>
  <c r="Z31" i="3"/>
  <c r="AA31" i="3"/>
  <c r="AB31" i="3"/>
  <c r="AC31" i="3"/>
  <c r="W32" i="3"/>
  <c r="X32" i="3"/>
  <c r="Y32" i="3"/>
  <c r="Z32" i="3"/>
  <c r="AA32" i="3"/>
  <c r="AB32" i="3"/>
  <c r="AC32" i="3"/>
  <c r="W33" i="3"/>
  <c r="X33" i="3"/>
  <c r="Y33" i="3"/>
  <c r="Z33" i="3"/>
  <c r="AA33" i="3"/>
  <c r="AB33" i="3"/>
  <c r="AC33" i="3"/>
  <c r="W34" i="3"/>
  <c r="X34" i="3"/>
  <c r="Y34" i="3"/>
  <c r="Z34" i="3"/>
  <c r="AA34" i="3"/>
  <c r="AB34" i="3"/>
  <c r="AC34" i="3"/>
  <c r="W35" i="3"/>
  <c r="X35" i="3"/>
  <c r="Y35" i="3"/>
  <c r="Z35" i="3"/>
  <c r="AA35" i="3"/>
  <c r="AB35" i="3"/>
  <c r="AC35" i="3"/>
  <c r="W36" i="3"/>
  <c r="X36" i="3"/>
  <c r="Y36" i="3"/>
  <c r="Z36" i="3"/>
  <c r="AA36" i="3"/>
  <c r="AB36" i="3"/>
  <c r="AC36" i="3"/>
  <c r="W37" i="3"/>
  <c r="X37" i="3"/>
  <c r="Y37" i="3"/>
  <c r="Z37" i="3"/>
  <c r="AA37" i="3"/>
  <c r="AB37" i="3"/>
  <c r="AC37" i="3"/>
  <c r="W38" i="3"/>
  <c r="X38" i="3"/>
  <c r="Y38" i="3"/>
  <c r="Z38" i="3"/>
  <c r="AA38" i="3"/>
  <c r="AB38" i="3"/>
  <c r="AC38" i="3"/>
  <c r="W39" i="3"/>
  <c r="X39" i="3"/>
  <c r="Y39" i="3"/>
  <c r="Z39" i="3"/>
  <c r="AA39" i="3"/>
  <c r="AB39" i="3"/>
  <c r="AC39" i="3"/>
  <c r="W40" i="3"/>
  <c r="X40" i="3"/>
  <c r="Y40" i="3"/>
  <c r="Z40" i="3"/>
  <c r="AA40" i="3"/>
  <c r="AB40" i="3"/>
  <c r="AC40" i="3"/>
  <c r="W41" i="3"/>
  <c r="X41" i="3"/>
  <c r="Y41" i="3"/>
  <c r="Z41" i="3"/>
  <c r="AA41" i="3"/>
  <c r="AB41" i="3"/>
  <c r="AC41" i="3"/>
  <c r="W42" i="3"/>
  <c r="X42" i="3"/>
  <c r="Y42" i="3"/>
  <c r="Z42" i="3"/>
  <c r="AA42" i="3"/>
  <c r="AB42" i="3"/>
  <c r="AC42" i="3"/>
  <c r="W43" i="3"/>
  <c r="X43" i="3"/>
  <c r="Y43" i="3"/>
  <c r="Z43" i="3"/>
  <c r="AA43" i="3"/>
  <c r="AB43" i="3"/>
  <c r="AC43" i="3"/>
  <c r="W44" i="3"/>
  <c r="X44" i="3"/>
  <c r="Y44" i="3"/>
  <c r="Z44" i="3"/>
  <c r="AA44" i="3"/>
  <c r="AB44" i="3"/>
  <c r="AC44" i="3"/>
  <c r="W45" i="3"/>
  <c r="X45" i="3"/>
  <c r="Y45" i="3"/>
  <c r="Z45" i="3"/>
  <c r="AA45" i="3"/>
  <c r="AB45" i="3"/>
  <c r="AC45" i="3"/>
  <c r="W46" i="3"/>
  <c r="X46" i="3"/>
  <c r="Y46" i="3"/>
  <c r="Z46" i="3"/>
  <c r="AA46" i="3"/>
  <c r="AB46" i="3"/>
  <c r="AC46" i="3"/>
  <c r="W47" i="3"/>
  <c r="X47" i="3"/>
  <c r="Y47" i="3"/>
  <c r="Z47" i="3"/>
  <c r="AA47" i="3"/>
  <c r="AB47" i="3"/>
  <c r="AC47" i="3"/>
  <c r="W48" i="3"/>
  <c r="X48" i="3"/>
  <c r="Y48" i="3"/>
  <c r="Z48" i="3"/>
  <c r="AA48" i="3"/>
  <c r="AB48" i="3"/>
  <c r="AC48" i="3"/>
  <c r="W49" i="3"/>
  <c r="X49" i="3"/>
  <c r="Y49" i="3"/>
  <c r="Z49" i="3"/>
  <c r="AA49" i="3"/>
  <c r="AB49" i="3"/>
  <c r="AC49" i="3"/>
  <c r="W50" i="3"/>
  <c r="X50" i="3"/>
  <c r="Y50" i="3"/>
  <c r="Z50" i="3"/>
  <c r="AA50" i="3"/>
  <c r="AB50" i="3"/>
  <c r="AC50" i="3"/>
  <c r="W51" i="3"/>
  <c r="X51" i="3"/>
  <c r="Y51" i="3"/>
  <c r="Z51" i="3"/>
  <c r="AA51" i="3"/>
  <c r="AB51" i="3"/>
  <c r="AC51" i="3"/>
  <c r="W52" i="3"/>
  <c r="X52" i="3"/>
  <c r="Y52" i="3"/>
  <c r="Z52" i="3"/>
  <c r="AA52" i="3"/>
  <c r="AB52" i="3"/>
  <c r="AC52" i="3"/>
  <c r="W53" i="3"/>
  <c r="X53" i="3"/>
  <c r="Y53" i="3"/>
  <c r="Z53" i="3"/>
  <c r="AA53" i="3"/>
  <c r="AB53" i="3"/>
  <c r="AC53" i="3"/>
  <c r="W54" i="3"/>
  <c r="X54" i="3"/>
  <c r="Y54" i="3"/>
  <c r="Z54" i="3"/>
  <c r="AA54" i="3"/>
  <c r="AB54" i="3"/>
  <c r="AC54" i="3"/>
  <c r="W55" i="3"/>
  <c r="X55" i="3"/>
  <c r="Y55" i="3"/>
  <c r="Z55" i="3"/>
  <c r="AA55" i="3"/>
  <c r="AB55" i="3"/>
  <c r="AC55" i="3"/>
  <c r="W56" i="3"/>
  <c r="X56" i="3"/>
  <c r="Y56" i="3"/>
  <c r="Z56" i="3"/>
  <c r="AA56" i="3"/>
  <c r="AB56" i="3"/>
  <c r="AC56" i="3"/>
  <c r="W57" i="3"/>
  <c r="X57" i="3"/>
  <c r="Y57" i="3"/>
  <c r="Z57" i="3"/>
  <c r="AA57" i="3"/>
  <c r="AB57" i="3"/>
  <c r="AC57" i="3"/>
  <c r="W58" i="3"/>
  <c r="X58" i="3"/>
  <c r="Y58" i="3"/>
  <c r="Z58" i="3"/>
  <c r="AA58" i="3"/>
  <c r="AB58" i="3"/>
  <c r="AC58" i="3"/>
  <c r="W59" i="3"/>
  <c r="X59" i="3"/>
  <c r="Y59" i="3"/>
  <c r="Z59" i="3"/>
  <c r="AA59" i="3"/>
  <c r="AB59" i="3"/>
  <c r="AC59" i="3"/>
  <c r="W60" i="3"/>
  <c r="X60" i="3"/>
  <c r="Y60" i="3"/>
  <c r="Z60" i="3"/>
  <c r="AA60" i="3"/>
  <c r="AB60" i="3"/>
  <c r="AC60" i="3"/>
  <c r="W61" i="3"/>
  <c r="X61" i="3"/>
  <c r="Y61" i="3"/>
  <c r="Z61" i="3"/>
  <c r="AA61" i="3"/>
  <c r="AB61" i="3"/>
  <c r="AC61" i="3"/>
  <c r="W62" i="3"/>
  <c r="X62" i="3"/>
  <c r="Y62" i="3"/>
  <c r="Z62" i="3"/>
  <c r="AA62" i="3"/>
  <c r="AB62" i="3"/>
  <c r="AC62" i="3"/>
  <c r="W63" i="3"/>
  <c r="X63" i="3"/>
  <c r="Y63" i="3"/>
  <c r="Z63" i="3"/>
  <c r="AA63" i="3"/>
  <c r="AB63" i="3"/>
  <c r="AC63" i="3"/>
  <c r="W64" i="3"/>
  <c r="X64" i="3"/>
  <c r="Y64" i="3"/>
  <c r="Z64" i="3"/>
  <c r="AA64" i="3"/>
  <c r="AB64" i="3"/>
  <c r="AC64" i="3"/>
  <c r="W65" i="3"/>
  <c r="X65" i="3"/>
  <c r="Y65" i="3"/>
  <c r="Z65" i="3"/>
  <c r="AA65" i="3"/>
  <c r="AB65" i="3"/>
  <c r="AC65" i="3"/>
  <c r="W66" i="3"/>
  <c r="X66" i="3"/>
  <c r="Y66" i="3"/>
  <c r="Z66" i="3"/>
  <c r="AA66" i="3"/>
  <c r="AB66" i="3"/>
  <c r="AC66" i="3"/>
  <c r="W67" i="3"/>
  <c r="X67" i="3"/>
  <c r="Y67" i="3"/>
  <c r="Z67" i="3"/>
  <c r="AA67" i="3"/>
  <c r="AB67" i="3"/>
  <c r="AC67" i="3"/>
  <c r="W68" i="3"/>
  <c r="X68" i="3"/>
  <c r="Y68" i="3"/>
  <c r="Z68" i="3"/>
  <c r="AA68" i="3"/>
  <c r="AB68" i="3"/>
  <c r="AC68" i="3"/>
  <c r="W69" i="3"/>
  <c r="X69" i="3"/>
  <c r="Y69" i="3"/>
  <c r="Z69" i="3"/>
  <c r="AA69" i="3"/>
  <c r="AB69" i="3"/>
  <c r="AC69" i="3"/>
  <c r="W70" i="3"/>
  <c r="X70" i="3"/>
  <c r="Y70" i="3"/>
  <c r="Z70" i="3"/>
  <c r="AA70" i="3"/>
  <c r="AB70" i="3"/>
  <c r="AC70" i="3"/>
  <c r="W71" i="3"/>
  <c r="X71" i="3"/>
  <c r="Y71" i="3"/>
  <c r="Z71" i="3"/>
  <c r="AA71" i="3"/>
  <c r="AB71" i="3"/>
  <c r="AC71" i="3"/>
  <c r="W72" i="3"/>
  <c r="X72" i="3"/>
  <c r="Y72" i="3"/>
  <c r="Z72" i="3"/>
  <c r="AA72" i="3"/>
  <c r="AB72" i="3"/>
  <c r="AC72" i="3"/>
  <c r="W73" i="3"/>
  <c r="X73" i="3"/>
  <c r="Y73" i="3"/>
  <c r="Z73" i="3"/>
  <c r="AA73" i="3"/>
  <c r="AB73" i="3"/>
  <c r="AC73" i="3"/>
  <c r="W74" i="3"/>
  <c r="X74" i="3"/>
  <c r="Y74" i="3"/>
  <c r="Z74" i="3"/>
  <c r="AA74" i="3"/>
  <c r="AB74" i="3"/>
  <c r="AC74" i="3"/>
  <c r="W75" i="3"/>
  <c r="X75" i="3"/>
  <c r="Y75" i="3"/>
  <c r="Z75" i="3"/>
  <c r="AA75" i="3"/>
  <c r="AB75" i="3"/>
  <c r="AC75" i="3"/>
  <c r="W76" i="3"/>
  <c r="X76" i="3"/>
  <c r="Y76" i="3"/>
  <c r="Z76" i="3"/>
  <c r="AA76" i="3"/>
  <c r="AB76" i="3"/>
  <c r="AC76" i="3"/>
  <c r="W77" i="3"/>
  <c r="X77" i="3"/>
  <c r="Y77" i="3"/>
  <c r="Z77" i="3"/>
  <c r="AA77" i="3"/>
  <c r="AB77" i="3"/>
  <c r="AC77" i="3"/>
  <c r="W78" i="3"/>
  <c r="X78" i="3"/>
  <c r="Y78" i="3"/>
  <c r="Z78" i="3"/>
  <c r="AA78" i="3"/>
  <c r="AB78" i="3"/>
  <c r="AC78" i="3"/>
  <c r="W79" i="3"/>
  <c r="X79" i="3"/>
  <c r="Y79" i="3"/>
  <c r="Z79" i="3"/>
  <c r="AA79" i="3"/>
  <c r="AB79" i="3"/>
  <c r="AC79" i="3"/>
  <c r="W80" i="3"/>
  <c r="X80" i="3"/>
  <c r="Y80" i="3"/>
  <c r="Z80" i="3"/>
  <c r="AA80" i="3"/>
  <c r="AB80" i="3"/>
  <c r="AC80" i="3"/>
  <c r="W81" i="3"/>
  <c r="X81" i="3"/>
  <c r="Y81" i="3"/>
  <c r="Z81" i="3"/>
  <c r="AA81" i="3"/>
  <c r="AB81" i="3"/>
  <c r="AC81" i="3"/>
  <c r="W82" i="3"/>
  <c r="X82" i="3"/>
  <c r="Y82" i="3"/>
  <c r="Z82" i="3"/>
  <c r="AA82" i="3"/>
  <c r="AB82" i="3"/>
  <c r="AC82" i="3"/>
  <c r="W83" i="3"/>
  <c r="X83" i="3"/>
  <c r="Y83" i="3"/>
  <c r="Z83" i="3"/>
  <c r="AA83" i="3"/>
  <c r="AB83" i="3"/>
  <c r="AC83" i="3"/>
  <c r="W84" i="3"/>
  <c r="X84" i="3"/>
  <c r="Y84" i="3"/>
  <c r="Z84" i="3"/>
  <c r="AA84" i="3"/>
  <c r="AB84" i="3"/>
  <c r="AC84" i="3"/>
  <c r="W85" i="3"/>
  <c r="X85" i="3"/>
  <c r="Y85" i="3"/>
  <c r="Z85" i="3"/>
  <c r="AA85" i="3"/>
  <c r="AB85" i="3"/>
  <c r="AC85" i="3"/>
  <c r="W86" i="3"/>
  <c r="X86" i="3"/>
  <c r="Y86" i="3"/>
  <c r="Z86" i="3"/>
  <c r="AA86" i="3"/>
  <c r="AB86" i="3"/>
  <c r="AC86" i="3"/>
  <c r="W87" i="3"/>
  <c r="X87" i="3"/>
  <c r="Y87" i="3"/>
  <c r="Z87" i="3"/>
  <c r="AA87" i="3"/>
  <c r="AB87" i="3"/>
  <c r="AC87" i="3"/>
  <c r="W88" i="3"/>
  <c r="X88" i="3"/>
  <c r="Y88" i="3"/>
  <c r="Z88" i="3"/>
  <c r="AA88" i="3"/>
  <c r="AB88" i="3"/>
  <c r="AC88" i="3"/>
  <c r="W89" i="3"/>
  <c r="X89" i="3"/>
  <c r="Y89" i="3"/>
  <c r="Z89" i="3"/>
  <c r="AA89" i="3"/>
  <c r="AB89" i="3"/>
  <c r="AC89" i="3"/>
  <c r="W90" i="3"/>
  <c r="X90" i="3"/>
  <c r="Y90" i="3"/>
  <c r="Z90" i="3"/>
  <c r="AA90" i="3"/>
  <c r="AB90" i="3"/>
  <c r="AC90" i="3"/>
  <c r="W91" i="3"/>
  <c r="X91" i="3"/>
  <c r="Y91" i="3"/>
  <c r="Z91" i="3"/>
  <c r="AA91" i="3"/>
  <c r="AB91" i="3"/>
  <c r="AC91" i="3"/>
  <c r="W92" i="3"/>
  <c r="X92" i="3"/>
  <c r="Y92" i="3"/>
  <c r="Z92" i="3"/>
  <c r="AA92" i="3"/>
  <c r="AB92" i="3"/>
  <c r="AC92" i="3"/>
  <c r="W93" i="3"/>
  <c r="X93" i="3"/>
  <c r="Y93" i="3"/>
  <c r="Z93" i="3"/>
  <c r="AA93" i="3"/>
  <c r="AB93" i="3"/>
  <c r="AC93" i="3"/>
  <c r="W94" i="3"/>
  <c r="X94" i="3"/>
  <c r="Y94" i="3"/>
  <c r="Z94" i="3"/>
  <c r="AA94" i="3"/>
  <c r="AB94" i="3"/>
  <c r="AC94" i="3"/>
  <c r="W95" i="3"/>
  <c r="X95" i="3"/>
  <c r="Y95" i="3"/>
  <c r="Z95" i="3"/>
  <c r="AA95" i="3"/>
  <c r="AB95" i="3"/>
  <c r="AC95" i="3"/>
  <c r="W96" i="3"/>
  <c r="X96" i="3"/>
  <c r="Y96" i="3"/>
  <c r="Z96" i="3"/>
  <c r="AA96" i="3"/>
  <c r="AB96" i="3"/>
  <c r="AC96" i="3"/>
  <c r="W97" i="3"/>
  <c r="X97" i="3"/>
  <c r="Y97" i="3"/>
  <c r="Z97" i="3"/>
  <c r="AA97" i="3"/>
  <c r="AB97" i="3"/>
  <c r="AC97" i="3"/>
  <c r="W98" i="3"/>
  <c r="X98" i="3"/>
  <c r="Y98" i="3"/>
  <c r="Z98" i="3"/>
  <c r="AA98" i="3"/>
  <c r="AB98" i="3"/>
  <c r="AC98" i="3"/>
  <c r="W99" i="3"/>
  <c r="X99" i="3"/>
  <c r="Y99" i="3"/>
  <c r="Z99" i="3"/>
  <c r="AA99" i="3"/>
  <c r="AB99" i="3"/>
  <c r="AC99" i="3"/>
  <c r="W100" i="3"/>
  <c r="X100" i="3"/>
  <c r="Y100" i="3"/>
  <c r="Z100" i="3"/>
  <c r="AA100" i="3"/>
  <c r="AB100" i="3"/>
  <c r="AC100" i="3"/>
  <c r="W101" i="3"/>
  <c r="X101" i="3"/>
  <c r="Y101" i="3"/>
  <c r="Z101" i="3"/>
  <c r="AA101" i="3"/>
  <c r="AB101" i="3"/>
  <c r="AC101" i="3"/>
  <c r="W102" i="3"/>
  <c r="X102" i="3"/>
  <c r="Y102" i="3"/>
  <c r="Z102" i="3"/>
  <c r="AA102" i="3"/>
  <c r="AB102" i="3"/>
  <c r="AC102" i="3"/>
  <c r="W103" i="3"/>
  <c r="X103" i="3"/>
  <c r="Y103" i="3"/>
  <c r="Z103" i="3"/>
  <c r="AA103" i="3"/>
  <c r="AB103" i="3"/>
  <c r="AC103" i="3"/>
  <c r="W104" i="3"/>
  <c r="X104" i="3"/>
  <c r="Y104" i="3"/>
  <c r="Z104" i="3"/>
  <c r="AA104" i="3"/>
  <c r="AB104" i="3"/>
  <c r="AC104" i="3"/>
  <c r="W105" i="3"/>
  <c r="X105" i="3"/>
  <c r="Y105" i="3"/>
  <c r="Z105" i="3"/>
  <c r="AA105" i="3"/>
  <c r="AB105" i="3"/>
  <c r="AC105" i="3"/>
  <c r="W106" i="3"/>
  <c r="X106" i="3"/>
  <c r="Y106" i="3"/>
  <c r="Z106" i="3"/>
  <c r="AA106" i="3"/>
  <c r="AB106" i="3"/>
  <c r="AC106" i="3"/>
  <c r="W107" i="3"/>
  <c r="X107" i="3"/>
  <c r="Y107" i="3"/>
  <c r="Z107" i="3"/>
  <c r="AA107" i="3"/>
  <c r="AB107" i="3"/>
  <c r="AC107" i="3"/>
  <c r="W108" i="3"/>
  <c r="X108" i="3"/>
  <c r="Y108" i="3"/>
  <c r="Z108" i="3"/>
  <c r="AA108" i="3"/>
  <c r="AB108" i="3"/>
  <c r="AC108" i="3"/>
  <c r="W109" i="3"/>
  <c r="X109" i="3"/>
  <c r="Y109" i="3"/>
  <c r="Z109" i="3"/>
  <c r="AA109" i="3"/>
  <c r="AB109" i="3"/>
  <c r="AC109" i="3"/>
  <c r="W110" i="3"/>
  <c r="X110" i="3"/>
  <c r="Y110" i="3"/>
  <c r="Z110" i="3"/>
  <c r="AA110" i="3"/>
  <c r="AB110" i="3"/>
  <c r="AC110" i="3"/>
  <c r="W111" i="3"/>
  <c r="X111" i="3"/>
  <c r="Y111" i="3"/>
  <c r="Z111" i="3"/>
  <c r="AA111" i="3"/>
  <c r="AB111" i="3"/>
  <c r="AC111" i="3"/>
  <c r="W112" i="3"/>
  <c r="X112" i="3"/>
  <c r="Y112" i="3"/>
  <c r="Z112" i="3"/>
  <c r="AA112" i="3"/>
  <c r="AB112" i="3"/>
  <c r="AC112" i="3"/>
  <c r="W113" i="3"/>
  <c r="X113" i="3"/>
  <c r="Y113" i="3"/>
  <c r="Z113" i="3"/>
  <c r="AA113" i="3"/>
  <c r="AB113" i="3"/>
  <c r="AC113" i="3"/>
  <c r="W114" i="3"/>
  <c r="X114" i="3"/>
  <c r="Y114" i="3"/>
  <c r="Z114" i="3"/>
  <c r="AA114" i="3"/>
  <c r="AB114" i="3"/>
  <c r="AC114" i="3"/>
  <c r="W115" i="3"/>
  <c r="X115" i="3"/>
  <c r="Y115" i="3"/>
  <c r="Z115" i="3"/>
  <c r="AA115" i="3"/>
  <c r="AB115" i="3"/>
  <c r="AC115" i="3"/>
  <c r="W116" i="3"/>
  <c r="X116" i="3"/>
  <c r="Y116" i="3"/>
  <c r="Z116" i="3"/>
  <c r="AA116" i="3"/>
  <c r="AB116" i="3"/>
  <c r="AC116" i="3"/>
  <c r="W117" i="3"/>
  <c r="X117" i="3"/>
  <c r="Y117" i="3"/>
  <c r="Z117" i="3"/>
  <c r="AA117" i="3"/>
  <c r="AB117" i="3"/>
  <c r="AC117" i="3"/>
  <c r="W118" i="3"/>
  <c r="X118" i="3"/>
  <c r="Y118" i="3"/>
  <c r="Z118" i="3"/>
  <c r="AA118" i="3"/>
  <c r="AB118" i="3"/>
  <c r="AC118" i="3"/>
  <c r="W119" i="3"/>
  <c r="X119" i="3"/>
  <c r="Y119" i="3"/>
  <c r="Z119" i="3"/>
  <c r="AA119" i="3"/>
  <c r="AB119" i="3"/>
  <c r="AC119" i="3"/>
  <c r="W120" i="3"/>
  <c r="X120" i="3"/>
  <c r="Y120" i="3"/>
  <c r="Z120" i="3"/>
  <c r="AA120" i="3"/>
  <c r="AB120" i="3"/>
  <c r="AC120" i="3"/>
  <c r="W121" i="3"/>
  <c r="X121" i="3"/>
  <c r="Y121" i="3"/>
  <c r="Z121" i="3"/>
  <c r="AA121" i="3"/>
  <c r="AB121" i="3"/>
  <c r="AC121" i="3"/>
  <c r="W122" i="3"/>
  <c r="X122" i="3"/>
  <c r="Y122" i="3"/>
  <c r="Z122" i="3"/>
  <c r="AA122" i="3"/>
  <c r="AB122" i="3"/>
  <c r="AC122" i="3"/>
  <c r="W123" i="3"/>
  <c r="X123" i="3"/>
  <c r="Y123" i="3"/>
  <c r="Z123" i="3"/>
  <c r="AA123" i="3"/>
  <c r="AB123" i="3"/>
  <c r="AC123" i="3"/>
  <c r="W124" i="3"/>
  <c r="X124" i="3"/>
  <c r="Y124" i="3"/>
  <c r="Z124" i="3"/>
  <c r="AA124" i="3"/>
  <c r="AB124" i="3"/>
  <c r="AC124" i="3"/>
  <c r="W125" i="3"/>
  <c r="X125" i="3"/>
  <c r="Y125" i="3"/>
  <c r="Z125" i="3"/>
  <c r="AA125" i="3"/>
  <c r="AB125" i="3"/>
  <c r="AC125" i="3"/>
  <c r="W126" i="3"/>
  <c r="X126" i="3"/>
  <c r="Y126" i="3"/>
  <c r="Z126" i="3"/>
  <c r="AA126" i="3"/>
  <c r="AB126" i="3"/>
  <c r="AC126" i="3"/>
  <c r="W127" i="3"/>
  <c r="X127" i="3"/>
  <c r="Y127" i="3"/>
  <c r="Z127" i="3"/>
  <c r="AA127" i="3"/>
  <c r="AB127" i="3"/>
  <c r="AC127" i="3"/>
  <c r="W128" i="3"/>
  <c r="X128" i="3"/>
  <c r="Y128" i="3"/>
  <c r="Z128" i="3"/>
  <c r="AA128" i="3"/>
  <c r="AB128" i="3"/>
  <c r="AC128" i="3"/>
  <c r="W129" i="3"/>
  <c r="X129" i="3"/>
  <c r="Y129" i="3"/>
  <c r="Z129" i="3"/>
  <c r="AA129" i="3"/>
  <c r="AB129" i="3"/>
  <c r="AC129" i="3"/>
  <c r="W130" i="3"/>
  <c r="X130" i="3"/>
  <c r="Y130" i="3"/>
  <c r="Z130" i="3"/>
  <c r="AA130" i="3"/>
  <c r="AB130" i="3"/>
  <c r="AC130" i="3"/>
  <c r="W131" i="3"/>
  <c r="X131" i="3"/>
  <c r="Y131" i="3"/>
  <c r="Z131" i="3"/>
  <c r="AA131" i="3"/>
  <c r="AB131" i="3"/>
  <c r="AC131" i="3"/>
  <c r="W132" i="3"/>
  <c r="X132" i="3"/>
  <c r="Y132" i="3"/>
  <c r="Z132" i="3"/>
  <c r="AA132" i="3"/>
  <c r="AB132" i="3"/>
  <c r="AC132" i="3"/>
  <c r="W133" i="3"/>
  <c r="X133" i="3"/>
  <c r="Y133" i="3"/>
  <c r="Z133" i="3"/>
  <c r="AA133" i="3"/>
  <c r="AB133" i="3"/>
  <c r="AC133" i="3"/>
  <c r="W134" i="3"/>
  <c r="X134" i="3"/>
  <c r="Y134" i="3"/>
  <c r="Z134" i="3"/>
  <c r="AA134" i="3"/>
  <c r="AB134" i="3"/>
  <c r="AC134" i="3"/>
  <c r="W135" i="3"/>
  <c r="X135" i="3"/>
  <c r="Y135" i="3"/>
  <c r="Z135" i="3"/>
  <c r="AA135" i="3"/>
  <c r="AB135" i="3"/>
  <c r="AC135" i="3"/>
  <c r="W136" i="3"/>
  <c r="X136" i="3"/>
  <c r="Y136" i="3"/>
  <c r="Z136" i="3"/>
  <c r="AA136" i="3"/>
  <c r="AB136" i="3"/>
  <c r="AC136" i="3"/>
  <c r="W137" i="3"/>
  <c r="X137" i="3"/>
  <c r="Y137" i="3"/>
  <c r="Z137" i="3"/>
  <c r="AA137" i="3"/>
  <c r="AB137" i="3"/>
  <c r="AC137" i="3"/>
  <c r="W138" i="3"/>
  <c r="X138" i="3"/>
  <c r="Y138" i="3"/>
  <c r="Z138" i="3"/>
  <c r="AA138" i="3"/>
  <c r="AB138" i="3"/>
  <c r="AC138" i="3"/>
  <c r="W139" i="3"/>
  <c r="X139" i="3"/>
  <c r="Y139" i="3"/>
  <c r="Z139" i="3"/>
  <c r="AA139" i="3"/>
  <c r="AB139" i="3"/>
  <c r="AC139" i="3"/>
  <c r="W140" i="3"/>
  <c r="X140" i="3"/>
  <c r="Y140" i="3"/>
  <c r="Z140" i="3"/>
  <c r="AA140" i="3"/>
  <c r="AB140" i="3"/>
  <c r="AC140" i="3"/>
  <c r="W141" i="3"/>
  <c r="X141" i="3"/>
  <c r="Y141" i="3"/>
  <c r="Z141" i="3"/>
  <c r="AA141" i="3"/>
  <c r="AB141" i="3"/>
  <c r="AC141" i="3"/>
  <c r="W142" i="3"/>
  <c r="X142" i="3"/>
  <c r="Y142" i="3"/>
  <c r="Z142" i="3"/>
  <c r="AA142" i="3"/>
  <c r="AB142" i="3"/>
  <c r="AC142" i="3"/>
  <c r="W143" i="3"/>
  <c r="X143" i="3"/>
  <c r="Y143" i="3"/>
  <c r="Z143" i="3"/>
  <c r="AA143" i="3"/>
  <c r="AB143" i="3"/>
  <c r="AC143" i="3"/>
  <c r="W144" i="3"/>
  <c r="X144" i="3"/>
  <c r="Y144" i="3"/>
  <c r="Z144" i="3"/>
  <c r="AA144" i="3"/>
  <c r="AB144" i="3"/>
  <c r="AC144" i="3"/>
  <c r="W145" i="3"/>
  <c r="X145" i="3"/>
  <c r="Y145" i="3"/>
  <c r="Z145" i="3"/>
  <c r="AA145" i="3"/>
  <c r="AB145" i="3"/>
  <c r="AC145" i="3"/>
  <c r="W146" i="3"/>
  <c r="X146" i="3"/>
  <c r="Y146" i="3"/>
  <c r="Z146" i="3"/>
  <c r="AA146" i="3"/>
  <c r="AB146" i="3"/>
  <c r="AC146" i="3"/>
  <c r="W147" i="3"/>
  <c r="X147" i="3"/>
  <c r="Y147" i="3"/>
  <c r="Z147" i="3"/>
  <c r="AA147" i="3"/>
  <c r="AB147" i="3"/>
  <c r="AC147" i="3"/>
  <c r="W148" i="3"/>
  <c r="X148" i="3"/>
  <c r="Y148" i="3"/>
  <c r="Z148" i="3"/>
  <c r="AA148" i="3"/>
  <c r="AB148" i="3"/>
  <c r="AC148" i="3"/>
  <c r="W149" i="3"/>
  <c r="X149" i="3"/>
  <c r="Y149" i="3"/>
  <c r="Z149" i="3"/>
  <c r="AA149" i="3"/>
  <c r="AB149" i="3"/>
  <c r="AC149" i="3"/>
  <c r="W150" i="3"/>
  <c r="X150" i="3"/>
  <c r="Y150" i="3"/>
  <c r="Z150" i="3"/>
  <c r="AA150" i="3"/>
  <c r="AB150" i="3"/>
  <c r="AC150" i="3"/>
  <c r="W151" i="3"/>
  <c r="X151" i="3"/>
  <c r="Y151" i="3"/>
  <c r="Z151" i="3"/>
  <c r="AA151" i="3"/>
  <c r="AB151" i="3"/>
  <c r="AC151" i="3"/>
  <c r="W152" i="3"/>
  <c r="X152" i="3"/>
  <c r="Y152" i="3"/>
  <c r="Z152" i="3"/>
  <c r="AA152" i="3"/>
  <c r="AB152" i="3"/>
  <c r="AC152" i="3"/>
  <c r="W153" i="3"/>
  <c r="X153" i="3"/>
  <c r="Y153" i="3"/>
  <c r="Z153" i="3"/>
  <c r="AA153" i="3"/>
  <c r="AB153" i="3"/>
  <c r="AC153" i="3"/>
  <c r="W154" i="3"/>
  <c r="X154" i="3"/>
  <c r="Y154" i="3"/>
  <c r="Z154" i="3"/>
  <c r="AA154" i="3"/>
  <c r="AB154" i="3"/>
  <c r="AC154" i="3"/>
  <c r="W155" i="3"/>
  <c r="X155" i="3"/>
  <c r="Y155" i="3"/>
  <c r="Z155" i="3"/>
  <c r="AA155" i="3"/>
  <c r="AB155" i="3"/>
  <c r="AC155" i="3"/>
  <c r="W156" i="3"/>
  <c r="X156" i="3"/>
  <c r="Y156" i="3"/>
  <c r="Z156" i="3"/>
  <c r="AA156" i="3"/>
  <c r="AB156" i="3"/>
  <c r="AC156" i="3"/>
  <c r="W157" i="3"/>
  <c r="X157" i="3"/>
  <c r="Y157" i="3"/>
  <c r="Z157" i="3"/>
  <c r="AA157" i="3"/>
  <c r="AB157" i="3"/>
  <c r="AC157" i="3"/>
  <c r="W158" i="3"/>
  <c r="X158" i="3"/>
  <c r="Y158" i="3"/>
  <c r="Z158" i="3"/>
  <c r="AA158" i="3"/>
  <c r="AB158" i="3"/>
  <c r="AC158" i="3"/>
  <c r="W159" i="3"/>
  <c r="X159" i="3"/>
  <c r="Y159" i="3"/>
  <c r="Z159" i="3"/>
  <c r="AA159" i="3"/>
  <c r="AB159" i="3"/>
  <c r="AC159" i="3"/>
  <c r="W160" i="3"/>
  <c r="X160" i="3"/>
  <c r="Y160" i="3"/>
  <c r="Z160" i="3"/>
  <c r="AA160" i="3"/>
  <c r="AB160" i="3"/>
  <c r="AC160" i="3"/>
  <c r="W161" i="3"/>
  <c r="X161" i="3"/>
  <c r="Y161" i="3"/>
  <c r="Z161" i="3"/>
  <c r="AA161" i="3"/>
  <c r="AB161" i="3"/>
  <c r="AC161" i="3"/>
  <c r="W162" i="3"/>
  <c r="X162" i="3"/>
  <c r="Y162" i="3"/>
  <c r="Z162" i="3"/>
  <c r="AA162" i="3"/>
  <c r="AB162" i="3"/>
  <c r="AC162" i="3"/>
  <c r="W163" i="3"/>
  <c r="X163" i="3"/>
  <c r="Y163" i="3"/>
  <c r="Z163" i="3"/>
  <c r="AA163" i="3"/>
  <c r="AB163" i="3"/>
  <c r="AC163" i="3"/>
  <c r="W164" i="3"/>
  <c r="X164" i="3"/>
  <c r="Y164" i="3"/>
  <c r="Z164" i="3"/>
  <c r="AA164" i="3"/>
  <c r="AB164" i="3"/>
  <c r="AC164" i="3"/>
  <c r="W165" i="3"/>
  <c r="X165" i="3"/>
  <c r="Y165" i="3"/>
  <c r="Z165" i="3"/>
  <c r="AA165" i="3"/>
  <c r="AB165" i="3"/>
  <c r="AC165" i="3"/>
  <c r="W166" i="3"/>
  <c r="X166" i="3"/>
  <c r="Y166" i="3"/>
  <c r="Z166" i="3"/>
  <c r="AA166" i="3"/>
  <c r="AB166" i="3"/>
  <c r="AC166" i="3"/>
  <c r="W167" i="3"/>
  <c r="X167" i="3"/>
  <c r="Y167" i="3"/>
  <c r="Z167" i="3"/>
  <c r="AA167" i="3"/>
  <c r="AB167" i="3"/>
  <c r="AC167" i="3"/>
  <c r="W168" i="3"/>
  <c r="X168" i="3"/>
  <c r="Y168" i="3"/>
  <c r="Z168" i="3"/>
  <c r="AA168" i="3"/>
  <c r="AB168" i="3"/>
  <c r="AC168" i="3"/>
  <c r="W169" i="3"/>
  <c r="X169" i="3"/>
  <c r="Y169" i="3"/>
  <c r="Z169" i="3"/>
  <c r="AA169" i="3"/>
  <c r="AB169" i="3"/>
  <c r="AC169" i="3"/>
  <c r="W170" i="3"/>
  <c r="X170" i="3"/>
  <c r="Y170" i="3"/>
  <c r="Z170" i="3"/>
  <c r="AA170" i="3"/>
  <c r="AB170" i="3"/>
  <c r="AC170" i="3"/>
  <c r="W171" i="3"/>
  <c r="X171" i="3"/>
  <c r="Y171" i="3"/>
  <c r="Z171" i="3"/>
  <c r="AA171" i="3"/>
  <c r="AB171" i="3"/>
  <c r="AC171" i="3"/>
  <c r="W172" i="3"/>
  <c r="X172" i="3"/>
  <c r="Y172" i="3"/>
  <c r="Z172" i="3"/>
  <c r="AA172" i="3"/>
  <c r="AB172" i="3"/>
  <c r="AC172" i="3"/>
  <c r="W173" i="3"/>
  <c r="X173" i="3"/>
  <c r="Y173" i="3"/>
  <c r="Z173" i="3"/>
  <c r="AA173" i="3"/>
  <c r="AB173" i="3"/>
  <c r="AC173" i="3"/>
  <c r="W174" i="3"/>
  <c r="X174" i="3"/>
  <c r="Y174" i="3"/>
  <c r="Z174" i="3"/>
  <c r="AA174" i="3"/>
  <c r="AB174" i="3"/>
  <c r="AC174" i="3"/>
  <c r="W175" i="3"/>
  <c r="X175" i="3"/>
  <c r="Y175" i="3"/>
  <c r="Z175" i="3"/>
  <c r="AA175" i="3"/>
  <c r="AB175" i="3"/>
  <c r="AC175" i="3"/>
  <c r="W176" i="3"/>
  <c r="X176" i="3"/>
  <c r="Y176" i="3"/>
  <c r="Z176" i="3"/>
  <c r="AA176" i="3"/>
  <c r="AB176" i="3"/>
  <c r="AC176" i="3"/>
  <c r="W177" i="3"/>
  <c r="X177" i="3"/>
  <c r="Y177" i="3"/>
  <c r="Z177" i="3"/>
  <c r="AA177" i="3"/>
  <c r="AB177" i="3"/>
  <c r="AC177" i="3"/>
  <c r="W178" i="3"/>
  <c r="X178" i="3"/>
  <c r="Y178" i="3"/>
  <c r="Z178" i="3"/>
  <c r="AA178" i="3"/>
  <c r="AB178" i="3"/>
  <c r="AC178" i="3"/>
  <c r="W179" i="3"/>
  <c r="X179" i="3"/>
  <c r="Y179" i="3"/>
  <c r="Z179" i="3"/>
  <c r="AA179" i="3"/>
  <c r="AB179" i="3"/>
  <c r="AC179" i="3"/>
  <c r="W180" i="3"/>
  <c r="X180" i="3"/>
  <c r="Y180" i="3"/>
  <c r="Z180" i="3"/>
  <c r="AA180" i="3"/>
  <c r="AB180" i="3"/>
  <c r="AC180" i="3"/>
  <c r="W181" i="3"/>
  <c r="X181" i="3"/>
  <c r="Y181" i="3"/>
  <c r="Z181" i="3"/>
  <c r="AA181" i="3"/>
  <c r="AB181" i="3"/>
  <c r="AC181" i="3"/>
  <c r="W182" i="3"/>
  <c r="X182" i="3"/>
  <c r="Y182" i="3"/>
  <c r="Z182" i="3"/>
  <c r="AA182" i="3"/>
  <c r="AB182" i="3"/>
  <c r="AC182" i="3"/>
  <c r="W183" i="3"/>
  <c r="X183" i="3"/>
  <c r="Y183" i="3"/>
  <c r="Z183" i="3"/>
  <c r="AA183" i="3"/>
  <c r="AB183" i="3"/>
  <c r="AC183" i="3"/>
  <c r="W184" i="3"/>
  <c r="X184" i="3"/>
  <c r="Y184" i="3"/>
  <c r="Z184" i="3"/>
  <c r="AA184" i="3"/>
  <c r="AB184" i="3"/>
  <c r="AC184" i="3"/>
  <c r="W185" i="3"/>
  <c r="X185" i="3"/>
  <c r="Y185" i="3"/>
  <c r="Z185" i="3"/>
  <c r="AA185" i="3"/>
  <c r="AB185" i="3"/>
  <c r="AC185" i="3"/>
  <c r="W186" i="3"/>
  <c r="X186" i="3"/>
  <c r="Y186" i="3"/>
  <c r="Z186" i="3"/>
  <c r="AA186" i="3"/>
  <c r="AB186" i="3"/>
  <c r="AC186" i="3"/>
  <c r="W187" i="3"/>
  <c r="X187" i="3"/>
  <c r="Y187" i="3"/>
  <c r="Z187" i="3"/>
  <c r="AA187" i="3"/>
  <c r="AB187" i="3"/>
  <c r="AC187" i="3"/>
  <c r="W188" i="3"/>
  <c r="X188" i="3"/>
  <c r="Y188" i="3"/>
  <c r="Z188" i="3"/>
  <c r="AA188" i="3"/>
  <c r="AB188" i="3"/>
  <c r="AC188" i="3"/>
  <c r="W189" i="3"/>
  <c r="X189" i="3"/>
  <c r="Y189" i="3"/>
  <c r="Z189" i="3"/>
  <c r="AA189" i="3"/>
  <c r="AB189" i="3"/>
  <c r="AC189" i="3"/>
  <c r="W190" i="3"/>
  <c r="X190" i="3"/>
  <c r="Y190" i="3"/>
  <c r="Z190" i="3"/>
  <c r="AA190" i="3"/>
  <c r="AB190" i="3"/>
  <c r="AC190" i="3"/>
  <c r="W191" i="3"/>
  <c r="X191" i="3"/>
  <c r="Y191" i="3"/>
  <c r="Z191" i="3"/>
  <c r="AA191" i="3"/>
  <c r="AB191" i="3"/>
  <c r="AC191" i="3"/>
  <c r="W192" i="3"/>
  <c r="X192" i="3"/>
  <c r="Y192" i="3"/>
  <c r="Z192" i="3"/>
  <c r="AA192" i="3"/>
  <c r="AB192" i="3"/>
  <c r="AC192" i="3"/>
  <c r="W193" i="3"/>
  <c r="X193" i="3"/>
  <c r="Y193" i="3"/>
  <c r="Z193" i="3"/>
  <c r="AA193" i="3"/>
  <c r="AB193" i="3"/>
  <c r="AC193" i="3"/>
  <c r="W194" i="3"/>
  <c r="X194" i="3"/>
  <c r="Y194" i="3"/>
  <c r="Z194" i="3"/>
  <c r="AA194" i="3"/>
  <c r="AB194" i="3"/>
  <c r="AC194" i="3"/>
  <c r="W195" i="3"/>
  <c r="X195" i="3"/>
  <c r="Y195" i="3"/>
  <c r="Z195" i="3"/>
  <c r="AA195" i="3"/>
  <c r="AB195" i="3"/>
  <c r="AC195" i="3"/>
  <c r="W196" i="3"/>
  <c r="X196" i="3"/>
  <c r="Y196" i="3"/>
  <c r="Z196" i="3"/>
  <c r="AA196" i="3"/>
  <c r="AB196" i="3"/>
  <c r="AC196" i="3"/>
  <c r="W197" i="3"/>
  <c r="X197" i="3"/>
  <c r="Y197" i="3"/>
  <c r="Z197" i="3"/>
  <c r="AA197" i="3"/>
  <c r="AB197" i="3"/>
  <c r="AC197" i="3"/>
  <c r="W198" i="3"/>
  <c r="X198" i="3"/>
  <c r="Y198" i="3"/>
  <c r="Z198" i="3"/>
  <c r="AA198" i="3"/>
  <c r="AB198" i="3"/>
  <c r="AC198" i="3"/>
  <c r="W199" i="3"/>
  <c r="X199" i="3"/>
  <c r="Y199" i="3"/>
  <c r="Z199" i="3"/>
  <c r="AA199" i="3"/>
  <c r="AB199" i="3"/>
  <c r="AC199" i="3"/>
  <c r="W200" i="3"/>
  <c r="X200" i="3"/>
  <c r="Y200" i="3"/>
  <c r="Z200" i="3"/>
  <c r="AA200" i="3"/>
  <c r="AB200" i="3"/>
  <c r="AC200" i="3"/>
  <c r="W201" i="3"/>
  <c r="X201" i="3"/>
  <c r="Y201" i="3"/>
  <c r="Z201" i="3"/>
  <c r="AA201" i="3"/>
  <c r="AB201" i="3"/>
  <c r="AC201" i="3"/>
  <c r="W202" i="3"/>
  <c r="X202" i="3"/>
  <c r="Y202" i="3"/>
  <c r="Z202" i="3"/>
  <c r="AA202" i="3"/>
  <c r="AB202" i="3"/>
  <c r="AC202" i="3"/>
  <c r="W203" i="3"/>
  <c r="X203" i="3"/>
  <c r="Y203" i="3"/>
  <c r="Z203" i="3"/>
  <c r="AA203" i="3"/>
  <c r="AB203" i="3"/>
  <c r="AC203" i="3"/>
  <c r="W204" i="3"/>
  <c r="X204" i="3"/>
  <c r="Y204" i="3"/>
  <c r="Z204" i="3"/>
  <c r="AA204" i="3"/>
  <c r="AB204" i="3"/>
  <c r="AC204" i="3"/>
  <c r="W205" i="3"/>
  <c r="X205" i="3"/>
  <c r="Y205" i="3"/>
  <c r="Z205" i="3"/>
  <c r="AA205" i="3"/>
  <c r="AB205" i="3"/>
  <c r="AC205" i="3"/>
  <c r="W206" i="3"/>
  <c r="X206" i="3"/>
  <c r="Y206" i="3"/>
  <c r="Z206" i="3"/>
  <c r="AA206" i="3"/>
  <c r="AB206" i="3"/>
  <c r="AC206" i="3"/>
  <c r="W207" i="3"/>
  <c r="X207" i="3"/>
  <c r="Y207" i="3"/>
  <c r="Z207" i="3"/>
  <c r="AA207" i="3"/>
  <c r="AB207" i="3"/>
  <c r="AC207" i="3"/>
  <c r="W208" i="3"/>
  <c r="X208" i="3"/>
  <c r="Y208" i="3"/>
  <c r="Z208" i="3"/>
  <c r="AA208" i="3"/>
  <c r="AB208" i="3"/>
  <c r="AC208" i="3"/>
  <c r="W209" i="3"/>
  <c r="X209" i="3"/>
  <c r="Y209" i="3"/>
  <c r="Z209" i="3"/>
  <c r="AA209" i="3"/>
  <c r="AB209" i="3"/>
  <c r="AC209" i="3"/>
  <c r="W210" i="3"/>
  <c r="X210" i="3"/>
  <c r="Y210" i="3"/>
  <c r="Z210" i="3"/>
  <c r="AA210" i="3"/>
  <c r="AB210" i="3"/>
  <c r="AC210" i="3"/>
  <c r="W211" i="3"/>
  <c r="X211" i="3"/>
  <c r="Y211" i="3"/>
  <c r="Z211" i="3"/>
  <c r="AA211" i="3"/>
  <c r="AB211" i="3"/>
  <c r="AC211" i="3"/>
  <c r="W212" i="3"/>
  <c r="X212" i="3"/>
  <c r="Y212" i="3"/>
  <c r="Z212" i="3"/>
  <c r="AA212" i="3"/>
  <c r="AB212" i="3"/>
  <c r="AC212" i="3"/>
  <c r="W213" i="3"/>
  <c r="X213" i="3"/>
  <c r="Y213" i="3"/>
  <c r="Z213" i="3"/>
  <c r="AA213" i="3"/>
  <c r="AB213" i="3"/>
  <c r="AC213" i="3"/>
  <c r="W214" i="3"/>
  <c r="X214" i="3"/>
  <c r="Y214" i="3"/>
  <c r="Z214" i="3"/>
  <c r="AA214" i="3"/>
  <c r="AB214" i="3"/>
  <c r="AC214" i="3"/>
  <c r="W215" i="3"/>
  <c r="X215" i="3"/>
  <c r="Y215" i="3"/>
  <c r="Z215" i="3"/>
  <c r="AA215" i="3"/>
  <c r="AB215" i="3"/>
  <c r="AC215" i="3"/>
  <c r="W216" i="3"/>
  <c r="X216" i="3"/>
  <c r="Y216" i="3"/>
  <c r="Z216" i="3"/>
  <c r="AA216" i="3"/>
  <c r="AB216" i="3"/>
  <c r="AC216" i="3"/>
  <c r="W217" i="3"/>
  <c r="X217" i="3"/>
  <c r="Y217" i="3"/>
  <c r="Z217" i="3"/>
  <c r="AA217" i="3"/>
  <c r="AB217" i="3"/>
  <c r="AC217" i="3"/>
  <c r="W218" i="3"/>
  <c r="X218" i="3"/>
  <c r="Y218" i="3"/>
  <c r="Z218" i="3"/>
  <c r="AA218" i="3"/>
  <c r="AB218" i="3"/>
  <c r="AC218" i="3"/>
  <c r="W219" i="3"/>
  <c r="X219" i="3"/>
  <c r="Y219" i="3"/>
  <c r="Z219" i="3"/>
  <c r="AA219" i="3"/>
  <c r="AB219" i="3"/>
  <c r="AC219" i="3"/>
  <c r="W220" i="3"/>
  <c r="X220" i="3"/>
  <c r="Y220" i="3"/>
  <c r="Z220" i="3"/>
  <c r="AA220" i="3"/>
  <c r="AB220" i="3"/>
  <c r="AC220" i="3"/>
  <c r="W221" i="3"/>
  <c r="X221" i="3"/>
  <c r="Y221" i="3"/>
  <c r="Z221" i="3"/>
  <c r="AA221" i="3"/>
  <c r="AB221" i="3"/>
  <c r="AC221" i="3"/>
  <c r="W222" i="3"/>
  <c r="X222" i="3"/>
  <c r="Y222" i="3"/>
  <c r="Z222" i="3"/>
  <c r="AA222" i="3"/>
  <c r="AB222" i="3"/>
  <c r="AC222" i="3"/>
  <c r="W223" i="3"/>
  <c r="X223" i="3"/>
  <c r="Y223" i="3"/>
  <c r="Z223" i="3"/>
  <c r="AA223" i="3"/>
  <c r="AB223" i="3"/>
  <c r="AC223" i="3"/>
  <c r="W224" i="3"/>
  <c r="X224" i="3"/>
  <c r="Y224" i="3"/>
  <c r="Z224" i="3"/>
  <c r="AA224" i="3"/>
  <c r="AB224" i="3"/>
  <c r="AC224" i="3"/>
  <c r="W225" i="3"/>
  <c r="X225" i="3"/>
  <c r="Y225" i="3"/>
  <c r="Z225" i="3"/>
  <c r="AA225" i="3"/>
  <c r="AB225" i="3"/>
  <c r="AC225" i="3"/>
  <c r="W226" i="3"/>
  <c r="X226" i="3"/>
  <c r="Y226" i="3"/>
  <c r="Z226" i="3"/>
  <c r="AA226" i="3"/>
  <c r="AB226" i="3"/>
  <c r="AC226" i="3"/>
  <c r="W227" i="3"/>
  <c r="X227" i="3"/>
  <c r="Y227" i="3"/>
  <c r="Z227" i="3"/>
  <c r="AA227" i="3"/>
  <c r="AB227" i="3"/>
  <c r="AC227" i="3"/>
  <c r="W228" i="3"/>
  <c r="X228" i="3"/>
  <c r="Y228" i="3"/>
  <c r="Z228" i="3"/>
  <c r="AA228" i="3"/>
  <c r="AB228" i="3"/>
  <c r="AC228" i="3"/>
  <c r="W229" i="3"/>
  <c r="X229" i="3"/>
  <c r="Y229" i="3"/>
  <c r="Z229" i="3"/>
  <c r="AA229" i="3"/>
  <c r="AB229" i="3"/>
  <c r="AC229" i="3"/>
  <c r="W230" i="3"/>
  <c r="X230" i="3"/>
  <c r="Y230" i="3"/>
  <c r="Z230" i="3"/>
  <c r="AA230" i="3"/>
  <c r="AB230" i="3"/>
  <c r="AC230" i="3"/>
  <c r="W231" i="3"/>
  <c r="X231" i="3"/>
  <c r="Y231" i="3"/>
  <c r="Z231" i="3"/>
  <c r="AA231" i="3"/>
  <c r="AB231" i="3"/>
  <c r="AC231" i="3"/>
  <c r="W232" i="3"/>
  <c r="X232" i="3"/>
  <c r="Y232" i="3"/>
  <c r="Z232" i="3"/>
  <c r="AA232" i="3"/>
  <c r="AB232" i="3"/>
  <c r="AC232" i="3"/>
  <c r="W233" i="3"/>
  <c r="X233" i="3"/>
  <c r="Y233" i="3"/>
  <c r="Z233" i="3"/>
  <c r="AA233" i="3"/>
  <c r="AB233" i="3"/>
  <c r="AC233" i="3"/>
  <c r="W234" i="3"/>
  <c r="X234" i="3"/>
  <c r="Y234" i="3"/>
  <c r="Z234" i="3"/>
  <c r="AA234" i="3"/>
  <c r="AB234" i="3"/>
  <c r="AC234" i="3"/>
  <c r="W235" i="3"/>
  <c r="X235" i="3"/>
  <c r="Y235" i="3"/>
  <c r="Z235" i="3"/>
  <c r="AA235" i="3"/>
  <c r="AB235" i="3"/>
  <c r="AC235" i="3"/>
  <c r="W236" i="3"/>
  <c r="X236" i="3"/>
  <c r="Y236" i="3"/>
  <c r="Z236" i="3"/>
  <c r="AA236" i="3"/>
  <c r="AB236" i="3"/>
  <c r="AC236" i="3"/>
  <c r="W237" i="3"/>
  <c r="X237" i="3"/>
  <c r="Y237" i="3"/>
  <c r="Z237" i="3"/>
  <c r="AA237" i="3"/>
  <c r="AB237" i="3"/>
  <c r="AC237" i="3"/>
  <c r="W238" i="3"/>
  <c r="X238" i="3"/>
  <c r="Y238" i="3"/>
  <c r="Z238" i="3"/>
  <c r="AA238" i="3"/>
  <c r="AB238" i="3"/>
  <c r="AC238" i="3"/>
  <c r="W239" i="3"/>
  <c r="X239" i="3"/>
  <c r="Y239" i="3"/>
  <c r="Z239" i="3"/>
  <c r="AA239" i="3"/>
  <c r="AB239" i="3"/>
  <c r="AC239" i="3"/>
  <c r="W240" i="3"/>
  <c r="X240" i="3"/>
  <c r="Y240" i="3"/>
  <c r="Z240" i="3"/>
  <c r="AA240" i="3"/>
  <c r="AB240" i="3"/>
  <c r="AC240" i="3"/>
  <c r="W241" i="3"/>
  <c r="X241" i="3"/>
  <c r="Y241" i="3"/>
  <c r="Z241" i="3"/>
  <c r="AA241" i="3"/>
  <c r="AB241" i="3"/>
  <c r="AC241" i="3"/>
  <c r="W242" i="3"/>
  <c r="X242" i="3"/>
  <c r="Y242" i="3"/>
  <c r="Z242" i="3"/>
  <c r="AA242" i="3"/>
  <c r="AB242" i="3"/>
  <c r="AC242" i="3"/>
  <c r="W243" i="3"/>
  <c r="X243" i="3"/>
  <c r="Y243" i="3"/>
  <c r="Z243" i="3"/>
  <c r="AA243" i="3"/>
  <c r="AB243" i="3"/>
  <c r="AC243" i="3"/>
  <c r="W244" i="3"/>
  <c r="X244" i="3"/>
  <c r="Y244" i="3"/>
  <c r="Z244" i="3"/>
  <c r="AA244" i="3"/>
  <c r="AB244" i="3"/>
  <c r="AC244" i="3"/>
  <c r="W245" i="3"/>
  <c r="X245" i="3"/>
  <c r="Y245" i="3"/>
  <c r="Z245" i="3"/>
  <c r="AA245" i="3"/>
  <c r="AB245" i="3"/>
  <c r="AC245" i="3"/>
  <c r="W246" i="3"/>
  <c r="X246" i="3"/>
  <c r="Y246" i="3"/>
  <c r="Z246" i="3"/>
  <c r="AA246" i="3"/>
  <c r="AB246" i="3"/>
  <c r="AC246" i="3"/>
  <c r="W247" i="3"/>
  <c r="X247" i="3"/>
  <c r="Y247" i="3"/>
  <c r="Z247" i="3"/>
  <c r="AA247" i="3"/>
  <c r="AB247" i="3"/>
  <c r="AC247" i="3"/>
  <c r="W248" i="3"/>
  <c r="X248" i="3"/>
  <c r="Y248" i="3"/>
  <c r="Z248" i="3"/>
  <c r="AA248" i="3"/>
  <c r="AB248" i="3"/>
  <c r="AC248" i="3"/>
  <c r="W249" i="3"/>
  <c r="X249" i="3"/>
  <c r="Y249" i="3"/>
  <c r="Z249" i="3"/>
  <c r="AA249" i="3"/>
  <c r="AB249" i="3"/>
  <c r="AC249" i="3"/>
  <c r="W250" i="3"/>
  <c r="X250" i="3"/>
  <c r="Y250" i="3"/>
  <c r="Z250" i="3"/>
  <c r="AA250" i="3"/>
  <c r="AB250" i="3"/>
  <c r="AC250" i="3"/>
  <c r="W251" i="3"/>
  <c r="X251" i="3"/>
  <c r="Y251" i="3"/>
  <c r="Z251" i="3"/>
  <c r="AA251" i="3"/>
  <c r="AB251" i="3"/>
  <c r="AC251" i="3"/>
  <c r="W252" i="3"/>
  <c r="X252" i="3"/>
  <c r="Y252" i="3"/>
  <c r="Z252" i="3"/>
  <c r="AA252" i="3"/>
  <c r="AB252" i="3"/>
  <c r="AC252" i="3"/>
  <c r="W253" i="3"/>
  <c r="X253" i="3"/>
  <c r="Y253" i="3"/>
  <c r="Z253" i="3"/>
  <c r="AA253" i="3"/>
  <c r="AB253" i="3"/>
  <c r="AC253" i="3"/>
  <c r="W254" i="3"/>
  <c r="X254" i="3"/>
  <c r="Y254" i="3"/>
  <c r="Z254" i="3"/>
  <c r="AA254" i="3"/>
  <c r="AB254" i="3"/>
  <c r="AC254" i="3"/>
  <c r="W255" i="3"/>
  <c r="X255" i="3"/>
  <c r="Y255" i="3"/>
  <c r="Z255" i="3"/>
  <c r="AA255" i="3"/>
  <c r="AB255" i="3"/>
  <c r="AC255" i="3"/>
  <c r="W256" i="3"/>
  <c r="X256" i="3"/>
  <c r="Y256" i="3"/>
  <c r="Z256" i="3"/>
  <c r="AA256" i="3"/>
  <c r="AB256" i="3"/>
  <c r="AC256" i="3"/>
  <c r="W257" i="3"/>
  <c r="X257" i="3"/>
  <c r="Y257" i="3"/>
  <c r="Z257" i="3"/>
  <c r="AA257" i="3"/>
  <c r="AB257" i="3"/>
  <c r="AC257" i="3"/>
  <c r="W258" i="3"/>
  <c r="X258" i="3"/>
  <c r="Y258" i="3"/>
  <c r="Z258" i="3"/>
  <c r="AA258" i="3"/>
  <c r="AB258" i="3"/>
  <c r="AC258" i="3"/>
  <c r="W259" i="3"/>
  <c r="X259" i="3"/>
  <c r="Y259" i="3"/>
  <c r="Z259" i="3"/>
  <c r="AA259" i="3"/>
  <c r="AB259" i="3"/>
  <c r="AC259" i="3"/>
  <c r="W260" i="3"/>
  <c r="X260" i="3"/>
  <c r="Y260" i="3"/>
  <c r="Z260" i="3"/>
  <c r="AA260" i="3"/>
  <c r="AB260" i="3"/>
  <c r="AC260" i="3"/>
  <c r="W261" i="3"/>
  <c r="X261" i="3"/>
  <c r="Y261" i="3"/>
  <c r="Z261" i="3"/>
  <c r="AA261" i="3"/>
  <c r="AB261" i="3"/>
  <c r="AC261" i="3"/>
  <c r="W262" i="3"/>
  <c r="X262" i="3"/>
  <c r="Y262" i="3"/>
  <c r="Z262" i="3"/>
  <c r="AA262" i="3"/>
  <c r="AB262" i="3"/>
  <c r="AC262" i="3"/>
  <c r="W263" i="3"/>
  <c r="X263" i="3"/>
  <c r="Y263" i="3"/>
  <c r="Z263" i="3"/>
  <c r="AA263" i="3"/>
  <c r="AB263" i="3"/>
  <c r="AC263" i="3"/>
  <c r="W264" i="3"/>
  <c r="X264" i="3"/>
  <c r="Y264" i="3"/>
  <c r="Z264" i="3"/>
  <c r="AA264" i="3"/>
  <c r="AB264" i="3"/>
  <c r="AC264" i="3"/>
  <c r="W265" i="3"/>
  <c r="X265" i="3"/>
  <c r="Y265" i="3"/>
  <c r="Z265" i="3"/>
  <c r="AA265" i="3"/>
  <c r="AB265" i="3"/>
  <c r="AC265" i="3"/>
  <c r="W266" i="3"/>
  <c r="X266" i="3"/>
  <c r="Y266" i="3"/>
  <c r="Z266" i="3"/>
  <c r="AA266" i="3"/>
  <c r="AB266" i="3"/>
  <c r="AC266" i="3"/>
  <c r="W267" i="3"/>
  <c r="X267" i="3"/>
  <c r="Y267" i="3"/>
  <c r="Z267" i="3"/>
  <c r="AA267" i="3"/>
  <c r="AB267" i="3"/>
  <c r="AC267" i="3"/>
  <c r="W268" i="3"/>
  <c r="X268" i="3"/>
  <c r="Y268" i="3"/>
  <c r="Z268" i="3"/>
  <c r="AA268" i="3"/>
  <c r="AB268" i="3"/>
  <c r="AC268" i="3"/>
  <c r="W269" i="3"/>
  <c r="X269" i="3"/>
  <c r="Y269" i="3"/>
  <c r="Z269" i="3"/>
  <c r="AA269" i="3"/>
  <c r="AB269" i="3"/>
  <c r="AC269" i="3"/>
  <c r="W270" i="3"/>
  <c r="X270" i="3"/>
  <c r="Y270" i="3"/>
  <c r="Z270" i="3"/>
  <c r="AA270" i="3"/>
  <c r="AB270" i="3"/>
  <c r="AC270" i="3"/>
  <c r="W271" i="3"/>
  <c r="X271" i="3"/>
  <c r="Y271" i="3"/>
  <c r="Z271" i="3"/>
  <c r="AA271" i="3"/>
  <c r="AB271" i="3"/>
  <c r="AC271" i="3"/>
  <c r="W272" i="3"/>
  <c r="X272" i="3"/>
  <c r="Y272" i="3"/>
  <c r="Z272" i="3"/>
  <c r="AA272" i="3"/>
  <c r="AB272" i="3"/>
  <c r="AC272" i="3"/>
  <c r="W273" i="3"/>
  <c r="X273" i="3"/>
  <c r="Y273" i="3"/>
  <c r="Z273" i="3"/>
  <c r="AA273" i="3"/>
  <c r="AB273" i="3"/>
  <c r="AC273" i="3"/>
  <c r="W274" i="3"/>
  <c r="X274" i="3"/>
  <c r="Y274" i="3"/>
  <c r="Z274" i="3"/>
  <c r="AA274" i="3"/>
  <c r="AB274" i="3"/>
  <c r="AC274" i="3"/>
  <c r="W275" i="3"/>
  <c r="X275" i="3"/>
  <c r="Y275" i="3"/>
  <c r="Z275" i="3"/>
  <c r="AA275" i="3"/>
  <c r="AB275" i="3"/>
  <c r="AC275" i="3"/>
  <c r="W276" i="3"/>
  <c r="X276" i="3"/>
  <c r="Y276" i="3"/>
  <c r="Z276" i="3"/>
  <c r="AA276" i="3"/>
  <c r="AB276" i="3"/>
  <c r="AC276" i="3"/>
  <c r="W277" i="3"/>
  <c r="X277" i="3"/>
  <c r="Y277" i="3"/>
  <c r="Z277" i="3"/>
  <c r="AA277" i="3"/>
  <c r="AB277" i="3"/>
  <c r="AC277" i="3"/>
  <c r="W278" i="3"/>
  <c r="X278" i="3"/>
  <c r="Y278" i="3"/>
  <c r="Z278" i="3"/>
  <c r="AA278" i="3"/>
  <c r="AB278" i="3"/>
  <c r="AC278" i="3"/>
  <c r="W279" i="3"/>
  <c r="X279" i="3"/>
  <c r="Y279" i="3"/>
  <c r="Z279" i="3"/>
  <c r="AA279" i="3"/>
  <c r="AB279" i="3"/>
  <c r="AC279" i="3"/>
  <c r="W280" i="3"/>
  <c r="X280" i="3"/>
  <c r="Y280" i="3"/>
  <c r="Z280" i="3"/>
  <c r="AA280" i="3"/>
  <c r="AB280" i="3"/>
  <c r="AC280" i="3"/>
  <c r="W281" i="3"/>
  <c r="X281" i="3"/>
  <c r="Y281" i="3"/>
  <c r="Z281" i="3"/>
  <c r="AA281" i="3"/>
  <c r="AB281" i="3"/>
  <c r="AC281" i="3"/>
  <c r="W282" i="3"/>
  <c r="X282" i="3"/>
  <c r="Y282" i="3"/>
  <c r="Z282" i="3"/>
  <c r="AA282" i="3"/>
  <c r="AB282" i="3"/>
  <c r="AC282" i="3"/>
  <c r="W283" i="3"/>
  <c r="X283" i="3"/>
  <c r="Y283" i="3"/>
  <c r="Z283" i="3"/>
  <c r="AA283" i="3"/>
  <c r="AB283" i="3"/>
  <c r="AC283" i="3"/>
  <c r="W284" i="3"/>
  <c r="X284" i="3"/>
  <c r="Y284" i="3"/>
  <c r="Z284" i="3"/>
  <c r="AA284" i="3"/>
  <c r="AB284" i="3"/>
  <c r="AC284" i="3"/>
  <c r="W285" i="3"/>
  <c r="X285" i="3"/>
  <c r="Y285" i="3"/>
  <c r="Z285" i="3"/>
  <c r="AA285" i="3"/>
  <c r="AB285" i="3"/>
  <c r="AC285" i="3"/>
  <c r="W286" i="3"/>
  <c r="X286" i="3"/>
  <c r="Y286" i="3"/>
  <c r="Z286" i="3"/>
  <c r="AA286" i="3"/>
  <c r="AB286" i="3"/>
  <c r="AC286" i="3"/>
  <c r="W287" i="3"/>
  <c r="X287" i="3"/>
  <c r="Y287" i="3"/>
  <c r="Z287" i="3"/>
  <c r="AA287" i="3"/>
  <c r="AB287" i="3"/>
  <c r="AC287" i="3"/>
  <c r="W288" i="3"/>
  <c r="X288" i="3"/>
  <c r="Y288" i="3"/>
  <c r="Z288" i="3"/>
  <c r="AA288" i="3"/>
  <c r="AB288" i="3"/>
  <c r="AC288" i="3"/>
  <c r="W289" i="3"/>
  <c r="X289" i="3"/>
  <c r="Y289" i="3"/>
  <c r="Z289" i="3"/>
  <c r="AA289" i="3"/>
  <c r="AB289" i="3"/>
  <c r="AC289" i="3"/>
  <c r="W290" i="3"/>
  <c r="X290" i="3"/>
  <c r="Y290" i="3"/>
  <c r="Z290" i="3"/>
  <c r="AA290" i="3"/>
  <c r="AB290" i="3"/>
  <c r="AC290" i="3"/>
  <c r="W291" i="3"/>
  <c r="X291" i="3"/>
  <c r="Y291" i="3"/>
  <c r="Z291" i="3"/>
  <c r="AA291" i="3"/>
  <c r="AB291" i="3"/>
  <c r="AC291" i="3"/>
  <c r="W292" i="3"/>
  <c r="X292" i="3"/>
  <c r="Y292" i="3"/>
  <c r="Z292" i="3"/>
  <c r="AA292" i="3"/>
  <c r="AB292" i="3"/>
  <c r="AC292" i="3"/>
  <c r="W293" i="3"/>
  <c r="X293" i="3"/>
  <c r="Y293" i="3"/>
  <c r="Z293" i="3"/>
  <c r="AA293" i="3"/>
  <c r="AB293" i="3"/>
  <c r="AC293" i="3"/>
  <c r="W294" i="3"/>
  <c r="X294" i="3"/>
  <c r="Y294" i="3"/>
  <c r="Z294" i="3"/>
  <c r="AA294" i="3"/>
  <c r="AB294" i="3"/>
  <c r="AC294" i="3"/>
  <c r="W295" i="3"/>
  <c r="X295" i="3"/>
  <c r="Y295" i="3"/>
  <c r="Z295" i="3"/>
  <c r="AA295" i="3"/>
  <c r="AB295" i="3"/>
  <c r="AC295" i="3"/>
  <c r="W296" i="3"/>
  <c r="X296" i="3"/>
  <c r="Y296" i="3"/>
  <c r="Z296" i="3"/>
  <c r="AA296" i="3"/>
  <c r="AB296" i="3"/>
  <c r="AC296" i="3"/>
  <c r="W297" i="3"/>
  <c r="X297" i="3"/>
  <c r="Y297" i="3"/>
  <c r="Z297" i="3"/>
  <c r="AA297" i="3"/>
  <c r="AB297" i="3"/>
  <c r="AC297" i="3"/>
  <c r="W298" i="3"/>
  <c r="X298" i="3"/>
  <c r="Y298" i="3"/>
  <c r="Z298" i="3"/>
  <c r="AA298" i="3"/>
  <c r="AB298" i="3"/>
  <c r="AC298" i="3"/>
  <c r="W299" i="3"/>
  <c r="X299" i="3"/>
  <c r="Y299" i="3"/>
  <c r="Z299" i="3"/>
  <c r="AA299" i="3"/>
  <c r="AB299" i="3"/>
  <c r="AC299" i="3"/>
  <c r="W300" i="3"/>
  <c r="X300" i="3"/>
  <c r="Y300" i="3"/>
  <c r="Z300" i="3"/>
  <c r="AA300" i="3"/>
  <c r="AB300" i="3"/>
  <c r="AC300" i="3"/>
  <c r="W301" i="3"/>
  <c r="X301" i="3"/>
  <c r="Y301" i="3"/>
  <c r="Z301" i="3"/>
  <c r="AA301" i="3"/>
  <c r="AB301" i="3"/>
  <c r="AC301" i="3"/>
  <c r="W302" i="3"/>
  <c r="X302" i="3"/>
  <c r="Y302" i="3"/>
  <c r="Z302" i="3"/>
  <c r="AA302" i="3"/>
  <c r="AB302" i="3"/>
  <c r="AC302" i="3"/>
  <c r="W303" i="3"/>
  <c r="X303" i="3"/>
  <c r="Y303" i="3"/>
  <c r="Z303" i="3"/>
  <c r="AA303" i="3"/>
  <c r="AB303" i="3"/>
  <c r="AC303" i="3"/>
  <c r="W304" i="3"/>
  <c r="X304" i="3"/>
  <c r="Y304" i="3"/>
  <c r="Z304" i="3"/>
  <c r="AA304" i="3"/>
  <c r="AB304" i="3"/>
  <c r="AC304" i="3"/>
  <c r="W305" i="3"/>
  <c r="X305" i="3"/>
  <c r="Y305" i="3"/>
  <c r="Z305" i="3"/>
  <c r="AA305" i="3"/>
  <c r="AB305" i="3"/>
  <c r="AC305" i="3"/>
  <c r="W306" i="3"/>
  <c r="X306" i="3"/>
  <c r="Y306" i="3"/>
  <c r="Z306" i="3"/>
  <c r="AA306" i="3"/>
  <c r="AB306" i="3"/>
  <c r="AC306" i="3"/>
  <c r="W307" i="3"/>
  <c r="X307" i="3"/>
  <c r="Y307" i="3"/>
  <c r="Z307" i="3"/>
  <c r="AA307" i="3"/>
  <c r="AB307" i="3"/>
  <c r="AC307" i="3"/>
  <c r="W308" i="3"/>
  <c r="X308" i="3"/>
  <c r="Y308" i="3"/>
  <c r="Z308" i="3"/>
  <c r="AA308" i="3"/>
  <c r="AB308" i="3"/>
  <c r="AC308" i="3"/>
  <c r="W309" i="3"/>
  <c r="X309" i="3"/>
  <c r="Y309" i="3"/>
  <c r="Z309" i="3"/>
  <c r="AA309" i="3"/>
  <c r="AB309" i="3"/>
  <c r="AC309" i="3"/>
  <c r="W310" i="3"/>
  <c r="X310" i="3"/>
  <c r="Y310" i="3"/>
  <c r="Z310" i="3"/>
  <c r="AA310" i="3"/>
  <c r="AB310" i="3"/>
  <c r="AC310" i="3"/>
  <c r="W311" i="3"/>
  <c r="X311" i="3"/>
  <c r="Y311" i="3"/>
  <c r="Z311" i="3"/>
  <c r="AA311" i="3"/>
  <c r="AB311" i="3"/>
  <c r="AC311" i="3"/>
  <c r="W312" i="3"/>
  <c r="X312" i="3"/>
  <c r="Y312" i="3"/>
  <c r="Z312" i="3"/>
  <c r="AA312" i="3"/>
  <c r="AB312" i="3"/>
  <c r="AC312" i="3"/>
  <c r="W313" i="3"/>
  <c r="X313" i="3"/>
  <c r="Y313" i="3"/>
  <c r="Z313" i="3"/>
  <c r="AA313" i="3"/>
  <c r="AB313" i="3"/>
  <c r="AC313" i="3"/>
  <c r="W314" i="3"/>
  <c r="X314" i="3"/>
  <c r="Y314" i="3"/>
  <c r="Z314" i="3"/>
  <c r="AA314" i="3"/>
  <c r="AB314" i="3"/>
  <c r="AC314" i="3"/>
  <c r="W315" i="3"/>
  <c r="X315" i="3"/>
  <c r="Y315" i="3"/>
  <c r="Z315" i="3"/>
  <c r="AA315" i="3"/>
  <c r="AB315" i="3"/>
  <c r="AC315" i="3"/>
  <c r="W316" i="3"/>
  <c r="X316" i="3"/>
  <c r="Y316" i="3"/>
  <c r="Z316" i="3"/>
  <c r="AA316" i="3"/>
  <c r="AB316" i="3"/>
  <c r="AC316" i="3"/>
  <c r="W317" i="3"/>
  <c r="X317" i="3"/>
  <c r="Y317" i="3"/>
  <c r="Z317" i="3"/>
  <c r="AA317" i="3"/>
  <c r="AB317" i="3"/>
  <c r="AC317" i="3"/>
  <c r="W318" i="3"/>
  <c r="X318" i="3"/>
  <c r="Y318" i="3"/>
  <c r="Z318" i="3"/>
  <c r="AA318" i="3"/>
  <c r="AB318" i="3"/>
  <c r="AC318" i="3"/>
  <c r="W319" i="3"/>
  <c r="X319" i="3"/>
  <c r="Y319" i="3"/>
  <c r="Z319" i="3"/>
  <c r="AA319" i="3"/>
  <c r="AB319" i="3"/>
  <c r="AC319" i="3"/>
  <c r="W320" i="3"/>
  <c r="X320" i="3"/>
  <c r="Y320" i="3"/>
  <c r="Z320" i="3"/>
  <c r="AA320" i="3"/>
  <c r="AB320" i="3"/>
  <c r="AC320" i="3"/>
  <c r="W321" i="3"/>
  <c r="X321" i="3"/>
  <c r="Y321" i="3"/>
  <c r="Z321" i="3"/>
  <c r="AA321" i="3"/>
  <c r="AB321" i="3"/>
  <c r="AC321" i="3"/>
  <c r="W322" i="3"/>
  <c r="X322" i="3"/>
  <c r="Y322" i="3"/>
  <c r="Z322" i="3"/>
  <c r="AA322" i="3"/>
  <c r="AB322" i="3"/>
  <c r="AC322" i="3"/>
  <c r="W323" i="3"/>
  <c r="X323" i="3"/>
  <c r="Y323" i="3"/>
  <c r="Z323" i="3"/>
  <c r="AA323" i="3"/>
  <c r="AB323" i="3"/>
  <c r="AC323" i="3"/>
  <c r="W324" i="3"/>
  <c r="X324" i="3"/>
  <c r="Y324" i="3"/>
  <c r="Z324" i="3"/>
  <c r="AA324" i="3"/>
  <c r="AB324" i="3"/>
  <c r="AC324" i="3"/>
  <c r="W325" i="3"/>
  <c r="X325" i="3"/>
  <c r="Y325" i="3"/>
  <c r="Z325" i="3"/>
  <c r="AA325" i="3"/>
  <c r="AB325" i="3"/>
  <c r="AC325" i="3"/>
  <c r="W326" i="3"/>
  <c r="X326" i="3"/>
  <c r="Y326" i="3"/>
  <c r="Z326" i="3"/>
  <c r="AA326" i="3"/>
  <c r="AB326" i="3"/>
  <c r="AC326" i="3"/>
  <c r="W327" i="3"/>
  <c r="X327" i="3"/>
  <c r="Y327" i="3"/>
  <c r="Z327" i="3"/>
  <c r="AA327" i="3"/>
  <c r="AB327" i="3"/>
  <c r="AC327" i="3"/>
  <c r="W328" i="3"/>
  <c r="X328" i="3"/>
  <c r="Y328" i="3"/>
  <c r="Z328" i="3"/>
  <c r="AA328" i="3"/>
  <c r="AB328" i="3"/>
  <c r="AC328" i="3"/>
  <c r="W329" i="3"/>
  <c r="X329" i="3"/>
  <c r="Y329" i="3"/>
  <c r="Z329" i="3"/>
  <c r="AA329" i="3"/>
  <c r="AB329" i="3"/>
  <c r="AC329" i="3"/>
  <c r="W330" i="3"/>
  <c r="X330" i="3"/>
  <c r="Y330" i="3"/>
  <c r="Z330" i="3"/>
  <c r="AA330" i="3"/>
  <c r="AB330" i="3"/>
  <c r="AC330" i="3"/>
  <c r="W331" i="3"/>
  <c r="X331" i="3"/>
  <c r="Y331" i="3"/>
  <c r="Z331" i="3"/>
  <c r="AA331" i="3"/>
  <c r="AB331" i="3"/>
  <c r="AC331" i="3"/>
  <c r="W332" i="3"/>
  <c r="X332" i="3"/>
  <c r="Y332" i="3"/>
  <c r="Z332" i="3"/>
  <c r="AA332" i="3"/>
  <c r="AB332" i="3"/>
  <c r="AC332" i="3"/>
  <c r="W333" i="3"/>
  <c r="X333" i="3"/>
  <c r="Y333" i="3"/>
  <c r="Z333" i="3"/>
  <c r="AA333" i="3"/>
  <c r="AB333" i="3"/>
  <c r="AC333" i="3"/>
  <c r="W334" i="3"/>
  <c r="X334" i="3"/>
  <c r="Y334" i="3"/>
  <c r="Z334" i="3"/>
  <c r="AA334" i="3"/>
  <c r="AB334" i="3"/>
  <c r="AC334" i="3"/>
  <c r="W335" i="3"/>
  <c r="X335" i="3"/>
  <c r="Y335" i="3"/>
  <c r="Z335" i="3"/>
  <c r="AA335" i="3"/>
  <c r="AB335" i="3"/>
  <c r="AC335" i="3"/>
  <c r="W336" i="3"/>
  <c r="X336" i="3"/>
  <c r="Y336" i="3"/>
  <c r="Z336" i="3"/>
  <c r="AA336" i="3"/>
  <c r="AB336" i="3"/>
  <c r="AC336" i="3"/>
  <c r="W337" i="3"/>
  <c r="X337" i="3"/>
  <c r="Y337" i="3"/>
  <c r="Z337" i="3"/>
  <c r="AA337" i="3"/>
  <c r="AB337" i="3"/>
  <c r="AC337" i="3"/>
  <c r="W338" i="3"/>
  <c r="X338" i="3"/>
  <c r="Y338" i="3"/>
  <c r="Z338" i="3"/>
  <c r="AA338" i="3"/>
  <c r="AB338" i="3"/>
  <c r="AC338" i="3"/>
  <c r="W339" i="3"/>
  <c r="X339" i="3"/>
  <c r="Y339" i="3"/>
  <c r="Z339" i="3"/>
  <c r="AA339" i="3"/>
  <c r="AB339" i="3"/>
  <c r="AC339" i="3"/>
  <c r="W340" i="3"/>
  <c r="X340" i="3"/>
  <c r="Y340" i="3"/>
  <c r="Z340" i="3"/>
  <c r="AA340" i="3"/>
  <c r="AB340" i="3"/>
  <c r="AC340" i="3"/>
  <c r="W341" i="3"/>
  <c r="X341" i="3"/>
  <c r="Y341" i="3"/>
  <c r="Z341" i="3"/>
  <c r="AA341" i="3"/>
  <c r="AB341" i="3"/>
  <c r="AC341" i="3"/>
  <c r="W342" i="3"/>
  <c r="X342" i="3"/>
  <c r="Y342" i="3"/>
  <c r="Z342" i="3"/>
  <c r="AA342" i="3"/>
  <c r="AB342" i="3"/>
  <c r="AC342" i="3"/>
  <c r="W343" i="3"/>
  <c r="X343" i="3"/>
  <c r="Y343" i="3"/>
  <c r="Z343" i="3"/>
  <c r="AA343" i="3"/>
  <c r="AB343" i="3"/>
  <c r="AC343" i="3"/>
  <c r="W344" i="3"/>
  <c r="X344" i="3"/>
  <c r="Y344" i="3"/>
  <c r="Z344" i="3"/>
  <c r="AA344" i="3"/>
  <c r="AB344" i="3"/>
  <c r="AC344" i="3"/>
  <c r="W345" i="3"/>
  <c r="X345" i="3"/>
  <c r="Y345" i="3"/>
  <c r="Z345" i="3"/>
  <c r="AA345" i="3"/>
  <c r="AB345" i="3"/>
  <c r="AC345" i="3"/>
  <c r="W346" i="3"/>
  <c r="X346" i="3"/>
  <c r="Y346" i="3"/>
  <c r="Z346" i="3"/>
  <c r="AA346" i="3"/>
  <c r="AB346" i="3"/>
  <c r="AC346" i="3"/>
  <c r="W347" i="3"/>
  <c r="X347" i="3"/>
  <c r="Y347" i="3"/>
  <c r="Z347" i="3"/>
  <c r="AA347" i="3"/>
  <c r="AB347" i="3"/>
  <c r="AC347" i="3"/>
  <c r="W348" i="3"/>
  <c r="X348" i="3"/>
  <c r="Y348" i="3"/>
  <c r="Z348" i="3"/>
  <c r="AA348" i="3"/>
  <c r="AB348" i="3"/>
  <c r="AC348" i="3"/>
  <c r="W349" i="3"/>
  <c r="X349" i="3"/>
  <c r="Y349" i="3"/>
  <c r="Z349" i="3"/>
  <c r="AA349" i="3"/>
  <c r="AB349" i="3"/>
  <c r="AC349" i="3"/>
  <c r="W350" i="3"/>
  <c r="X350" i="3"/>
  <c r="Y350" i="3"/>
  <c r="Z350" i="3"/>
  <c r="AA350" i="3"/>
  <c r="AB350" i="3"/>
  <c r="AC350" i="3"/>
  <c r="W351" i="3"/>
  <c r="X351" i="3"/>
  <c r="Y351" i="3"/>
  <c r="Z351" i="3"/>
  <c r="AA351" i="3"/>
  <c r="AB351" i="3"/>
  <c r="AC351" i="3"/>
  <c r="W352" i="3"/>
  <c r="X352" i="3"/>
  <c r="Y352" i="3"/>
  <c r="Z352" i="3"/>
  <c r="AA352" i="3"/>
  <c r="AB352" i="3"/>
  <c r="AC352" i="3"/>
  <c r="W353" i="3"/>
  <c r="X353" i="3"/>
  <c r="Y353" i="3"/>
  <c r="Z353" i="3"/>
  <c r="AA353" i="3"/>
  <c r="AB353" i="3"/>
  <c r="AC353" i="3"/>
  <c r="W354" i="3"/>
  <c r="X354" i="3"/>
  <c r="Y354" i="3"/>
  <c r="Z354" i="3"/>
  <c r="AA354" i="3"/>
  <c r="AB354" i="3"/>
  <c r="AC354" i="3"/>
  <c r="W355" i="3"/>
  <c r="X355" i="3"/>
  <c r="Y355" i="3"/>
  <c r="Z355" i="3"/>
  <c r="AA355" i="3"/>
  <c r="AB355" i="3"/>
  <c r="AC355" i="3"/>
  <c r="W356" i="3"/>
  <c r="X356" i="3"/>
  <c r="Y356" i="3"/>
  <c r="Z356" i="3"/>
  <c r="AA356" i="3"/>
  <c r="AB356" i="3"/>
  <c r="AC356" i="3"/>
  <c r="W357" i="3"/>
  <c r="X357" i="3"/>
  <c r="Y357" i="3"/>
  <c r="Z357" i="3"/>
  <c r="AA357" i="3"/>
  <c r="AB357" i="3"/>
  <c r="AC357" i="3"/>
  <c r="W358" i="3"/>
  <c r="X358" i="3"/>
  <c r="Y358" i="3"/>
  <c r="Z358" i="3"/>
  <c r="AA358" i="3"/>
  <c r="AB358" i="3"/>
  <c r="AC358" i="3"/>
  <c r="W359" i="3"/>
  <c r="X359" i="3"/>
  <c r="Y359" i="3"/>
  <c r="Z359" i="3"/>
  <c r="AA359" i="3"/>
  <c r="AB359" i="3"/>
  <c r="AC359" i="3"/>
  <c r="W360" i="3"/>
  <c r="X360" i="3"/>
  <c r="Y360" i="3"/>
  <c r="Z360" i="3"/>
  <c r="AA360" i="3"/>
  <c r="AB360" i="3"/>
  <c r="AC360" i="3"/>
  <c r="W361" i="3"/>
  <c r="X361" i="3"/>
  <c r="Y361" i="3"/>
  <c r="Z361" i="3"/>
  <c r="AA361" i="3"/>
  <c r="AB361" i="3"/>
  <c r="AC361" i="3"/>
  <c r="W362" i="3"/>
  <c r="X362" i="3"/>
  <c r="Y362" i="3"/>
  <c r="Z362" i="3"/>
  <c r="AA362" i="3"/>
  <c r="AB362" i="3"/>
  <c r="AC362" i="3"/>
  <c r="W363" i="3"/>
  <c r="X363" i="3"/>
  <c r="Y363" i="3"/>
  <c r="Z363" i="3"/>
  <c r="AA363" i="3"/>
  <c r="AB363" i="3"/>
  <c r="AC363" i="3"/>
  <c r="W364" i="3"/>
  <c r="X364" i="3"/>
  <c r="Y364" i="3"/>
  <c r="Z364" i="3"/>
  <c r="AA364" i="3"/>
  <c r="AB364" i="3"/>
  <c r="AC364" i="3"/>
  <c r="W365" i="3"/>
  <c r="X365" i="3"/>
  <c r="Y365" i="3"/>
  <c r="Z365" i="3"/>
  <c r="AA365" i="3"/>
  <c r="AB365" i="3"/>
  <c r="AC365" i="3"/>
  <c r="W366" i="3"/>
  <c r="X366" i="3"/>
  <c r="Y366" i="3"/>
  <c r="Z366" i="3"/>
  <c r="AA366" i="3"/>
  <c r="AB366" i="3"/>
  <c r="AC366" i="3"/>
  <c r="W367" i="3"/>
  <c r="X367" i="3"/>
  <c r="Y367" i="3"/>
  <c r="Z367" i="3"/>
  <c r="AA367" i="3"/>
  <c r="AB367" i="3"/>
  <c r="AC367" i="3"/>
  <c r="W368" i="3"/>
  <c r="X368" i="3"/>
  <c r="Y368" i="3"/>
  <c r="Z368" i="3"/>
  <c r="AA368" i="3"/>
  <c r="AB368" i="3"/>
  <c r="AC368" i="3"/>
  <c r="W369" i="3"/>
  <c r="X369" i="3"/>
  <c r="Y369" i="3"/>
  <c r="Z369" i="3"/>
  <c r="AA369" i="3"/>
  <c r="AB369" i="3"/>
  <c r="AC369" i="3"/>
  <c r="W370" i="3"/>
  <c r="X370" i="3"/>
  <c r="Y370" i="3"/>
  <c r="Z370" i="3"/>
  <c r="AA370" i="3"/>
  <c r="AB370" i="3"/>
  <c r="AC370" i="3"/>
  <c r="W371" i="3"/>
  <c r="X371" i="3"/>
  <c r="Y371" i="3"/>
  <c r="Z371" i="3"/>
  <c r="AA371" i="3"/>
  <c r="AB371" i="3"/>
  <c r="AC371" i="3"/>
  <c r="W372" i="3"/>
  <c r="X372" i="3"/>
  <c r="Y372" i="3"/>
  <c r="Z372" i="3"/>
  <c r="AA372" i="3"/>
  <c r="AB372" i="3"/>
  <c r="AC372" i="3"/>
  <c r="W373" i="3"/>
  <c r="X373" i="3"/>
  <c r="Y373" i="3"/>
  <c r="Z373" i="3"/>
  <c r="AA373" i="3"/>
  <c r="AB373" i="3"/>
  <c r="AC373" i="3"/>
  <c r="W374" i="3"/>
  <c r="X374" i="3"/>
  <c r="Y374" i="3"/>
  <c r="Z374" i="3"/>
  <c r="AA374" i="3"/>
  <c r="AB374" i="3"/>
  <c r="AC374" i="3"/>
  <c r="W375" i="3"/>
  <c r="X375" i="3"/>
  <c r="Y375" i="3"/>
  <c r="Z375" i="3"/>
  <c r="AA375" i="3"/>
  <c r="AB375" i="3"/>
  <c r="AC375" i="3"/>
  <c r="W376" i="3"/>
  <c r="X376" i="3"/>
  <c r="Y376" i="3"/>
  <c r="Z376" i="3"/>
  <c r="AA376" i="3"/>
  <c r="AB376" i="3"/>
  <c r="AC376" i="3"/>
  <c r="W377" i="3"/>
  <c r="X377" i="3"/>
  <c r="Y377" i="3"/>
  <c r="Z377" i="3"/>
  <c r="AA377" i="3"/>
  <c r="AB377" i="3"/>
  <c r="AC377" i="3"/>
  <c r="W378" i="3"/>
  <c r="X378" i="3"/>
  <c r="Y378" i="3"/>
  <c r="Z378" i="3"/>
  <c r="AA378" i="3"/>
  <c r="AB378" i="3"/>
  <c r="AC378" i="3"/>
  <c r="W379" i="3"/>
  <c r="X379" i="3"/>
  <c r="Y379" i="3"/>
  <c r="Z379" i="3"/>
  <c r="AA379" i="3"/>
  <c r="AB379" i="3"/>
  <c r="AC379" i="3"/>
  <c r="W380" i="3"/>
  <c r="X380" i="3"/>
  <c r="Y380" i="3"/>
  <c r="Z380" i="3"/>
  <c r="AA380" i="3"/>
  <c r="AB380" i="3"/>
  <c r="AC380" i="3"/>
  <c r="W381" i="3"/>
  <c r="X381" i="3"/>
  <c r="Y381" i="3"/>
  <c r="Z381" i="3"/>
  <c r="AA381" i="3"/>
  <c r="AB381" i="3"/>
  <c r="AC381" i="3"/>
  <c r="W382" i="3"/>
  <c r="X382" i="3"/>
  <c r="Y382" i="3"/>
  <c r="Z382" i="3"/>
  <c r="AA382" i="3"/>
  <c r="AB382" i="3"/>
  <c r="AC382" i="3"/>
  <c r="W383" i="3"/>
  <c r="X383" i="3"/>
  <c r="Y383" i="3"/>
  <c r="Z383" i="3"/>
  <c r="AA383" i="3"/>
  <c r="AB383" i="3"/>
  <c r="AC383" i="3"/>
  <c r="W384" i="3"/>
  <c r="X384" i="3"/>
  <c r="Y384" i="3"/>
  <c r="Z384" i="3"/>
  <c r="AA384" i="3"/>
  <c r="AB384" i="3"/>
  <c r="AC384" i="3"/>
  <c r="W385" i="3"/>
  <c r="X385" i="3"/>
  <c r="Y385" i="3"/>
  <c r="Z385" i="3"/>
  <c r="AA385" i="3"/>
  <c r="AB385" i="3"/>
  <c r="AC385" i="3"/>
  <c r="W386" i="3"/>
  <c r="X386" i="3"/>
  <c r="Y386" i="3"/>
  <c r="Z386" i="3"/>
  <c r="AA386" i="3"/>
  <c r="AB386" i="3"/>
  <c r="AC386" i="3"/>
  <c r="W387" i="3"/>
  <c r="X387" i="3"/>
  <c r="Y387" i="3"/>
  <c r="Z387" i="3"/>
  <c r="AA387" i="3"/>
  <c r="AB387" i="3"/>
  <c r="AC387" i="3"/>
  <c r="W388" i="3"/>
  <c r="X388" i="3"/>
  <c r="Y388" i="3"/>
  <c r="Z388" i="3"/>
  <c r="AA388" i="3"/>
  <c r="AB388" i="3"/>
  <c r="AC388" i="3"/>
  <c r="W389" i="3"/>
  <c r="X389" i="3"/>
  <c r="Y389" i="3"/>
  <c r="Z389" i="3"/>
  <c r="AA389" i="3"/>
  <c r="AB389" i="3"/>
  <c r="AC389" i="3"/>
  <c r="W390" i="3"/>
  <c r="X390" i="3"/>
  <c r="Y390" i="3"/>
  <c r="Z390" i="3"/>
  <c r="AA390" i="3"/>
  <c r="AB390" i="3"/>
  <c r="AC390" i="3"/>
  <c r="W391" i="3"/>
  <c r="X391" i="3"/>
  <c r="Y391" i="3"/>
  <c r="Z391" i="3"/>
  <c r="AA391" i="3"/>
  <c r="AB391" i="3"/>
  <c r="AC391" i="3"/>
  <c r="W392" i="3"/>
  <c r="X392" i="3"/>
  <c r="Y392" i="3"/>
  <c r="Z392" i="3"/>
  <c r="AA392" i="3"/>
  <c r="AB392" i="3"/>
  <c r="AC392" i="3"/>
  <c r="W393" i="3"/>
  <c r="X393" i="3"/>
  <c r="Y393" i="3"/>
  <c r="Z393" i="3"/>
  <c r="AA393" i="3"/>
  <c r="AB393" i="3"/>
  <c r="AC393" i="3"/>
  <c r="W394" i="3"/>
  <c r="X394" i="3"/>
  <c r="Y394" i="3"/>
  <c r="Z394" i="3"/>
  <c r="AA394" i="3"/>
  <c r="AB394" i="3"/>
  <c r="AC394" i="3"/>
  <c r="W395" i="3"/>
  <c r="X395" i="3"/>
  <c r="Y395" i="3"/>
  <c r="Z395" i="3"/>
  <c r="AA395" i="3"/>
  <c r="AB395" i="3"/>
  <c r="AC395" i="3"/>
  <c r="W396" i="3"/>
  <c r="X396" i="3"/>
  <c r="Y396" i="3"/>
  <c r="Z396" i="3"/>
  <c r="AA396" i="3"/>
  <c r="AB396" i="3"/>
  <c r="AC396" i="3"/>
  <c r="W397" i="3"/>
  <c r="X397" i="3"/>
  <c r="Y397" i="3"/>
  <c r="Z397" i="3"/>
  <c r="AA397" i="3"/>
  <c r="AB397" i="3"/>
  <c r="AC397" i="3"/>
  <c r="W398" i="3"/>
  <c r="X398" i="3"/>
  <c r="Y398" i="3"/>
  <c r="Z398" i="3"/>
  <c r="AA398" i="3"/>
  <c r="AB398" i="3"/>
  <c r="AC398" i="3"/>
  <c r="W399" i="3"/>
  <c r="X399" i="3"/>
  <c r="Y399" i="3"/>
  <c r="Z399" i="3"/>
  <c r="AA399" i="3"/>
  <c r="AB399" i="3"/>
  <c r="AC399" i="3"/>
  <c r="W400" i="3"/>
  <c r="X400" i="3"/>
  <c r="Y400" i="3"/>
  <c r="Z400" i="3"/>
  <c r="AA400" i="3"/>
  <c r="AB400" i="3"/>
  <c r="AC400" i="3"/>
  <c r="W401" i="3"/>
  <c r="X401" i="3"/>
  <c r="Y401" i="3"/>
  <c r="Z401" i="3"/>
  <c r="AA401" i="3"/>
  <c r="AB401" i="3"/>
  <c r="AC401" i="3"/>
  <c r="W402" i="3"/>
  <c r="X402" i="3"/>
  <c r="Y402" i="3"/>
  <c r="Z402" i="3"/>
  <c r="AA402" i="3"/>
  <c r="AB402" i="3"/>
  <c r="AC402" i="3"/>
  <c r="W403" i="3"/>
  <c r="X403" i="3"/>
  <c r="Y403" i="3"/>
  <c r="Z403" i="3"/>
  <c r="AA403" i="3"/>
  <c r="AB403" i="3"/>
  <c r="AC403" i="3"/>
  <c r="W404" i="3"/>
  <c r="X404" i="3"/>
  <c r="Y404" i="3"/>
  <c r="Z404" i="3"/>
  <c r="AA404" i="3"/>
  <c r="AB404" i="3"/>
  <c r="AC404" i="3"/>
  <c r="W405" i="3"/>
  <c r="X405" i="3"/>
  <c r="Y405" i="3"/>
  <c r="Z405" i="3"/>
  <c r="AA405" i="3"/>
  <c r="AB405" i="3"/>
  <c r="AC405" i="3"/>
  <c r="W406" i="3"/>
  <c r="X406" i="3"/>
  <c r="Y406" i="3"/>
  <c r="Z406" i="3"/>
  <c r="AA406" i="3"/>
  <c r="AB406" i="3"/>
  <c r="AC406" i="3"/>
  <c r="W407" i="3"/>
  <c r="X407" i="3"/>
  <c r="Y407" i="3"/>
  <c r="Z407" i="3"/>
  <c r="AA407" i="3"/>
  <c r="AB407" i="3"/>
  <c r="AC407" i="3"/>
  <c r="W408" i="3"/>
  <c r="X408" i="3"/>
  <c r="Y408" i="3"/>
  <c r="Z408" i="3"/>
  <c r="AA408" i="3"/>
  <c r="AB408" i="3"/>
  <c r="AC408" i="3"/>
  <c r="W409" i="3"/>
  <c r="X409" i="3"/>
  <c r="Y409" i="3"/>
  <c r="Z409" i="3"/>
  <c r="AA409" i="3"/>
  <c r="AB409" i="3"/>
  <c r="AC409" i="3"/>
  <c r="W410" i="3"/>
  <c r="X410" i="3"/>
  <c r="Y410" i="3"/>
  <c r="Z410" i="3"/>
  <c r="AA410" i="3"/>
  <c r="AB410" i="3"/>
  <c r="AC410" i="3"/>
  <c r="W411" i="3"/>
  <c r="X411" i="3"/>
  <c r="Y411" i="3"/>
  <c r="Z411" i="3"/>
  <c r="AA411" i="3"/>
  <c r="AB411" i="3"/>
  <c r="AC411" i="3"/>
  <c r="W412" i="3"/>
  <c r="X412" i="3"/>
  <c r="Y412" i="3"/>
  <c r="Z412" i="3"/>
  <c r="AA412" i="3"/>
  <c r="AB412" i="3"/>
  <c r="AC412" i="3"/>
  <c r="W413" i="3"/>
  <c r="X413" i="3"/>
  <c r="Y413" i="3"/>
  <c r="Z413" i="3"/>
  <c r="AA413" i="3"/>
  <c r="AB413" i="3"/>
  <c r="AC413" i="3"/>
  <c r="W414" i="3"/>
  <c r="X414" i="3"/>
  <c r="Y414" i="3"/>
  <c r="Z414" i="3"/>
  <c r="AA414" i="3"/>
  <c r="AB414" i="3"/>
  <c r="AC414" i="3"/>
  <c r="W415" i="3"/>
  <c r="X415" i="3"/>
  <c r="Y415" i="3"/>
  <c r="Z415" i="3"/>
  <c r="AA415" i="3"/>
  <c r="AB415" i="3"/>
  <c r="AC415" i="3"/>
  <c r="W416" i="3"/>
  <c r="X416" i="3"/>
  <c r="Y416" i="3"/>
  <c r="Z416" i="3"/>
  <c r="AA416" i="3"/>
  <c r="AB416" i="3"/>
  <c r="AC416" i="3"/>
  <c r="W417" i="3"/>
  <c r="X417" i="3"/>
  <c r="Y417" i="3"/>
  <c r="Z417" i="3"/>
  <c r="AA417" i="3"/>
  <c r="AB417" i="3"/>
  <c r="AC417" i="3"/>
  <c r="W418" i="3"/>
  <c r="X418" i="3"/>
  <c r="Y418" i="3"/>
  <c r="Z418" i="3"/>
  <c r="AA418" i="3"/>
  <c r="AB418" i="3"/>
  <c r="AC418" i="3"/>
  <c r="W419" i="3"/>
  <c r="X419" i="3"/>
  <c r="Y419" i="3"/>
  <c r="Z419" i="3"/>
  <c r="AA419" i="3"/>
  <c r="AB419" i="3"/>
  <c r="AC419" i="3"/>
  <c r="W420" i="3"/>
  <c r="X420" i="3"/>
  <c r="Y420" i="3"/>
  <c r="Z420" i="3"/>
  <c r="AA420" i="3"/>
  <c r="AB420" i="3"/>
  <c r="AC420" i="3"/>
  <c r="W421" i="3"/>
  <c r="X421" i="3"/>
  <c r="Y421" i="3"/>
  <c r="Z421" i="3"/>
  <c r="AA421" i="3"/>
  <c r="AB421" i="3"/>
  <c r="AC421" i="3"/>
  <c r="W422" i="3"/>
  <c r="X422" i="3"/>
  <c r="Y422" i="3"/>
  <c r="Z422" i="3"/>
  <c r="AA422" i="3"/>
  <c r="AB422" i="3"/>
  <c r="AC422" i="3"/>
  <c r="W423" i="3"/>
  <c r="X423" i="3"/>
  <c r="Y423" i="3"/>
  <c r="Z423" i="3"/>
  <c r="AA423" i="3"/>
  <c r="AB423" i="3"/>
  <c r="AC423" i="3"/>
  <c r="W424" i="3"/>
  <c r="X424" i="3"/>
  <c r="Y424" i="3"/>
  <c r="Z424" i="3"/>
  <c r="AA424" i="3"/>
  <c r="AB424" i="3"/>
  <c r="AC424" i="3"/>
  <c r="W425" i="3"/>
  <c r="X425" i="3"/>
  <c r="Y425" i="3"/>
  <c r="Z425" i="3"/>
  <c r="AA425" i="3"/>
  <c r="AB425" i="3"/>
  <c r="AC425" i="3"/>
  <c r="W426" i="3"/>
  <c r="X426" i="3"/>
  <c r="Y426" i="3"/>
  <c r="Z426" i="3"/>
  <c r="AA426" i="3"/>
  <c r="AB426" i="3"/>
  <c r="AC426" i="3"/>
  <c r="W427" i="3"/>
  <c r="X427" i="3"/>
  <c r="Y427" i="3"/>
  <c r="Z427" i="3"/>
  <c r="AA427" i="3"/>
  <c r="AB427" i="3"/>
  <c r="AC427" i="3"/>
  <c r="W428" i="3"/>
  <c r="X428" i="3"/>
  <c r="Y428" i="3"/>
  <c r="Z428" i="3"/>
  <c r="AA428" i="3"/>
  <c r="AB428" i="3"/>
  <c r="AC428" i="3"/>
  <c r="W429" i="3"/>
  <c r="X429" i="3"/>
  <c r="Y429" i="3"/>
  <c r="Z429" i="3"/>
  <c r="AA429" i="3"/>
  <c r="AB429" i="3"/>
  <c r="AC429" i="3"/>
  <c r="W430" i="3"/>
  <c r="X430" i="3"/>
  <c r="Y430" i="3"/>
  <c r="Z430" i="3"/>
  <c r="AA430" i="3"/>
  <c r="AB430" i="3"/>
  <c r="AC430" i="3"/>
  <c r="W431" i="3"/>
  <c r="X431" i="3"/>
  <c r="Y431" i="3"/>
  <c r="Z431" i="3"/>
  <c r="AA431" i="3"/>
  <c r="AB431" i="3"/>
  <c r="AC431" i="3"/>
  <c r="X432" i="3"/>
  <c r="Y432" i="3"/>
  <c r="Z432" i="3"/>
  <c r="AA432" i="3"/>
  <c r="AB432" i="3"/>
  <c r="AC432" i="3"/>
  <c r="X433" i="3"/>
  <c r="Y433" i="3"/>
  <c r="Z433" i="3"/>
  <c r="AA433" i="3"/>
  <c r="AB433" i="3"/>
  <c r="AC433" i="3"/>
  <c r="W434" i="3"/>
  <c r="X434" i="3"/>
  <c r="Y434" i="3"/>
  <c r="Z434" i="3"/>
  <c r="AA434" i="3"/>
  <c r="AB434" i="3"/>
  <c r="AC434" i="3"/>
  <c r="W435" i="3"/>
  <c r="X435" i="3"/>
  <c r="Y435" i="3"/>
  <c r="Z435" i="3"/>
  <c r="AA435" i="3"/>
  <c r="AB435" i="3"/>
  <c r="AC435" i="3"/>
  <c r="W436" i="3"/>
  <c r="X436" i="3"/>
  <c r="Y436" i="3"/>
  <c r="Z436" i="3"/>
  <c r="AA436" i="3"/>
  <c r="AB436" i="3"/>
  <c r="AC436" i="3"/>
  <c r="W437" i="3"/>
  <c r="X437" i="3"/>
  <c r="Y437" i="3"/>
  <c r="Z437" i="3"/>
  <c r="AA437" i="3"/>
  <c r="AB437" i="3"/>
  <c r="AC437" i="3"/>
  <c r="W438" i="3"/>
  <c r="X438" i="3"/>
  <c r="Y438" i="3"/>
  <c r="Z438" i="3"/>
  <c r="AA438" i="3"/>
  <c r="AB438" i="3"/>
  <c r="AC438" i="3"/>
  <c r="W439" i="3"/>
  <c r="X439" i="3"/>
  <c r="Y439" i="3"/>
  <c r="Z439" i="3"/>
  <c r="AA439" i="3"/>
  <c r="AB439" i="3"/>
  <c r="AC439" i="3"/>
  <c r="W440" i="3"/>
  <c r="X440" i="3"/>
  <c r="Y440" i="3"/>
  <c r="Z440" i="3"/>
  <c r="AA440" i="3"/>
  <c r="AB440" i="3"/>
  <c r="AC440" i="3"/>
  <c r="W441" i="3"/>
  <c r="X441" i="3"/>
  <c r="Y441" i="3"/>
  <c r="Z441" i="3"/>
  <c r="AA441" i="3"/>
  <c r="AB441" i="3"/>
  <c r="AC441" i="3"/>
  <c r="W442" i="3"/>
  <c r="X442" i="3"/>
  <c r="Y442" i="3"/>
  <c r="Z442" i="3"/>
  <c r="AA442" i="3"/>
  <c r="AB442" i="3"/>
  <c r="AC442" i="3"/>
  <c r="W443" i="3"/>
  <c r="X443" i="3"/>
  <c r="Y443" i="3"/>
  <c r="Z443" i="3"/>
  <c r="AA443" i="3"/>
  <c r="AB443" i="3"/>
  <c r="AC443" i="3"/>
  <c r="W444" i="3"/>
  <c r="X444" i="3"/>
  <c r="Y444" i="3"/>
  <c r="Z444" i="3"/>
  <c r="AA444" i="3"/>
  <c r="AB444" i="3"/>
  <c r="AC444" i="3"/>
  <c r="W445" i="3"/>
  <c r="X445" i="3"/>
  <c r="Y445" i="3"/>
  <c r="Z445" i="3"/>
  <c r="AA445" i="3"/>
  <c r="AB445" i="3"/>
  <c r="AC445" i="3"/>
  <c r="W446" i="3"/>
  <c r="X446" i="3"/>
  <c r="Y446" i="3"/>
  <c r="Z446" i="3"/>
  <c r="AA446" i="3"/>
  <c r="AB446" i="3"/>
  <c r="AC446" i="3"/>
  <c r="W447" i="3"/>
  <c r="X447" i="3"/>
  <c r="Y447" i="3"/>
  <c r="Z447" i="3"/>
  <c r="AA447" i="3"/>
  <c r="AB447" i="3"/>
  <c r="AC447" i="3"/>
  <c r="W448" i="3"/>
  <c r="X448" i="3"/>
  <c r="Y448" i="3"/>
  <c r="Z448" i="3"/>
  <c r="AA448" i="3"/>
  <c r="AB448" i="3"/>
  <c r="AC448" i="3"/>
  <c r="W449" i="3"/>
  <c r="X449" i="3"/>
  <c r="Y449" i="3"/>
  <c r="Z449" i="3"/>
  <c r="AA449" i="3"/>
  <c r="AB449" i="3"/>
  <c r="AC449" i="3"/>
  <c r="W450" i="3"/>
  <c r="X450" i="3"/>
  <c r="Y450" i="3"/>
  <c r="Z450" i="3"/>
  <c r="AA450" i="3"/>
  <c r="AB450" i="3"/>
  <c r="AC450" i="3"/>
  <c r="W451" i="3"/>
  <c r="X451" i="3"/>
  <c r="Y451" i="3"/>
  <c r="Z451" i="3"/>
  <c r="AA451" i="3"/>
  <c r="AB451" i="3"/>
  <c r="AC451" i="3"/>
  <c r="W452" i="3"/>
  <c r="X452" i="3"/>
  <c r="Y452" i="3"/>
  <c r="Z452" i="3"/>
  <c r="AA452" i="3"/>
  <c r="AB452" i="3"/>
  <c r="AC452" i="3"/>
  <c r="W453" i="3"/>
  <c r="X453" i="3"/>
  <c r="Y453" i="3"/>
  <c r="Z453" i="3"/>
  <c r="AA453" i="3"/>
  <c r="AB453" i="3"/>
  <c r="AC453" i="3"/>
  <c r="W454" i="3"/>
  <c r="X454" i="3"/>
  <c r="Y454" i="3"/>
  <c r="Z454" i="3"/>
  <c r="AA454" i="3"/>
  <c r="AB454" i="3"/>
  <c r="AC454" i="3"/>
  <c r="W455" i="3"/>
  <c r="X455" i="3"/>
  <c r="Y455" i="3"/>
  <c r="Z455" i="3"/>
  <c r="AA455" i="3"/>
  <c r="AB455" i="3"/>
  <c r="AC455" i="3"/>
  <c r="W456" i="3"/>
  <c r="X456" i="3"/>
  <c r="Y456" i="3"/>
  <c r="Z456" i="3"/>
  <c r="AA456" i="3"/>
  <c r="AB456" i="3"/>
  <c r="AC456" i="3"/>
  <c r="W457" i="3"/>
  <c r="X457" i="3"/>
  <c r="Y457" i="3"/>
  <c r="Z457" i="3"/>
  <c r="AA457" i="3"/>
  <c r="AB457" i="3"/>
  <c r="AC457" i="3"/>
  <c r="W458" i="3"/>
  <c r="X458" i="3"/>
  <c r="Y458" i="3"/>
  <c r="Z458" i="3"/>
  <c r="AA458" i="3"/>
  <c r="AB458" i="3"/>
  <c r="AC458" i="3"/>
  <c r="W459" i="3"/>
  <c r="X459" i="3"/>
  <c r="Y459" i="3"/>
  <c r="Z459" i="3"/>
  <c r="AA459" i="3"/>
  <c r="AB459" i="3"/>
  <c r="AC459" i="3"/>
  <c r="W460" i="3"/>
  <c r="X460" i="3"/>
  <c r="Y460" i="3"/>
  <c r="Z460" i="3"/>
  <c r="AA460" i="3"/>
  <c r="AB460" i="3"/>
  <c r="AC460" i="3"/>
  <c r="W461" i="3"/>
  <c r="X461" i="3"/>
  <c r="Y461" i="3"/>
  <c r="Z461" i="3"/>
  <c r="AA461" i="3"/>
  <c r="AB461" i="3"/>
  <c r="AC461" i="3"/>
  <c r="W462" i="3"/>
  <c r="X462" i="3"/>
  <c r="Y462" i="3"/>
  <c r="Z462" i="3"/>
  <c r="AA462" i="3"/>
  <c r="AB462" i="3"/>
  <c r="AC462" i="3"/>
  <c r="W463" i="3"/>
  <c r="X463" i="3"/>
  <c r="Y463" i="3"/>
  <c r="Z463" i="3"/>
  <c r="AA463" i="3"/>
  <c r="AB463" i="3"/>
  <c r="AC463" i="3"/>
  <c r="W464" i="3"/>
  <c r="X464" i="3"/>
  <c r="Y464" i="3"/>
  <c r="Z464" i="3"/>
  <c r="AA464" i="3"/>
  <c r="AB464" i="3"/>
  <c r="AC464" i="3"/>
  <c r="W465" i="3"/>
  <c r="X465" i="3"/>
  <c r="Y465" i="3"/>
  <c r="Z465" i="3"/>
  <c r="AA465" i="3"/>
  <c r="AB465" i="3"/>
  <c r="AC465" i="3"/>
  <c r="W466" i="3"/>
  <c r="X466" i="3"/>
  <c r="Y466" i="3"/>
  <c r="Z466" i="3"/>
  <c r="AA466" i="3"/>
  <c r="AB466" i="3"/>
  <c r="AC466" i="3"/>
  <c r="W467" i="3"/>
  <c r="X467" i="3"/>
  <c r="Y467" i="3"/>
  <c r="Z467" i="3"/>
  <c r="AA467" i="3"/>
  <c r="AB467" i="3"/>
  <c r="AC467" i="3"/>
  <c r="W468" i="3"/>
  <c r="X468" i="3"/>
  <c r="Y468" i="3"/>
  <c r="Z468" i="3"/>
  <c r="AA468" i="3"/>
  <c r="AB468" i="3"/>
  <c r="AC468" i="3"/>
  <c r="W469" i="3"/>
  <c r="X469" i="3"/>
  <c r="Y469" i="3"/>
  <c r="Z469" i="3"/>
  <c r="AA469" i="3"/>
  <c r="AB469" i="3"/>
  <c r="AC469" i="3"/>
  <c r="W470" i="3"/>
  <c r="X470" i="3"/>
  <c r="Y470" i="3"/>
  <c r="Z470" i="3"/>
  <c r="AA470" i="3"/>
  <c r="AB470" i="3"/>
  <c r="AC470" i="3"/>
  <c r="W471" i="3"/>
  <c r="X471" i="3"/>
  <c r="Y471" i="3"/>
  <c r="Z471" i="3"/>
  <c r="AA471" i="3"/>
  <c r="AB471" i="3"/>
  <c r="AC471" i="3"/>
  <c r="W472" i="3"/>
  <c r="X472" i="3"/>
  <c r="Y472" i="3"/>
  <c r="Z472" i="3"/>
  <c r="AA472" i="3"/>
  <c r="AB472" i="3"/>
  <c r="AC472" i="3"/>
  <c r="W473" i="3"/>
  <c r="X473" i="3"/>
  <c r="Y473" i="3"/>
  <c r="Z473" i="3"/>
  <c r="AA473" i="3"/>
  <c r="AB473" i="3"/>
  <c r="AC473" i="3"/>
  <c r="W474" i="3"/>
  <c r="X474" i="3"/>
  <c r="Y474" i="3"/>
  <c r="Z474" i="3"/>
  <c r="AA474" i="3"/>
  <c r="AB474" i="3"/>
  <c r="AC474" i="3"/>
  <c r="W475" i="3"/>
  <c r="X475" i="3"/>
  <c r="Y475" i="3"/>
  <c r="Z475" i="3"/>
  <c r="AA475" i="3"/>
  <c r="AB475" i="3"/>
  <c r="AC475" i="3"/>
  <c r="W476" i="3"/>
  <c r="X476" i="3"/>
  <c r="Y476" i="3"/>
  <c r="Z476" i="3"/>
  <c r="AA476" i="3"/>
  <c r="AB476" i="3"/>
  <c r="AC476" i="3"/>
  <c r="W477" i="3"/>
  <c r="X477" i="3"/>
  <c r="Y477" i="3"/>
  <c r="Z477" i="3"/>
  <c r="AA477" i="3"/>
  <c r="AB477" i="3"/>
  <c r="AC477" i="3"/>
  <c r="W478" i="3"/>
  <c r="X478" i="3"/>
  <c r="Y478" i="3"/>
  <c r="Z478" i="3"/>
  <c r="AA478" i="3"/>
  <c r="AB478" i="3"/>
  <c r="AC478" i="3"/>
  <c r="W479" i="3"/>
  <c r="X479" i="3"/>
  <c r="Y479" i="3"/>
  <c r="Z479" i="3"/>
  <c r="AA479" i="3"/>
  <c r="AB479" i="3"/>
  <c r="AC479" i="3"/>
  <c r="W480" i="3"/>
  <c r="X480" i="3"/>
  <c r="Y480" i="3"/>
  <c r="Z480" i="3"/>
  <c r="AA480" i="3"/>
  <c r="AB480" i="3"/>
  <c r="AC480" i="3"/>
  <c r="W481" i="3"/>
  <c r="X481" i="3"/>
  <c r="Y481" i="3"/>
  <c r="Z481" i="3"/>
  <c r="AA481" i="3"/>
  <c r="AB481" i="3"/>
  <c r="AC481" i="3"/>
  <c r="W482" i="3"/>
  <c r="X482" i="3"/>
  <c r="Y482" i="3"/>
  <c r="Z482" i="3"/>
  <c r="AA482" i="3"/>
  <c r="AB482" i="3"/>
  <c r="AC482" i="3"/>
  <c r="W483" i="3"/>
  <c r="X483" i="3"/>
  <c r="Y483" i="3"/>
  <c r="Z483" i="3"/>
  <c r="AA483" i="3"/>
  <c r="AB483" i="3"/>
  <c r="AC483" i="3"/>
  <c r="W484" i="3"/>
  <c r="X484" i="3"/>
  <c r="Y484" i="3"/>
  <c r="Z484" i="3"/>
  <c r="AA484" i="3"/>
  <c r="AB484" i="3"/>
  <c r="AC484" i="3"/>
  <c r="W485" i="3"/>
  <c r="X485" i="3"/>
  <c r="Y485" i="3"/>
  <c r="Z485" i="3"/>
  <c r="AA485" i="3"/>
  <c r="AB485" i="3"/>
  <c r="AC485" i="3"/>
  <c r="W486" i="3"/>
  <c r="X486" i="3"/>
  <c r="Y486" i="3"/>
  <c r="Z486" i="3"/>
  <c r="AA486" i="3"/>
  <c r="AB486" i="3"/>
  <c r="AC486" i="3"/>
  <c r="W487" i="3"/>
  <c r="X487" i="3"/>
  <c r="Y487" i="3"/>
  <c r="Z487" i="3"/>
  <c r="AA487" i="3"/>
  <c r="AB487" i="3"/>
  <c r="AC487" i="3"/>
  <c r="W488" i="3"/>
  <c r="X488" i="3"/>
  <c r="Y488" i="3"/>
  <c r="Z488" i="3"/>
  <c r="AA488" i="3"/>
  <c r="AB488" i="3"/>
  <c r="AC488" i="3"/>
  <c r="W489" i="3"/>
  <c r="X489" i="3"/>
  <c r="Y489" i="3"/>
  <c r="Z489" i="3"/>
  <c r="AA489" i="3"/>
  <c r="AB489" i="3"/>
  <c r="AC489" i="3"/>
  <c r="W490" i="3"/>
  <c r="X490" i="3"/>
  <c r="Y490" i="3"/>
  <c r="Z490" i="3"/>
  <c r="AA490" i="3"/>
  <c r="AB490" i="3"/>
  <c r="AC490" i="3"/>
  <c r="W491" i="3"/>
  <c r="X491" i="3"/>
  <c r="Y491" i="3"/>
  <c r="Z491" i="3"/>
  <c r="AA491" i="3"/>
  <c r="AB491" i="3"/>
  <c r="AC491" i="3"/>
  <c r="W492" i="3"/>
  <c r="X492" i="3"/>
  <c r="Y492" i="3"/>
  <c r="Z492" i="3"/>
  <c r="AA492" i="3"/>
  <c r="AB492" i="3"/>
  <c r="AC492" i="3"/>
  <c r="W493" i="3"/>
  <c r="X493" i="3"/>
  <c r="Y493" i="3"/>
  <c r="Z493" i="3"/>
  <c r="AA493" i="3"/>
  <c r="AB493" i="3"/>
  <c r="AC493" i="3"/>
  <c r="W494" i="3"/>
  <c r="X494" i="3"/>
  <c r="Y494" i="3"/>
  <c r="Z494" i="3"/>
  <c r="AA494" i="3"/>
  <c r="AB494" i="3"/>
  <c r="AC494" i="3"/>
  <c r="W495" i="3"/>
  <c r="X495" i="3"/>
  <c r="Y495" i="3"/>
  <c r="Z495" i="3"/>
  <c r="AA495" i="3"/>
  <c r="AB495" i="3"/>
  <c r="AC495" i="3"/>
  <c r="W496" i="3"/>
  <c r="X496" i="3"/>
  <c r="Y496" i="3"/>
  <c r="Z496" i="3"/>
  <c r="AA496" i="3"/>
  <c r="AB496" i="3"/>
  <c r="AC496" i="3"/>
  <c r="W497" i="3"/>
  <c r="X497" i="3"/>
  <c r="Y497" i="3"/>
  <c r="Z497" i="3"/>
  <c r="AA497" i="3"/>
  <c r="AB497" i="3"/>
  <c r="AC497" i="3"/>
  <c r="W498" i="3"/>
  <c r="X498" i="3"/>
  <c r="Y498" i="3"/>
  <c r="Z498" i="3"/>
  <c r="AA498" i="3"/>
  <c r="AB498" i="3"/>
  <c r="AC498" i="3"/>
  <c r="W499" i="3"/>
  <c r="X499" i="3"/>
  <c r="Y499" i="3"/>
  <c r="Z499" i="3"/>
  <c r="AA499" i="3"/>
  <c r="AB499" i="3"/>
  <c r="AC499" i="3"/>
  <c r="W500" i="3"/>
  <c r="X500" i="3"/>
  <c r="Y500" i="3"/>
  <c r="Z500" i="3"/>
  <c r="AA500" i="3"/>
  <c r="AB500" i="3"/>
  <c r="AC500" i="3"/>
  <c r="W501" i="3"/>
  <c r="X501" i="3"/>
  <c r="Y501" i="3"/>
  <c r="Z501" i="3"/>
  <c r="AA501" i="3"/>
  <c r="AB501" i="3"/>
  <c r="AC501" i="3"/>
  <c r="W502" i="3"/>
  <c r="X502" i="3"/>
  <c r="Y502" i="3"/>
  <c r="Z502" i="3"/>
  <c r="AA502" i="3"/>
  <c r="AB502" i="3"/>
  <c r="AC502" i="3"/>
  <c r="W503" i="3"/>
  <c r="X503" i="3"/>
  <c r="Y503" i="3"/>
  <c r="Z503" i="3"/>
  <c r="AA503" i="3"/>
  <c r="AB503" i="3"/>
  <c r="AC503" i="3"/>
  <c r="W504" i="3"/>
  <c r="X504" i="3"/>
  <c r="Y504" i="3"/>
  <c r="Z504" i="3"/>
  <c r="AA504" i="3"/>
  <c r="AB504" i="3"/>
  <c r="AC504" i="3"/>
  <c r="W505" i="3"/>
  <c r="X505" i="3"/>
  <c r="Y505" i="3"/>
  <c r="Z505" i="3"/>
  <c r="AA505" i="3"/>
  <c r="AB505" i="3"/>
  <c r="AC505" i="3"/>
  <c r="W506" i="3"/>
  <c r="X506" i="3"/>
  <c r="Y506" i="3"/>
  <c r="Z506" i="3"/>
  <c r="AA506" i="3"/>
  <c r="AB506" i="3"/>
  <c r="AC506" i="3"/>
  <c r="W507" i="3"/>
  <c r="X507" i="3"/>
  <c r="Y507" i="3"/>
  <c r="Z507" i="3"/>
  <c r="AA507" i="3"/>
  <c r="AB507" i="3"/>
  <c r="AC507" i="3"/>
  <c r="W508" i="3"/>
  <c r="X508" i="3"/>
  <c r="Y508" i="3"/>
  <c r="Z508" i="3"/>
  <c r="AA508" i="3"/>
  <c r="AB508" i="3"/>
  <c r="AC508" i="3"/>
  <c r="W509" i="3"/>
  <c r="X509" i="3"/>
  <c r="Y509" i="3"/>
  <c r="Z509" i="3"/>
  <c r="AA509" i="3"/>
  <c r="AB509" i="3"/>
  <c r="AC509" i="3"/>
  <c r="W510" i="3"/>
  <c r="X510" i="3"/>
  <c r="Y510" i="3"/>
  <c r="Z510" i="3"/>
  <c r="AA510" i="3"/>
  <c r="AB510" i="3"/>
  <c r="AC510" i="3"/>
  <c r="W511" i="3"/>
  <c r="X511" i="3"/>
  <c r="Y511" i="3"/>
  <c r="Z511" i="3"/>
  <c r="AA511" i="3"/>
  <c r="AB511" i="3"/>
  <c r="AC511" i="3"/>
  <c r="W512" i="3"/>
  <c r="X512" i="3"/>
  <c r="Y512" i="3"/>
  <c r="Z512" i="3"/>
  <c r="AA512" i="3"/>
  <c r="AB512" i="3"/>
  <c r="AC512" i="3"/>
  <c r="W513" i="3"/>
  <c r="X513" i="3"/>
  <c r="Y513" i="3"/>
  <c r="Z513" i="3"/>
  <c r="AA513" i="3"/>
  <c r="AB513" i="3"/>
  <c r="AC513" i="3"/>
  <c r="W514" i="3"/>
  <c r="X514" i="3"/>
  <c r="Y514" i="3"/>
  <c r="Z514" i="3"/>
  <c r="AA514" i="3"/>
  <c r="AB514" i="3"/>
  <c r="AC514" i="3"/>
  <c r="W515" i="3"/>
  <c r="X515" i="3"/>
  <c r="Y515" i="3"/>
  <c r="Z515" i="3"/>
  <c r="AA515" i="3"/>
  <c r="AB515" i="3"/>
  <c r="AC515" i="3"/>
  <c r="W516" i="3"/>
  <c r="X516" i="3"/>
  <c r="Y516" i="3"/>
  <c r="Z516" i="3"/>
  <c r="AA516" i="3"/>
  <c r="AB516" i="3"/>
  <c r="AC516" i="3"/>
  <c r="W517" i="3"/>
  <c r="X517" i="3"/>
  <c r="Y517" i="3"/>
  <c r="Z517" i="3"/>
  <c r="AA517" i="3"/>
  <c r="AB517" i="3"/>
  <c r="AC517" i="3"/>
  <c r="W518" i="3"/>
  <c r="X518" i="3"/>
  <c r="Y518" i="3"/>
  <c r="Z518" i="3"/>
  <c r="AA518" i="3"/>
  <c r="AB518" i="3"/>
  <c r="AC518" i="3"/>
  <c r="W519" i="3"/>
  <c r="X519" i="3"/>
  <c r="Y519" i="3"/>
  <c r="Z519" i="3"/>
  <c r="AA519" i="3"/>
  <c r="AB519" i="3"/>
  <c r="AC519" i="3"/>
  <c r="W520" i="3"/>
  <c r="X520" i="3"/>
  <c r="Y520" i="3"/>
  <c r="Z520" i="3"/>
  <c r="AA520" i="3"/>
  <c r="AB520" i="3"/>
  <c r="AC520" i="3"/>
  <c r="W521" i="3"/>
  <c r="X521" i="3"/>
  <c r="Y521" i="3"/>
  <c r="Z521" i="3"/>
  <c r="AA521" i="3"/>
  <c r="AB521" i="3"/>
  <c r="AC521" i="3"/>
  <c r="W522" i="3"/>
  <c r="X522" i="3"/>
  <c r="Y522" i="3"/>
  <c r="Z522" i="3"/>
  <c r="AA522" i="3"/>
  <c r="AB522" i="3"/>
  <c r="AC522" i="3"/>
  <c r="W523" i="3"/>
  <c r="X523" i="3"/>
  <c r="Y523" i="3"/>
  <c r="Z523" i="3"/>
  <c r="AA523" i="3"/>
  <c r="AB523" i="3"/>
  <c r="AC523" i="3"/>
  <c r="W524" i="3"/>
  <c r="X524" i="3"/>
  <c r="Y524" i="3"/>
  <c r="Z524" i="3"/>
  <c r="AA524" i="3"/>
  <c r="AB524" i="3"/>
  <c r="AC524" i="3"/>
  <c r="W525" i="3"/>
  <c r="X525" i="3"/>
  <c r="Y525" i="3"/>
  <c r="Z525" i="3"/>
  <c r="AA525" i="3"/>
  <c r="AB525" i="3"/>
  <c r="AC525" i="3"/>
  <c r="W526" i="3"/>
  <c r="X526" i="3"/>
  <c r="Y526" i="3"/>
  <c r="Z526" i="3"/>
  <c r="AA526" i="3"/>
  <c r="AB526" i="3"/>
  <c r="AC526" i="3"/>
  <c r="W527" i="3"/>
  <c r="X527" i="3"/>
  <c r="Y527" i="3"/>
  <c r="Z527" i="3"/>
  <c r="AA527" i="3"/>
  <c r="AB527" i="3"/>
  <c r="AC527" i="3"/>
  <c r="W528" i="3"/>
  <c r="X528" i="3"/>
  <c r="Y528" i="3"/>
  <c r="Z528" i="3"/>
  <c r="AA528" i="3"/>
  <c r="AB528" i="3"/>
  <c r="AC528" i="3"/>
  <c r="W529" i="3"/>
  <c r="X529" i="3"/>
  <c r="Y529" i="3"/>
  <c r="Z529" i="3"/>
  <c r="AA529" i="3"/>
  <c r="AB529" i="3"/>
  <c r="AC529" i="3"/>
  <c r="W530" i="3"/>
  <c r="X530" i="3"/>
  <c r="Y530" i="3"/>
  <c r="Z530" i="3"/>
  <c r="AA530" i="3"/>
  <c r="AB530" i="3"/>
  <c r="AC530" i="3"/>
  <c r="W531" i="3"/>
  <c r="X531" i="3"/>
  <c r="Y531" i="3"/>
  <c r="Z531" i="3"/>
  <c r="AA531" i="3"/>
  <c r="AB531" i="3"/>
  <c r="AC531" i="3"/>
  <c r="W532" i="3"/>
  <c r="X532" i="3"/>
  <c r="Y532" i="3"/>
  <c r="Z532" i="3"/>
  <c r="AA532" i="3"/>
  <c r="AB532" i="3"/>
  <c r="AC532" i="3"/>
  <c r="W533" i="3"/>
  <c r="X533" i="3"/>
  <c r="Y533" i="3"/>
  <c r="Z533" i="3"/>
  <c r="AA533" i="3"/>
  <c r="AB533" i="3"/>
  <c r="AC533" i="3"/>
  <c r="W534" i="3"/>
  <c r="X534" i="3"/>
  <c r="Y534" i="3"/>
  <c r="Z534" i="3"/>
  <c r="AA534" i="3"/>
  <c r="AB534" i="3"/>
  <c r="AC534" i="3"/>
  <c r="W535" i="3"/>
  <c r="X535" i="3"/>
  <c r="Y535" i="3"/>
  <c r="Z535" i="3"/>
  <c r="AA535" i="3"/>
  <c r="AB535" i="3"/>
  <c r="AC535" i="3"/>
  <c r="W536" i="3"/>
  <c r="X536" i="3"/>
  <c r="Y536" i="3"/>
  <c r="Z536" i="3"/>
  <c r="AA536" i="3"/>
  <c r="AB536" i="3"/>
  <c r="AC536" i="3"/>
  <c r="W537" i="3"/>
  <c r="X537" i="3"/>
  <c r="Y537" i="3"/>
  <c r="Z537" i="3"/>
  <c r="AA537" i="3"/>
  <c r="AB537" i="3"/>
  <c r="AC537" i="3"/>
  <c r="W538" i="3"/>
  <c r="X538" i="3"/>
  <c r="Y538" i="3"/>
  <c r="Z538" i="3"/>
  <c r="AA538" i="3"/>
  <c r="AB538" i="3"/>
  <c r="AC538" i="3"/>
  <c r="W539" i="3"/>
  <c r="X539" i="3"/>
  <c r="Y539" i="3"/>
  <c r="Z539" i="3"/>
  <c r="AA539" i="3"/>
  <c r="AB539" i="3"/>
  <c r="AC539" i="3"/>
  <c r="W540" i="3"/>
  <c r="X540" i="3"/>
  <c r="Y540" i="3"/>
  <c r="Z540" i="3"/>
  <c r="AA540" i="3"/>
  <c r="AB540" i="3"/>
  <c r="AC540" i="3"/>
  <c r="W541" i="3"/>
  <c r="X541" i="3"/>
  <c r="Y541" i="3"/>
  <c r="Z541" i="3"/>
  <c r="AA541" i="3"/>
  <c r="AB541" i="3"/>
  <c r="AC541" i="3"/>
  <c r="W542" i="3"/>
  <c r="X542" i="3"/>
  <c r="Y542" i="3"/>
  <c r="Z542" i="3"/>
  <c r="AA542" i="3"/>
  <c r="AB542" i="3"/>
  <c r="AC542" i="3"/>
  <c r="W543" i="3"/>
  <c r="X543" i="3"/>
  <c r="Y543" i="3"/>
  <c r="Z543" i="3"/>
  <c r="AA543" i="3"/>
  <c r="AB543" i="3"/>
  <c r="AC543" i="3"/>
  <c r="W544" i="3"/>
  <c r="X544" i="3"/>
  <c r="Y544" i="3"/>
  <c r="Z544" i="3"/>
  <c r="AA544" i="3"/>
  <c r="AB544" i="3"/>
  <c r="AC544" i="3"/>
  <c r="W545" i="3"/>
  <c r="X545" i="3"/>
  <c r="Y545" i="3"/>
  <c r="Z545" i="3"/>
  <c r="AA545" i="3"/>
  <c r="AB545" i="3"/>
  <c r="AC545" i="3"/>
  <c r="W546" i="3"/>
  <c r="X546" i="3"/>
  <c r="Y546" i="3"/>
  <c r="Z546" i="3"/>
  <c r="AA546" i="3"/>
  <c r="AB546" i="3"/>
  <c r="AC546" i="3"/>
  <c r="W547" i="3"/>
  <c r="X547" i="3"/>
  <c r="Y547" i="3"/>
  <c r="Z547" i="3"/>
  <c r="AA547" i="3"/>
  <c r="AB547" i="3"/>
  <c r="AC547" i="3"/>
  <c r="W548" i="3"/>
  <c r="X548" i="3"/>
  <c r="Y548" i="3"/>
  <c r="Z548" i="3"/>
  <c r="AA548" i="3"/>
  <c r="AB548" i="3"/>
  <c r="AC548" i="3"/>
  <c r="W549" i="3"/>
  <c r="X549" i="3"/>
  <c r="Y549" i="3"/>
  <c r="Z549" i="3"/>
  <c r="AA549" i="3"/>
  <c r="AB549" i="3"/>
  <c r="AC549" i="3"/>
  <c r="W550" i="3"/>
  <c r="X550" i="3"/>
  <c r="Y550" i="3"/>
  <c r="Z550" i="3"/>
  <c r="AA550" i="3"/>
  <c r="AB550" i="3"/>
  <c r="AC550" i="3"/>
  <c r="W551" i="3"/>
  <c r="X551" i="3"/>
  <c r="Y551" i="3"/>
  <c r="Z551" i="3"/>
  <c r="AA551" i="3"/>
  <c r="AB551" i="3"/>
  <c r="AC551" i="3"/>
  <c r="W552" i="3"/>
  <c r="X552" i="3"/>
  <c r="Y552" i="3"/>
  <c r="Z552" i="3"/>
  <c r="AA552" i="3"/>
  <c r="AB552" i="3"/>
  <c r="AC552" i="3"/>
  <c r="W553" i="3"/>
  <c r="X553" i="3"/>
  <c r="Y553" i="3"/>
  <c r="Z553" i="3"/>
  <c r="AA553" i="3"/>
  <c r="AB553" i="3"/>
  <c r="AC553" i="3"/>
  <c r="W554" i="3"/>
  <c r="X554" i="3"/>
  <c r="Y554" i="3"/>
  <c r="Z554" i="3"/>
  <c r="AA554" i="3"/>
  <c r="AB554" i="3"/>
  <c r="AC554" i="3"/>
  <c r="W555" i="3"/>
  <c r="X555" i="3"/>
  <c r="Y555" i="3"/>
  <c r="Z555" i="3"/>
  <c r="AA555" i="3"/>
  <c r="AB555" i="3"/>
  <c r="AC555" i="3"/>
  <c r="W556" i="3"/>
  <c r="X556" i="3"/>
  <c r="Y556" i="3"/>
  <c r="Z556" i="3"/>
  <c r="AA556" i="3"/>
  <c r="AB556" i="3"/>
  <c r="AC556" i="3"/>
  <c r="W557" i="3"/>
  <c r="X557" i="3"/>
  <c r="Y557" i="3"/>
  <c r="Z557" i="3"/>
  <c r="AA557" i="3"/>
  <c r="AB557" i="3"/>
  <c r="AC557" i="3"/>
  <c r="W558" i="3"/>
  <c r="X558" i="3"/>
  <c r="Y558" i="3"/>
  <c r="Z558" i="3"/>
  <c r="AA558" i="3"/>
  <c r="AB558" i="3"/>
  <c r="AC558" i="3"/>
  <c r="W559" i="3"/>
  <c r="X559" i="3"/>
  <c r="Y559" i="3"/>
  <c r="Z559" i="3"/>
  <c r="AA559" i="3"/>
  <c r="AB559" i="3"/>
  <c r="AC559" i="3"/>
  <c r="W560" i="3"/>
  <c r="X560" i="3"/>
  <c r="Y560" i="3"/>
  <c r="Z560" i="3"/>
  <c r="AA560" i="3"/>
  <c r="AB560" i="3"/>
  <c r="AC560" i="3"/>
  <c r="W561" i="3"/>
  <c r="X561" i="3"/>
  <c r="Y561" i="3"/>
  <c r="Z561" i="3"/>
  <c r="AA561" i="3"/>
  <c r="AB561" i="3"/>
  <c r="AC561" i="3"/>
  <c r="W562" i="3"/>
  <c r="X562" i="3"/>
  <c r="Y562" i="3"/>
  <c r="Z562" i="3"/>
  <c r="AA562" i="3"/>
  <c r="AB562" i="3"/>
  <c r="AC562" i="3"/>
  <c r="W563" i="3"/>
  <c r="X563" i="3"/>
  <c r="Y563" i="3"/>
  <c r="Z563" i="3"/>
  <c r="AA563" i="3"/>
  <c r="AB563" i="3"/>
  <c r="AC563" i="3"/>
  <c r="W564" i="3"/>
  <c r="X564" i="3"/>
  <c r="Y564" i="3"/>
  <c r="Z564" i="3"/>
  <c r="AA564" i="3"/>
  <c r="AB564" i="3"/>
  <c r="AC564" i="3"/>
  <c r="W565" i="3"/>
  <c r="X565" i="3"/>
  <c r="Y565" i="3"/>
  <c r="Z565" i="3"/>
  <c r="AA565" i="3"/>
  <c r="AB565" i="3"/>
  <c r="AC565" i="3"/>
  <c r="W566" i="3"/>
  <c r="X566" i="3"/>
  <c r="Y566" i="3"/>
  <c r="Z566" i="3"/>
  <c r="AA566" i="3"/>
  <c r="AB566" i="3"/>
  <c r="AC566" i="3"/>
  <c r="W567" i="3"/>
  <c r="X567" i="3"/>
  <c r="Y567" i="3"/>
  <c r="Z567" i="3"/>
  <c r="AA567" i="3"/>
  <c r="AB567" i="3"/>
  <c r="AC567" i="3"/>
  <c r="W568" i="3"/>
  <c r="X568" i="3"/>
  <c r="Y568" i="3"/>
  <c r="Z568" i="3"/>
  <c r="AA568" i="3"/>
  <c r="AB568" i="3"/>
  <c r="AC568" i="3"/>
  <c r="W569" i="3"/>
  <c r="X569" i="3"/>
  <c r="Y569" i="3"/>
  <c r="Z569" i="3"/>
  <c r="AA569" i="3"/>
  <c r="AB569" i="3"/>
  <c r="AC569" i="3"/>
  <c r="W570" i="3"/>
  <c r="X570" i="3"/>
  <c r="Y570" i="3"/>
  <c r="Z570" i="3"/>
  <c r="AA570" i="3"/>
  <c r="AB570" i="3"/>
  <c r="AC570" i="3"/>
  <c r="W571" i="3"/>
  <c r="X571" i="3"/>
  <c r="Y571" i="3"/>
  <c r="Z571" i="3"/>
  <c r="AA571" i="3"/>
  <c r="AB571" i="3"/>
  <c r="AC571" i="3"/>
  <c r="W572" i="3"/>
  <c r="X572" i="3"/>
  <c r="Y572" i="3"/>
  <c r="Z572" i="3"/>
  <c r="AA572" i="3"/>
  <c r="AB572" i="3"/>
  <c r="AC572" i="3"/>
  <c r="W573" i="3"/>
  <c r="X573" i="3"/>
  <c r="Y573" i="3"/>
  <c r="Z573" i="3"/>
  <c r="AA573" i="3"/>
  <c r="AB573" i="3"/>
  <c r="AC573" i="3"/>
  <c r="W574" i="3"/>
  <c r="X574" i="3"/>
  <c r="Y574" i="3"/>
  <c r="Z574" i="3"/>
  <c r="AA574" i="3"/>
  <c r="AB574" i="3"/>
  <c r="AC574" i="3"/>
  <c r="W575" i="3"/>
  <c r="X575" i="3"/>
  <c r="Y575" i="3"/>
  <c r="Z575" i="3"/>
  <c r="AA575" i="3"/>
  <c r="AB575" i="3"/>
  <c r="AC575" i="3"/>
  <c r="W576" i="3"/>
  <c r="X576" i="3"/>
  <c r="Y576" i="3"/>
  <c r="Z576" i="3"/>
  <c r="AA576" i="3"/>
  <c r="AB576" i="3"/>
  <c r="AC576" i="3"/>
  <c r="W577" i="3"/>
  <c r="X577" i="3"/>
  <c r="Y577" i="3"/>
  <c r="Z577" i="3"/>
  <c r="AA577" i="3"/>
  <c r="AB577" i="3"/>
  <c r="AC577" i="3"/>
  <c r="W578" i="3"/>
  <c r="X578" i="3"/>
  <c r="Y578" i="3"/>
  <c r="Z578" i="3"/>
  <c r="AA578" i="3"/>
  <c r="AB578" i="3"/>
  <c r="AC578" i="3"/>
  <c r="W579" i="3"/>
  <c r="X579" i="3"/>
  <c r="Y579" i="3"/>
  <c r="Z579" i="3"/>
  <c r="AA579" i="3"/>
  <c r="AB579" i="3"/>
  <c r="AC579" i="3"/>
  <c r="W580" i="3"/>
  <c r="X580" i="3"/>
  <c r="Y580" i="3"/>
  <c r="Z580" i="3"/>
  <c r="AA580" i="3"/>
  <c r="AB580" i="3"/>
  <c r="AC580" i="3"/>
  <c r="W581" i="3"/>
  <c r="X581" i="3"/>
  <c r="Y581" i="3"/>
  <c r="Z581" i="3"/>
  <c r="AA581" i="3"/>
  <c r="AB581" i="3"/>
  <c r="AC581" i="3"/>
  <c r="W582" i="3"/>
  <c r="X582" i="3"/>
  <c r="Y582" i="3"/>
  <c r="Z582" i="3"/>
  <c r="AA582" i="3"/>
  <c r="AB582" i="3"/>
  <c r="AC582" i="3"/>
  <c r="W583" i="3"/>
  <c r="X583" i="3"/>
  <c r="Y583" i="3"/>
  <c r="Z583" i="3"/>
  <c r="AA583" i="3"/>
  <c r="AB583" i="3"/>
  <c r="AC583" i="3"/>
  <c r="W584" i="3"/>
  <c r="X584" i="3"/>
  <c r="Y584" i="3"/>
  <c r="Z584" i="3"/>
  <c r="AA584" i="3"/>
  <c r="AB584" i="3"/>
  <c r="AC584" i="3"/>
  <c r="W585" i="3"/>
  <c r="X585" i="3"/>
  <c r="Y585" i="3"/>
  <c r="Z585" i="3"/>
  <c r="AA585" i="3"/>
  <c r="AB585" i="3"/>
  <c r="AC585" i="3"/>
  <c r="W586" i="3"/>
  <c r="X586" i="3"/>
  <c r="Y586" i="3"/>
  <c r="Z586" i="3"/>
  <c r="AA586" i="3"/>
  <c r="AB586" i="3"/>
  <c r="AC586" i="3"/>
  <c r="W587" i="3"/>
  <c r="X587" i="3"/>
  <c r="Y587" i="3"/>
  <c r="Z587" i="3"/>
  <c r="AA587" i="3"/>
  <c r="AB587" i="3"/>
  <c r="AC587" i="3"/>
  <c r="W588" i="3"/>
  <c r="X588" i="3"/>
  <c r="Y588" i="3"/>
  <c r="Z588" i="3"/>
  <c r="AA588" i="3"/>
  <c r="AB588" i="3"/>
  <c r="AC588" i="3"/>
  <c r="W589" i="3"/>
  <c r="X589" i="3"/>
  <c r="Y589" i="3"/>
  <c r="Z589" i="3"/>
  <c r="AA589" i="3"/>
  <c r="AB589" i="3"/>
  <c r="AC589" i="3"/>
  <c r="W590" i="3"/>
  <c r="X590" i="3"/>
  <c r="Y590" i="3"/>
  <c r="Z590" i="3"/>
  <c r="AA590" i="3"/>
  <c r="AB590" i="3"/>
  <c r="AC590" i="3"/>
  <c r="W591" i="3"/>
  <c r="X591" i="3"/>
  <c r="Y591" i="3"/>
  <c r="Z591" i="3"/>
  <c r="AA591" i="3"/>
  <c r="AB591" i="3"/>
  <c r="AC591" i="3"/>
  <c r="W592" i="3"/>
  <c r="X592" i="3"/>
  <c r="Y592" i="3"/>
  <c r="Z592" i="3"/>
  <c r="AA592" i="3"/>
  <c r="AB592" i="3"/>
  <c r="AC592" i="3"/>
  <c r="W593" i="3"/>
  <c r="X593" i="3"/>
  <c r="Y593" i="3"/>
  <c r="Z593" i="3"/>
  <c r="AA593" i="3"/>
  <c r="AB593" i="3"/>
  <c r="AC593" i="3"/>
  <c r="W594" i="3"/>
  <c r="X594" i="3"/>
  <c r="Y594" i="3"/>
  <c r="Z594" i="3"/>
  <c r="AA594" i="3"/>
  <c r="AB594" i="3"/>
  <c r="AC594" i="3"/>
  <c r="W595" i="3"/>
  <c r="X595" i="3"/>
  <c r="Y595" i="3"/>
  <c r="Z595" i="3"/>
  <c r="AA595" i="3"/>
  <c r="AB595" i="3"/>
  <c r="AC595" i="3"/>
  <c r="W596" i="3"/>
  <c r="X596" i="3"/>
  <c r="Y596" i="3"/>
  <c r="Z596" i="3"/>
  <c r="AA596" i="3"/>
  <c r="AB596" i="3"/>
  <c r="AC596" i="3"/>
  <c r="W597" i="3"/>
  <c r="X597" i="3"/>
  <c r="Y597" i="3"/>
  <c r="Z597" i="3"/>
  <c r="AA597" i="3"/>
  <c r="AB597" i="3"/>
  <c r="AC597" i="3"/>
  <c r="W598" i="3"/>
  <c r="X598" i="3"/>
  <c r="Y598" i="3"/>
  <c r="Z598" i="3"/>
  <c r="AA598" i="3"/>
  <c r="AB598" i="3"/>
  <c r="AC598" i="3"/>
  <c r="W599" i="3"/>
  <c r="X599" i="3"/>
  <c r="Y599" i="3"/>
  <c r="Z599" i="3"/>
  <c r="AA599" i="3"/>
  <c r="AB599" i="3"/>
  <c r="AC599" i="3"/>
  <c r="W600" i="3"/>
  <c r="X600" i="3"/>
  <c r="Y600" i="3"/>
  <c r="Z600" i="3"/>
  <c r="AA600" i="3"/>
  <c r="AB600" i="3"/>
  <c r="AC600" i="3"/>
  <c r="W601" i="3"/>
  <c r="X601" i="3"/>
  <c r="Y601" i="3"/>
  <c r="Z601" i="3"/>
  <c r="AA601" i="3"/>
  <c r="AB601" i="3"/>
  <c r="AC601" i="3"/>
  <c r="W602" i="3"/>
  <c r="X602" i="3"/>
  <c r="Y602" i="3"/>
  <c r="Z602" i="3"/>
  <c r="AA602" i="3"/>
  <c r="AB602" i="3"/>
  <c r="AC602" i="3"/>
  <c r="W603" i="3"/>
  <c r="X603" i="3"/>
  <c r="Y603" i="3"/>
  <c r="Z603" i="3"/>
  <c r="AA603" i="3"/>
  <c r="AB603" i="3"/>
  <c r="AC603" i="3"/>
  <c r="W604" i="3"/>
  <c r="X604" i="3"/>
  <c r="Y604" i="3"/>
  <c r="Z604" i="3"/>
  <c r="AA604" i="3"/>
  <c r="AB604" i="3"/>
  <c r="AC604" i="3"/>
  <c r="W605" i="3"/>
  <c r="X605" i="3"/>
  <c r="Y605" i="3"/>
  <c r="Z605" i="3"/>
  <c r="AA605" i="3"/>
  <c r="AB605" i="3"/>
  <c r="AC605" i="3"/>
  <c r="W606" i="3"/>
  <c r="X606" i="3"/>
  <c r="Y606" i="3"/>
  <c r="Z606" i="3"/>
  <c r="AA606" i="3"/>
  <c r="AB606" i="3"/>
  <c r="AC606" i="3"/>
  <c r="W607" i="3"/>
  <c r="X607" i="3"/>
  <c r="Y607" i="3"/>
  <c r="Z607" i="3"/>
  <c r="AA607" i="3"/>
  <c r="AB607" i="3"/>
  <c r="AC607" i="3"/>
  <c r="W608" i="3"/>
  <c r="X608" i="3"/>
  <c r="Y608" i="3"/>
  <c r="Z608" i="3"/>
  <c r="AA608" i="3"/>
  <c r="AB608" i="3"/>
  <c r="AC608" i="3"/>
  <c r="W609" i="3"/>
  <c r="X609" i="3"/>
  <c r="Y609" i="3"/>
  <c r="Z609" i="3"/>
  <c r="AA609" i="3"/>
  <c r="AB609" i="3"/>
  <c r="AC609" i="3"/>
  <c r="W610" i="3"/>
  <c r="X610" i="3"/>
  <c r="Y610" i="3"/>
  <c r="Z610" i="3"/>
  <c r="AA610" i="3"/>
  <c r="AB610" i="3"/>
  <c r="AC610" i="3"/>
  <c r="W611" i="3"/>
  <c r="X611" i="3"/>
  <c r="Y611" i="3"/>
  <c r="Z611" i="3"/>
  <c r="AA611" i="3"/>
  <c r="AB611" i="3"/>
  <c r="AC611" i="3"/>
  <c r="W612" i="3"/>
  <c r="X612" i="3"/>
  <c r="Y612" i="3"/>
  <c r="Z612" i="3"/>
  <c r="AA612" i="3"/>
  <c r="AB612" i="3"/>
  <c r="AC612" i="3"/>
  <c r="W613" i="3"/>
  <c r="X613" i="3"/>
  <c r="Y613" i="3"/>
  <c r="Z613" i="3"/>
  <c r="AA613" i="3"/>
  <c r="AB613" i="3"/>
  <c r="AC613" i="3"/>
  <c r="W614" i="3"/>
  <c r="X614" i="3"/>
  <c r="Y614" i="3"/>
  <c r="Z614" i="3"/>
  <c r="AA614" i="3"/>
  <c r="AB614" i="3"/>
  <c r="AC614" i="3"/>
  <c r="W615" i="3"/>
  <c r="X615" i="3"/>
  <c r="Y615" i="3"/>
  <c r="Z615" i="3"/>
  <c r="AA615" i="3"/>
  <c r="AB615" i="3"/>
  <c r="AC615" i="3"/>
  <c r="W616" i="3"/>
  <c r="X616" i="3"/>
  <c r="Y616" i="3"/>
  <c r="Z616" i="3"/>
  <c r="AA616" i="3"/>
  <c r="AB616" i="3"/>
  <c r="AC616" i="3"/>
  <c r="W617" i="3"/>
  <c r="X617" i="3"/>
  <c r="Y617" i="3"/>
  <c r="Z617" i="3"/>
  <c r="AA617" i="3"/>
  <c r="AB617" i="3"/>
  <c r="AC617" i="3"/>
  <c r="W618" i="3"/>
  <c r="X618" i="3"/>
  <c r="Y618" i="3"/>
  <c r="Z618" i="3"/>
  <c r="AA618" i="3"/>
  <c r="AB618" i="3"/>
  <c r="AC618" i="3"/>
  <c r="W619" i="3"/>
  <c r="X619" i="3"/>
  <c r="Y619" i="3"/>
  <c r="Z619" i="3"/>
  <c r="AA619" i="3"/>
  <c r="AB619" i="3"/>
  <c r="AC619" i="3"/>
  <c r="W620" i="3"/>
  <c r="X620" i="3"/>
  <c r="Y620" i="3"/>
  <c r="Z620" i="3"/>
  <c r="AA620" i="3"/>
  <c r="AB620" i="3"/>
  <c r="AC620" i="3"/>
  <c r="W621" i="3"/>
  <c r="X621" i="3"/>
  <c r="Y621" i="3"/>
  <c r="Z621" i="3"/>
  <c r="AA621" i="3"/>
  <c r="AB621" i="3"/>
  <c r="AC621" i="3"/>
  <c r="W622" i="3"/>
  <c r="X622" i="3"/>
  <c r="Y622" i="3"/>
  <c r="Z622" i="3"/>
  <c r="AA622" i="3"/>
  <c r="AB622" i="3"/>
  <c r="AC622" i="3"/>
  <c r="W623" i="3"/>
  <c r="X623" i="3"/>
  <c r="Y623" i="3"/>
  <c r="Z623" i="3"/>
  <c r="AA623" i="3"/>
  <c r="AB623" i="3"/>
  <c r="AC623" i="3"/>
  <c r="W624" i="3"/>
  <c r="X624" i="3"/>
  <c r="Y624" i="3"/>
  <c r="Z624" i="3"/>
  <c r="AA624" i="3"/>
  <c r="AB624" i="3"/>
  <c r="AC624" i="3"/>
  <c r="W625" i="3"/>
  <c r="X625" i="3"/>
  <c r="Y625" i="3"/>
  <c r="Z625" i="3"/>
  <c r="AA625" i="3"/>
  <c r="AB625" i="3"/>
  <c r="AC625" i="3"/>
  <c r="X628" i="3"/>
  <c r="Y628" i="3"/>
  <c r="Z628" i="3"/>
  <c r="AA628" i="3"/>
  <c r="AB628" i="3"/>
  <c r="AC628" i="3"/>
  <c r="W629" i="3"/>
  <c r="X629" i="3"/>
  <c r="Y629" i="3"/>
  <c r="Z629" i="3"/>
  <c r="AA629" i="3"/>
  <c r="AB629" i="3"/>
  <c r="AC629" i="3"/>
  <c r="W630" i="3"/>
  <c r="X630" i="3"/>
  <c r="Y630" i="3"/>
  <c r="Z630" i="3"/>
  <c r="AA630" i="3"/>
  <c r="AB630" i="3"/>
  <c r="AC630" i="3"/>
  <c r="W631" i="3"/>
  <c r="X631" i="3"/>
  <c r="Y631" i="3"/>
  <c r="Z631" i="3"/>
  <c r="AA631" i="3"/>
  <c r="AB631" i="3"/>
  <c r="AC631" i="3"/>
  <c r="W632" i="3"/>
  <c r="X632" i="3"/>
  <c r="Y632" i="3"/>
  <c r="Z632" i="3"/>
  <c r="AA632" i="3"/>
  <c r="AB632" i="3"/>
  <c r="AC632" i="3"/>
  <c r="AC2" i="3"/>
  <c r="AB2" i="3"/>
  <c r="AA2" i="3"/>
  <c r="Z2" i="3"/>
  <c r="Y2" i="3"/>
  <c r="X2" i="3"/>
  <c r="W2" i="3"/>
</calcChain>
</file>

<file path=xl/sharedStrings.xml><?xml version="1.0" encoding="utf-8"?>
<sst xmlns="http://schemas.openxmlformats.org/spreadsheetml/2006/main" count="11905" uniqueCount="1437">
  <si>
    <t>System-Level Continuous Monitoring (SLCM) Plan Worksheet</t>
  </si>
  <si>
    <t>Control Acronym</t>
  </si>
  <si>
    <t>Control Title</t>
  </si>
  <si>
    <t>Criticality</t>
  </si>
  <si>
    <t>Frequency</t>
  </si>
  <si>
    <t>Method</t>
  </si>
  <si>
    <t>Reporting</t>
  </si>
  <si>
    <t>Tracking</t>
  </si>
  <si>
    <t>SLCM Comments</t>
  </si>
  <si>
    <t>Order #</t>
  </si>
  <si>
    <t>AC-1</t>
  </si>
  <si>
    <t>AC-2</t>
  </si>
  <si>
    <t xml:space="preserve">***READ ME FIRST*** -- Follow the steps below to create a SLCM tailored to the specific control baseline of the Information System </t>
  </si>
  <si>
    <t>AC-2(1)</t>
  </si>
  <si>
    <t>AC-2(2)</t>
  </si>
  <si>
    <t>AC-2(3)</t>
  </si>
  <si>
    <t>AC-2(4)</t>
  </si>
  <si>
    <t>AC-2(5)</t>
  </si>
  <si>
    <r>
      <rPr>
        <b/>
        <sz val="11"/>
        <color theme="1"/>
        <rFont val="Calibri"/>
        <family val="2"/>
        <scheme val="minor"/>
      </rPr>
      <t>Step 1)</t>
    </r>
    <r>
      <rPr>
        <sz val="11"/>
        <color theme="1"/>
        <rFont val="Calibri"/>
        <family val="2"/>
        <scheme val="minor"/>
      </rPr>
      <t xml:space="preserve"> Go the the Information System Dashboard in eMASS and select </t>
    </r>
    <r>
      <rPr>
        <b/>
        <sz val="11"/>
        <color theme="1"/>
        <rFont val="Calibri"/>
        <family val="2"/>
        <scheme val="minor"/>
      </rPr>
      <t xml:space="preserve">"Import/Export" </t>
    </r>
    <r>
      <rPr>
        <sz val="11"/>
        <color theme="1"/>
        <rFont val="Calibri"/>
        <family val="2"/>
        <scheme val="minor"/>
      </rPr>
      <t>under the</t>
    </r>
    <r>
      <rPr>
        <b/>
        <sz val="11"/>
        <color theme="1"/>
        <rFont val="Calibri"/>
        <family val="2"/>
        <scheme val="minor"/>
      </rPr>
      <t xml:space="preserve"> "Control" </t>
    </r>
    <r>
      <rPr>
        <sz val="11"/>
        <color theme="1"/>
        <rFont val="Calibri"/>
        <family val="2"/>
        <scheme val="minor"/>
      </rPr>
      <t>header on the left hand menu</t>
    </r>
  </si>
  <si>
    <t>AC-2(7)</t>
  </si>
  <si>
    <t>AC-2(9)</t>
  </si>
  <si>
    <t>AC-2(10)</t>
  </si>
  <si>
    <t>AC-2(11)</t>
  </si>
  <si>
    <r>
      <rPr>
        <b/>
        <sz val="11"/>
        <color theme="1"/>
        <rFont val="Calibri"/>
        <family val="2"/>
        <scheme val="minor"/>
      </rPr>
      <t>Step 2)</t>
    </r>
    <r>
      <rPr>
        <sz val="11"/>
        <color theme="1"/>
        <rFont val="Calibri"/>
        <family val="2"/>
        <scheme val="minor"/>
      </rPr>
      <t xml:space="preserve"> From the Control Dashboard, Click </t>
    </r>
    <r>
      <rPr>
        <b/>
        <sz val="11"/>
        <color theme="1"/>
        <rFont val="Calibri"/>
        <family val="2"/>
        <scheme val="minor"/>
      </rPr>
      <t>"Export All"</t>
    </r>
    <r>
      <rPr>
        <sz val="11"/>
        <color theme="1"/>
        <rFont val="Calibri"/>
        <family val="2"/>
        <scheme val="minor"/>
      </rPr>
      <t xml:space="preserve"> under the </t>
    </r>
    <r>
      <rPr>
        <b/>
        <sz val="11"/>
        <color theme="1"/>
        <rFont val="Calibri"/>
        <family val="2"/>
        <scheme val="minor"/>
      </rPr>
      <t>"Control Information"</t>
    </r>
    <r>
      <rPr>
        <sz val="11"/>
        <color theme="1"/>
        <rFont val="Calibri"/>
        <family val="2"/>
        <scheme val="minor"/>
      </rPr>
      <t xml:space="preserve"> header
</t>
    </r>
    <r>
      <rPr>
        <b/>
        <i/>
        <sz val="11"/>
        <color rgb="FFC00000"/>
        <rFont val="Calibri"/>
        <family val="2"/>
        <scheme val="minor"/>
      </rPr>
      <t>**Ensure to export "Control Information" and NOT "Test Results"</t>
    </r>
  </si>
  <si>
    <t>AC-2(12)</t>
  </si>
  <si>
    <t>AC-2(13)</t>
  </si>
  <si>
    <t>AC-3</t>
  </si>
  <si>
    <t>AC-3(4)</t>
  </si>
  <si>
    <t>AC-4</t>
  </si>
  <si>
    <t>AC-5</t>
  </si>
  <si>
    <t>AC-6</t>
  </si>
  <si>
    <t>AC-6(1)</t>
  </si>
  <si>
    <t>AC-6(2)</t>
  </si>
  <si>
    <t>AC-6(3)</t>
  </si>
  <si>
    <t>AC-6(5)</t>
  </si>
  <si>
    <t>AC-6(7)</t>
  </si>
  <si>
    <t>AC-6(8)</t>
  </si>
  <si>
    <t>AC-6(9)</t>
  </si>
  <si>
    <t>AC-6(10)</t>
  </si>
  <si>
    <t>AC-7</t>
  </si>
  <si>
    <t>AC-8</t>
  </si>
  <si>
    <t>AC-9</t>
  </si>
  <si>
    <t>AC-10</t>
  </si>
  <si>
    <t>AC-11</t>
  </si>
  <si>
    <r>
      <rPr>
        <b/>
        <sz val="11"/>
        <color theme="1"/>
        <rFont val="Calibri"/>
        <family val="2"/>
        <scheme val="minor"/>
      </rPr>
      <t>Step 3)</t>
    </r>
    <r>
      <rPr>
        <sz val="11"/>
        <color theme="1"/>
        <rFont val="Calibri"/>
        <family val="2"/>
        <scheme val="minor"/>
      </rPr>
      <t xml:space="preserve"> Open the download excel file and navigate to the "Template" tab. Copy all listed controls by highlighting the first cell and pressing </t>
    </r>
    <r>
      <rPr>
        <b/>
        <sz val="11"/>
        <color theme="1"/>
        <rFont val="Calibri"/>
        <family val="2"/>
        <scheme val="minor"/>
      </rPr>
      <t xml:space="preserve">"Control + Shift + Down Arrow" </t>
    </r>
    <r>
      <rPr>
        <sz val="11"/>
        <color theme="1"/>
        <rFont val="Calibri"/>
        <family val="2"/>
        <scheme val="minor"/>
      </rPr>
      <t>then Copy with</t>
    </r>
    <r>
      <rPr>
        <b/>
        <sz val="11"/>
        <color theme="1"/>
        <rFont val="Calibri"/>
        <family val="2"/>
        <scheme val="minor"/>
      </rPr>
      <t xml:space="preserve"> "Contol + C"</t>
    </r>
    <r>
      <rPr>
        <sz val="11"/>
        <color theme="1"/>
        <rFont val="Calibri"/>
        <family val="2"/>
        <scheme val="minor"/>
      </rPr>
      <t xml:space="preserve"> </t>
    </r>
  </si>
  <si>
    <t>AC-11(1)</t>
  </si>
  <si>
    <t>AC-12</t>
  </si>
  <si>
    <t>AC-12(1)</t>
  </si>
  <si>
    <t>AC-14</t>
  </si>
  <si>
    <r>
      <rPr>
        <b/>
        <sz val="11"/>
        <color theme="1"/>
        <rFont val="Calibri"/>
        <family val="2"/>
        <scheme val="minor"/>
      </rPr>
      <t>Step 4)</t>
    </r>
    <r>
      <rPr>
        <sz val="11"/>
        <color theme="1"/>
        <rFont val="Calibri"/>
        <family val="2"/>
        <scheme val="minor"/>
      </rPr>
      <t xml:space="preserve"> Navigate to this page and place the cursor over the field under </t>
    </r>
    <r>
      <rPr>
        <b/>
        <sz val="11"/>
        <color theme="1"/>
        <rFont val="Calibri"/>
        <family val="2"/>
        <scheme val="minor"/>
      </rPr>
      <t>"Control Acronym"</t>
    </r>
    <r>
      <rPr>
        <sz val="11"/>
        <color theme="1"/>
        <rFont val="Calibri"/>
        <family val="2"/>
        <scheme val="minor"/>
      </rPr>
      <t xml:space="preserve"> and next to</t>
    </r>
    <r>
      <rPr>
        <b/>
        <sz val="11"/>
        <color theme="1"/>
        <rFont val="Calibri"/>
        <family val="2"/>
        <scheme val="minor"/>
      </rPr>
      <t xml:space="preserve"> "Order #" 1.</t>
    </r>
    <r>
      <rPr>
        <sz val="11"/>
        <color theme="1"/>
        <rFont val="Calibri"/>
        <family val="2"/>
        <scheme val="minor"/>
      </rPr>
      <t xml:space="preserve"> Paste the copied cells with </t>
    </r>
    <r>
      <rPr>
        <b/>
        <sz val="11"/>
        <color theme="1"/>
        <rFont val="Calibri"/>
        <family val="2"/>
        <scheme val="minor"/>
      </rPr>
      <t>"Control + V".</t>
    </r>
    <r>
      <rPr>
        <sz val="11"/>
        <color theme="1"/>
        <rFont val="Calibri"/>
        <family val="2"/>
        <scheme val="minor"/>
      </rPr>
      <t xml:space="preserve"> </t>
    </r>
  </si>
  <si>
    <t>AC-16</t>
  </si>
  <si>
    <t>AC-16(3)</t>
  </si>
  <si>
    <t>AC-16(6)</t>
  </si>
  <si>
    <t>AC-17</t>
  </si>
  <si>
    <r>
      <rPr>
        <b/>
        <sz val="11"/>
        <color theme="1"/>
        <rFont val="Calibri"/>
        <family val="2"/>
        <scheme val="minor"/>
      </rPr>
      <t>Step 5)</t>
    </r>
    <r>
      <rPr>
        <sz val="11"/>
        <color theme="1"/>
        <rFont val="Calibri"/>
        <family val="2"/>
        <scheme val="minor"/>
      </rPr>
      <t xml:space="preserve"> After controls are pasted into the cells, Click the button below and the tailered SLCM plan will be on the </t>
    </r>
    <r>
      <rPr>
        <b/>
        <sz val="11"/>
        <color theme="1"/>
        <rFont val="Calibri"/>
        <family val="2"/>
        <scheme val="minor"/>
      </rPr>
      <t>"Final Results</t>
    </r>
    <r>
      <rPr>
        <sz val="11"/>
        <color theme="1"/>
        <rFont val="Calibri"/>
        <family val="2"/>
        <scheme val="minor"/>
      </rPr>
      <t xml:space="preserve">" tab. </t>
    </r>
  </si>
  <si>
    <t>AC-17(1)</t>
  </si>
  <si>
    <t>AC-17(2)</t>
  </si>
  <si>
    <t>AC-17(3)</t>
  </si>
  <si>
    <t>AC-17(4)</t>
  </si>
  <si>
    <t>AC-17(6)</t>
  </si>
  <si>
    <t>AC-17(9)</t>
  </si>
  <si>
    <t>AC-18</t>
  </si>
  <si>
    <t>AC-18(1)</t>
  </si>
  <si>
    <t>AC-18(3)</t>
  </si>
  <si>
    <t>AC-18(4)</t>
  </si>
  <si>
    <t>AC-18(5)</t>
  </si>
  <si>
    <t>AC-19</t>
  </si>
  <si>
    <t>AC-19(5)</t>
  </si>
  <si>
    <t>AC-20</t>
  </si>
  <si>
    <t>AC-20(1)</t>
  </si>
  <si>
    <t>AC-20(2)</t>
  </si>
  <si>
    <t>AC-20(3)</t>
  </si>
  <si>
    <t>AC-21</t>
  </si>
  <si>
    <t>AC-22</t>
  </si>
  <si>
    <t>AC-23</t>
  </si>
  <si>
    <t>AP-1</t>
  </si>
  <si>
    <t>AP-2</t>
  </si>
  <si>
    <t>AR-1</t>
  </si>
  <si>
    <t>AR-2</t>
  </si>
  <si>
    <t>AR-3</t>
  </si>
  <si>
    <t>AR-4</t>
  </si>
  <si>
    <t>AR-5</t>
  </si>
  <si>
    <t>AR-6</t>
  </si>
  <si>
    <t>AR-7</t>
  </si>
  <si>
    <t>AR-8</t>
  </si>
  <si>
    <t>AT-1</t>
  </si>
  <si>
    <t>AT-2</t>
  </si>
  <si>
    <t>AT-2(2)</t>
  </si>
  <si>
    <t>AT-3</t>
  </si>
  <si>
    <t>AT-3(2)</t>
  </si>
  <si>
    <t>AT-3(4)</t>
  </si>
  <si>
    <t>AT-4</t>
  </si>
  <si>
    <t>AU-1</t>
  </si>
  <si>
    <t>AU-2</t>
  </si>
  <si>
    <t>AU-2(3)</t>
  </si>
  <si>
    <t>AU-3</t>
  </si>
  <si>
    <t>AU-3(1)</t>
  </si>
  <si>
    <t>AU-3(2)</t>
  </si>
  <si>
    <t>AU-4</t>
  </si>
  <si>
    <t>AU-4(1)</t>
  </si>
  <si>
    <t>AU-5</t>
  </si>
  <si>
    <t>AU-5(1)</t>
  </si>
  <si>
    <t>AU-6</t>
  </si>
  <si>
    <t>AU-6(1)</t>
  </si>
  <si>
    <t>AU-6(3)</t>
  </si>
  <si>
    <t>AU-6(4)</t>
  </si>
  <si>
    <t>AU-6(5)</t>
  </si>
  <si>
    <t>AU-6(6)</t>
  </si>
  <si>
    <t>AU-6(10)</t>
  </si>
  <si>
    <t>AU-7</t>
  </si>
  <si>
    <t>AU-7(1)</t>
  </si>
  <si>
    <t>AU-8</t>
  </si>
  <si>
    <t>AU-8(1)</t>
  </si>
  <si>
    <t>AU-9</t>
  </si>
  <si>
    <t>AU-9(3)</t>
  </si>
  <si>
    <t>AU-9(4)</t>
  </si>
  <si>
    <t>AU-10</t>
  </si>
  <si>
    <t>AU-11</t>
  </si>
  <si>
    <t>AU-11(1)</t>
  </si>
  <si>
    <t>AU-12</t>
  </si>
  <si>
    <t>AU-12(1)</t>
  </si>
  <si>
    <t>AU-12(3)</t>
  </si>
  <si>
    <t>AU-14</t>
  </si>
  <si>
    <t>AU-14(1)</t>
  </si>
  <si>
    <t>AU-14(2)</t>
  </si>
  <si>
    <t>AU-14(3)</t>
  </si>
  <si>
    <t>CA-1</t>
  </si>
  <si>
    <t>CA-2</t>
  </si>
  <si>
    <t>CA-2(1)</t>
  </si>
  <si>
    <t>CA-2(2)</t>
  </si>
  <si>
    <t>CA-3</t>
  </si>
  <si>
    <t>CA-3(1)</t>
  </si>
  <si>
    <t>CA-3(3)</t>
  </si>
  <si>
    <t>CA-3(5)</t>
  </si>
  <si>
    <t>CA-5</t>
  </si>
  <si>
    <t>CA-6</t>
  </si>
  <si>
    <t>CA-7</t>
  </si>
  <si>
    <t>CA-7(1)</t>
  </si>
  <si>
    <t>CA-8</t>
  </si>
  <si>
    <t>CA-9</t>
  </si>
  <si>
    <t>CM-1</t>
  </si>
  <si>
    <t>CM-2</t>
  </si>
  <si>
    <t>CM-2(1)</t>
  </si>
  <si>
    <t>CM-2(2)</t>
  </si>
  <si>
    <t>CM-2(3)</t>
  </si>
  <si>
    <t>CM-2(7)</t>
  </si>
  <si>
    <t>CM-3</t>
  </si>
  <si>
    <t>CM-3(1)</t>
  </si>
  <si>
    <t>CM-3(2)</t>
  </si>
  <si>
    <t>CM-3(4)</t>
  </si>
  <si>
    <t>CM-3(5)</t>
  </si>
  <si>
    <t>CM-3(6)</t>
  </si>
  <si>
    <t>CM-4</t>
  </si>
  <si>
    <t>CM-4(1)</t>
  </si>
  <si>
    <t>CM-5</t>
  </si>
  <si>
    <t>CM-5(1)</t>
  </si>
  <si>
    <t>CM-5(2)</t>
  </si>
  <si>
    <t>CM-5(3)</t>
  </si>
  <si>
    <t>CM-5(5)</t>
  </si>
  <si>
    <t>CM-5(6)</t>
  </si>
  <si>
    <t>CM-6</t>
  </si>
  <si>
    <t>CM-6(1)</t>
  </si>
  <si>
    <t>CM-6(2)</t>
  </si>
  <si>
    <t>CM-7</t>
  </si>
  <si>
    <t>CM-7(1)</t>
  </si>
  <si>
    <t>CM-7(2)</t>
  </si>
  <si>
    <t>CM-7(3)</t>
  </si>
  <si>
    <t>CM-7(5)</t>
  </si>
  <si>
    <t>CM-8</t>
  </si>
  <si>
    <t>CM-8(1)</t>
  </si>
  <si>
    <t>CM-8(2)</t>
  </si>
  <si>
    <t>CM-8(3)</t>
  </si>
  <si>
    <t>CM-8(4)</t>
  </si>
  <si>
    <t>CM-8(5)</t>
  </si>
  <si>
    <t>CM-9</t>
  </si>
  <si>
    <t>CM-10</t>
  </si>
  <si>
    <t>CM-10(1)</t>
  </si>
  <si>
    <t>CM-11</t>
  </si>
  <si>
    <t>CM-11(1)</t>
  </si>
  <si>
    <t>CM-11(2)</t>
  </si>
  <si>
    <t>CP-1</t>
  </si>
  <si>
    <t>CP-2</t>
  </si>
  <si>
    <t>CP-3</t>
  </si>
  <si>
    <t>CP-4</t>
  </si>
  <si>
    <t>CP-7</t>
  </si>
  <si>
    <t>CP-9</t>
  </si>
  <si>
    <t>CP-9(1)</t>
  </si>
  <si>
    <t>CP-10</t>
  </si>
  <si>
    <t>CP-10(2)</t>
  </si>
  <si>
    <t>CP-10(4)</t>
  </si>
  <si>
    <t>DI-1</t>
  </si>
  <si>
    <t>DM-1</t>
  </si>
  <si>
    <t>DM-2</t>
  </si>
  <si>
    <t>DM-3</t>
  </si>
  <si>
    <t>IA-1</t>
  </si>
  <si>
    <t>IA-2</t>
  </si>
  <si>
    <t>IA-2(1)</t>
  </si>
  <si>
    <t>IA-2(2)</t>
  </si>
  <si>
    <t>IA-2(3)</t>
  </si>
  <si>
    <t>IA-2(4)</t>
  </si>
  <si>
    <t>IA-2(5)</t>
  </si>
  <si>
    <t>IA-2(8)</t>
  </si>
  <si>
    <t>IA-2(9)</t>
  </si>
  <si>
    <t>IA-2(11)</t>
  </si>
  <si>
    <t>IA-2(12)</t>
  </si>
  <si>
    <t>IA-3</t>
  </si>
  <si>
    <t>IA-3(1)</t>
  </si>
  <si>
    <t>IA-4</t>
  </si>
  <si>
    <t>IA-4(4)</t>
  </si>
  <si>
    <t>IA-5</t>
  </si>
  <si>
    <t>IA-5(1)</t>
  </si>
  <si>
    <t>IA-5(2)</t>
  </si>
  <si>
    <t>IA-5(3)</t>
  </si>
  <si>
    <t>IA-5(4)</t>
  </si>
  <si>
    <t>IA-5(7)</t>
  </si>
  <si>
    <t>IA-5(8)</t>
  </si>
  <si>
    <t>IA-5(11)</t>
  </si>
  <si>
    <t>IA-5(13)</t>
  </si>
  <si>
    <t>IA-5(14)</t>
  </si>
  <si>
    <t>IA-6</t>
  </si>
  <si>
    <t>IA-7</t>
  </si>
  <si>
    <t>IA-8</t>
  </si>
  <si>
    <t>IA-8(1)</t>
  </si>
  <si>
    <t>IA-8(2)</t>
  </si>
  <si>
    <t>IA-8(3)</t>
  </si>
  <si>
    <t>IA-8(4)</t>
  </si>
  <si>
    <t>IA-10</t>
  </si>
  <si>
    <t>IA-11</t>
  </si>
  <si>
    <t>IP-1</t>
  </si>
  <si>
    <t>IP-2</t>
  </si>
  <si>
    <t>IP-3</t>
  </si>
  <si>
    <t>IP-4</t>
  </si>
  <si>
    <t>IR-1</t>
  </si>
  <si>
    <t>IR-2</t>
  </si>
  <si>
    <t>IR-2(1)</t>
  </si>
  <si>
    <t>IR-2(2)</t>
  </si>
  <si>
    <t>IR-3</t>
  </si>
  <si>
    <t>IR-3(2)</t>
  </si>
  <si>
    <t>IR-4</t>
  </si>
  <si>
    <t>IR-4(1)</t>
  </si>
  <si>
    <t>IR-4(3)</t>
  </si>
  <si>
    <t>IR-4(4)</t>
  </si>
  <si>
    <t>IR-4(6)</t>
  </si>
  <si>
    <t>IR-4(7)</t>
  </si>
  <si>
    <t>IR-4(8)</t>
  </si>
  <si>
    <t>IR-5</t>
  </si>
  <si>
    <t>IR-5(1)</t>
  </si>
  <si>
    <t>IR-6</t>
  </si>
  <si>
    <t>IR-6(1)</t>
  </si>
  <si>
    <t>IR-6(2)</t>
  </si>
  <si>
    <t>IR-7</t>
  </si>
  <si>
    <t>IR-7(1)</t>
  </si>
  <si>
    <t>IR-7(2)</t>
  </si>
  <si>
    <t>IR-8</t>
  </si>
  <si>
    <t>IR-9</t>
  </si>
  <si>
    <t>IR-9(1)</t>
  </si>
  <si>
    <t>IR-9(2)</t>
  </si>
  <si>
    <t>IR-9(4)</t>
  </si>
  <si>
    <t>IR-10</t>
  </si>
  <si>
    <t>MA-1</t>
  </si>
  <si>
    <t>MA-2</t>
  </si>
  <si>
    <t>MA-2(2)</t>
  </si>
  <si>
    <t>MA-3</t>
  </si>
  <si>
    <t>MA-3(1)</t>
  </si>
  <si>
    <t>MA-3(2)</t>
  </si>
  <si>
    <t>MA-3(3)</t>
  </si>
  <si>
    <t>MA-4</t>
  </si>
  <si>
    <t>MA-4(1)</t>
  </si>
  <si>
    <t>MA-4(2)</t>
  </si>
  <si>
    <t>MA-4(3)</t>
  </si>
  <si>
    <t>MA-4(6)</t>
  </si>
  <si>
    <t>MA-4(7)</t>
  </si>
  <si>
    <t>MA-5</t>
  </si>
  <si>
    <t>MA-5(1)</t>
  </si>
  <si>
    <t>MP-1</t>
  </si>
  <si>
    <t>MP-2</t>
  </si>
  <si>
    <t>MP-3</t>
  </si>
  <si>
    <t>MP-4</t>
  </si>
  <si>
    <t>MP-5</t>
  </si>
  <si>
    <t>MP-5(4)</t>
  </si>
  <si>
    <t>MP-6</t>
  </si>
  <si>
    <t>MP-6(1)</t>
  </si>
  <si>
    <t>MP-6(2)</t>
  </si>
  <si>
    <t>MP-6(3)</t>
  </si>
  <si>
    <t>MP-7</t>
  </si>
  <si>
    <t>MP-7(1)</t>
  </si>
  <si>
    <t>PE-1</t>
  </si>
  <si>
    <t>PE-2</t>
  </si>
  <si>
    <t>PE-3</t>
  </si>
  <si>
    <t>PE-3(1)</t>
  </si>
  <si>
    <t>PE-4</t>
  </si>
  <si>
    <t>PE-5</t>
  </si>
  <si>
    <t>PE-6</t>
  </si>
  <si>
    <t>PE-6(1)</t>
  </si>
  <si>
    <t>PE-6(4)</t>
  </si>
  <si>
    <t>PE-8</t>
  </si>
  <si>
    <t>PE-8(1)</t>
  </si>
  <si>
    <t>PE-12</t>
  </si>
  <si>
    <t>PE-13</t>
  </si>
  <si>
    <t>PE-14</t>
  </si>
  <si>
    <t>PE-15</t>
  </si>
  <si>
    <t>PE-16</t>
  </si>
  <si>
    <t>PE-17</t>
  </si>
  <si>
    <t>PL-1</t>
  </si>
  <si>
    <t>PL-2</t>
  </si>
  <si>
    <t>PL-2(3)</t>
  </si>
  <si>
    <t>PL-4</t>
  </si>
  <si>
    <t>PL-4(1)</t>
  </si>
  <si>
    <t>PL-8</t>
  </si>
  <si>
    <t>PL-8(1)</t>
  </si>
  <si>
    <t>PL-8(2)</t>
  </si>
  <si>
    <t>PM-1</t>
  </si>
  <si>
    <t>PM-2</t>
  </si>
  <si>
    <t>PM-3</t>
  </si>
  <si>
    <t>PM-4</t>
  </si>
  <si>
    <t>PM-5</t>
  </si>
  <si>
    <t>PM-6</t>
  </si>
  <si>
    <t>PM-7</t>
  </si>
  <si>
    <t>PM-8</t>
  </si>
  <si>
    <t>PM-9</t>
  </si>
  <si>
    <t>PM-10</t>
  </si>
  <si>
    <t>PM-11</t>
  </si>
  <si>
    <t>PM-12</t>
  </si>
  <si>
    <t>PM-13</t>
  </si>
  <si>
    <t>PM-14</t>
  </si>
  <si>
    <t>PM-15</t>
  </si>
  <si>
    <t>PM-16</t>
  </si>
  <si>
    <t>PS-1</t>
  </si>
  <si>
    <t>PS-2</t>
  </si>
  <si>
    <t>PS-3</t>
  </si>
  <si>
    <t>PS-3(3)</t>
  </si>
  <si>
    <t>PS-4</t>
  </si>
  <si>
    <t>PS-4(1)</t>
  </si>
  <si>
    <t>PS-4(2)</t>
  </si>
  <si>
    <t>PS-5</t>
  </si>
  <si>
    <t>PS-6</t>
  </si>
  <si>
    <t>PS-6(3)</t>
  </si>
  <si>
    <t>PS-7</t>
  </si>
  <si>
    <t>PS-8</t>
  </si>
  <si>
    <t>RA-1</t>
  </si>
  <si>
    <t>RA-2</t>
  </si>
  <si>
    <t>RA-3</t>
  </si>
  <si>
    <t>RA-5</t>
  </si>
  <si>
    <t>RA-5(1)</t>
  </si>
  <si>
    <t>RA-5(2)</t>
  </si>
  <si>
    <t>RA-5(4)</t>
  </si>
  <si>
    <t>RA-5(5)</t>
  </si>
  <si>
    <t>RA-5(10)</t>
  </si>
  <si>
    <t>SA-1</t>
  </si>
  <si>
    <t>SA-2</t>
  </si>
  <si>
    <t>SA-3</t>
  </si>
  <si>
    <t>SA-4</t>
  </si>
  <si>
    <t>SA-4(1)</t>
  </si>
  <si>
    <t>SA-4(2)</t>
  </si>
  <si>
    <t>SA-4(3)</t>
  </si>
  <si>
    <t>SA-4(5)</t>
  </si>
  <si>
    <t>SA-4(7)</t>
  </si>
  <si>
    <t>SA-4(9)</t>
  </si>
  <si>
    <t>SA-4(10)</t>
  </si>
  <si>
    <t>SA-5</t>
  </si>
  <si>
    <t>SA-8</t>
  </si>
  <si>
    <t>SA-9</t>
  </si>
  <si>
    <t>SA-9(1)</t>
  </si>
  <si>
    <t>SA-9(2)</t>
  </si>
  <si>
    <t>SA-9(5)</t>
  </si>
  <si>
    <t>SA-10</t>
  </si>
  <si>
    <t>SA-10(1)</t>
  </si>
  <si>
    <t>SA-11</t>
  </si>
  <si>
    <t>SA-12</t>
  </si>
  <si>
    <t>SA-12(1)</t>
  </si>
  <si>
    <t>SA-12(5)</t>
  </si>
  <si>
    <t>SA-12(8)</t>
  </si>
  <si>
    <t>SA-12(9)</t>
  </si>
  <si>
    <t>SA-12(11)</t>
  </si>
  <si>
    <t>SA-14</t>
  </si>
  <si>
    <t>SA-15</t>
  </si>
  <si>
    <t>SA-15(3)</t>
  </si>
  <si>
    <t>SA-15(4)</t>
  </si>
  <si>
    <t>SA-15(7)</t>
  </si>
  <si>
    <t>SA-15(9)</t>
  </si>
  <si>
    <t>SA-16</t>
  </si>
  <si>
    <t>SA-17</t>
  </si>
  <si>
    <t>SA-19</t>
  </si>
  <si>
    <t>SA-21</t>
  </si>
  <si>
    <t>SA-22</t>
  </si>
  <si>
    <t>SC-1</t>
  </si>
  <si>
    <t>SC-2</t>
  </si>
  <si>
    <t>SC-3</t>
  </si>
  <si>
    <t>SC-4</t>
  </si>
  <si>
    <t>SC-5</t>
  </si>
  <si>
    <t>SC-5(1)</t>
  </si>
  <si>
    <t>SC-7</t>
  </si>
  <si>
    <t>SC-7(3)</t>
  </si>
  <si>
    <t>SC-7(4)</t>
  </si>
  <si>
    <t>SC-7(5)</t>
  </si>
  <si>
    <t>SC-7(7)</t>
  </si>
  <si>
    <t>SC-7(8)</t>
  </si>
  <si>
    <t>SC-7(9)</t>
  </si>
  <si>
    <t>SC-7(10)</t>
  </si>
  <si>
    <t>SC-7(11)</t>
  </si>
  <si>
    <t>SC-7(12)</t>
  </si>
  <si>
    <t>SC-7(13)</t>
  </si>
  <si>
    <t>SC-7(14)</t>
  </si>
  <si>
    <t>SC-7(18)</t>
  </si>
  <si>
    <t>SC-7(21)</t>
  </si>
  <si>
    <t>SC-8</t>
  </si>
  <si>
    <t>SC-8(1)</t>
  </si>
  <si>
    <t>SC-8(2)</t>
  </si>
  <si>
    <t>SC-10</t>
  </si>
  <si>
    <t>SC-12</t>
  </si>
  <si>
    <t>SC-13</t>
  </si>
  <si>
    <t>SC-15</t>
  </si>
  <si>
    <t>SC-17</t>
  </si>
  <si>
    <t>SC-18</t>
  </si>
  <si>
    <t>SC-18(1)</t>
  </si>
  <si>
    <t>SC-18(2)</t>
  </si>
  <si>
    <t>SC-18(3)</t>
  </si>
  <si>
    <t>SC-18(4)</t>
  </si>
  <si>
    <t>SC-19</t>
  </si>
  <si>
    <t>SC-20</t>
  </si>
  <si>
    <t>SC-21</t>
  </si>
  <si>
    <t>SC-22</t>
  </si>
  <si>
    <t>SC-23</t>
  </si>
  <si>
    <t>SC-23(1)</t>
  </si>
  <si>
    <t>SC-23(3)</t>
  </si>
  <si>
    <t>SC-23(5)</t>
  </si>
  <si>
    <t>SC-24</t>
  </si>
  <si>
    <t>SC-28</t>
  </si>
  <si>
    <t>SC-28(1)</t>
  </si>
  <si>
    <t>SC-38</t>
  </si>
  <si>
    <t>SC-39</t>
  </si>
  <si>
    <t>SE-1</t>
  </si>
  <si>
    <t>SE-2</t>
  </si>
  <si>
    <t>SI-1</t>
  </si>
  <si>
    <t>SI-2</t>
  </si>
  <si>
    <t>SI-2(1)</t>
  </si>
  <si>
    <t>SI-2(2)</t>
  </si>
  <si>
    <t>SI-2(3)</t>
  </si>
  <si>
    <t>SI-2(6)</t>
  </si>
  <si>
    <t>SI-3</t>
  </si>
  <si>
    <t>SI-3(1)</t>
  </si>
  <si>
    <t>SI-3(2)</t>
  </si>
  <si>
    <t>SI-3(10)</t>
  </si>
  <si>
    <t>SI-4</t>
  </si>
  <si>
    <t>SI-4(1)</t>
  </si>
  <si>
    <t>SI-4(2)</t>
  </si>
  <si>
    <t>SI-4(4)</t>
  </si>
  <si>
    <t>SI-4(5)</t>
  </si>
  <si>
    <t>SI-4(10)</t>
  </si>
  <si>
    <t>SI-4(11)</t>
  </si>
  <si>
    <t>SI-4(12)</t>
  </si>
  <si>
    <t>SI-4(14)</t>
  </si>
  <si>
    <t>SI-4(15)</t>
  </si>
  <si>
    <t>SI-4(16)</t>
  </si>
  <si>
    <t>SI-4(19)</t>
  </si>
  <si>
    <t>SI-4(20)</t>
  </si>
  <si>
    <t>SI-4(22)</t>
  </si>
  <si>
    <t>SI-4(23)</t>
  </si>
  <si>
    <t>SI-5</t>
  </si>
  <si>
    <t>SI-5(1)</t>
  </si>
  <si>
    <t>SI-6</t>
  </si>
  <si>
    <t>SI-6(3)</t>
  </si>
  <si>
    <t>SI-7</t>
  </si>
  <si>
    <t>SI-7(1)</t>
  </si>
  <si>
    <t>SI-7(2)</t>
  </si>
  <si>
    <t>SI-7(5)</t>
  </si>
  <si>
    <t>SI-7(6)</t>
  </si>
  <si>
    <t>SI-7(7)</t>
  </si>
  <si>
    <t>SI-7(8)</t>
  </si>
  <si>
    <t>SI-7(14)</t>
  </si>
  <si>
    <t>SI-8</t>
  </si>
  <si>
    <t>SI-8(1)</t>
  </si>
  <si>
    <t>SI-8(2)</t>
  </si>
  <si>
    <t>SI-10</t>
  </si>
  <si>
    <t>SI-10(3)</t>
  </si>
  <si>
    <t>SI-11</t>
  </si>
  <si>
    <t>SI-12</t>
  </si>
  <si>
    <t>SI-16</t>
  </si>
  <si>
    <t>TR-1</t>
  </si>
  <si>
    <t>TR-2</t>
  </si>
  <si>
    <t>TR-2(1)</t>
  </si>
  <si>
    <t>TR-3</t>
  </si>
  <si>
    <t>UL-1</t>
  </si>
  <si>
    <t>UL-2</t>
  </si>
  <si>
    <t>Implementation Status / Security Control Status</t>
  </si>
  <si>
    <t>Sort #</t>
  </si>
  <si>
    <t>Account Management</t>
  </si>
  <si>
    <t>CRWG Yellow Criticality Control</t>
  </si>
  <si>
    <t>Annually</t>
  </si>
  <si>
    <t>Manual</t>
  </si>
  <si>
    <t>via telephone or e-mail, the System Owner reports to the cybersecurity chain of command, and after appropriate (but not prolonged) investigation into the severity/urgency of the situation, the AO is advised and provided an authorization/connection decision recommendation</t>
  </si>
  <si>
    <t>POA&amp;M</t>
  </si>
  <si>
    <t>Attributes for Criticality, Frequency, Method, Reporting, and Tracking are selected per guidance from DoD Guide for Developing a System-Level Continuous Monitoring Strategy and the DCSA System-Level Continuous Monitoring of Security Controls Guide</t>
  </si>
  <si>
    <t>Account Management | Automated System Account Management</t>
  </si>
  <si>
    <t>CRWG White Criticality Control</t>
  </si>
  <si>
    <t>Constantly</t>
  </si>
  <si>
    <t>System Owner resolves the situation in due course, keeping the cybersecurity chain advised via e-mail or normal tracking tools (e.g., eMASS); the AO is contacted for an authorization/connection decision only if the risk cannot be reduced back to the accepted level in a reasonable time</t>
  </si>
  <si>
    <t>Account Management | Removal of Temporary/ Emergency Accounts</t>
  </si>
  <si>
    <t>Account Management | Disable Inactive Accounts</t>
  </si>
  <si>
    <t>Monthly</t>
  </si>
  <si>
    <t>Account Management | Automated Audit Actions</t>
  </si>
  <si>
    <t>Automated</t>
  </si>
  <si>
    <t>Enterprise Logging Tool</t>
  </si>
  <si>
    <t>Account Management | Inactivity Logout</t>
  </si>
  <si>
    <t>Quarterly</t>
  </si>
  <si>
    <t>Account Management | Shared/ Group Account Credential Termination</t>
  </si>
  <si>
    <t xml:space="preserve">Access Enforcement </t>
  </si>
  <si>
    <t xml:space="preserve">Access Enforcement | Discretionary Access Control </t>
  </si>
  <si>
    <t xml:space="preserve">Information Flow Enforcement </t>
  </si>
  <si>
    <t>Least Privilege | Privilege Levels for Code Execution</t>
  </si>
  <si>
    <t>Least Privilege | Auditing Use of Privileged Functions</t>
  </si>
  <si>
    <t>Least Privilege | Prohibit Non-privileged Users from Executing Privileged Functions</t>
  </si>
  <si>
    <t>Unsuccessful Login Attempts</t>
  </si>
  <si>
    <t xml:space="preserve">System Use Notification </t>
  </si>
  <si>
    <t xml:space="preserve">Concurrent Session Control </t>
  </si>
  <si>
    <t xml:space="preserve">Session Lock </t>
  </si>
  <si>
    <t xml:space="preserve">Session Termination </t>
  </si>
  <si>
    <t xml:space="preserve">Session Termination |User-Initiated Logouts/ Message Displays </t>
  </si>
  <si>
    <t xml:space="preserve">Security Attributes </t>
  </si>
  <si>
    <t xml:space="preserve">Remote Access | Protection of Confidentiality/ Integrity Using Encryption </t>
  </si>
  <si>
    <t>Remote Access  | Disconnect/ Disable Access</t>
  </si>
  <si>
    <t xml:space="preserve">Security Assessments  </t>
  </si>
  <si>
    <t xml:space="preserve">Security Assessments | Independent Assessors  </t>
  </si>
  <si>
    <t xml:space="preserve">Security Assessments | Specialized Assessments  </t>
  </si>
  <si>
    <t xml:space="preserve">Plan Of Action And Milestones  </t>
  </si>
  <si>
    <t>CA-5(1)</t>
  </si>
  <si>
    <t>---</t>
  </si>
  <si>
    <t>Continuous Monitoring | Independent Assessment</t>
  </si>
  <si>
    <t>CA-7(3)</t>
  </si>
  <si>
    <t>Continuous Monitoring | Trend Analyses</t>
  </si>
  <si>
    <t>Penetration Testing</t>
  </si>
  <si>
    <t>CA-9(1)</t>
  </si>
  <si>
    <t>Internal System Connections | Security Compliance Checks</t>
  </si>
  <si>
    <t xml:space="preserve">Configuration Change Control  </t>
  </si>
  <si>
    <t>Configuration Change Control | Security Representative</t>
  </si>
  <si>
    <t>Configuration Change Control | Automated Security Response</t>
  </si>
  <si>
    <t>Access Restrictions For Change | Automated Access Enforcement/ Auditing</t>
  </si>
  <si>
    <t>Access Restrictions For Change | Signed Components</t>
  </si>
  <si>
    <t>Access Restrictions For Change | Limit Library Privileges</t>
  </si>
  <si>
    <t xml:space="preserve">Configuration Settings  </t>
  </si>
  <si>
    <t>OS Scans</t>
  </si>
  <si>
    <t xml:space="preserve">Least Functionality  </t>
  </si>
  <si>
    <t>Least Functionality | Periodic Review</t>
  </si>
  <si>
    <t>ACAS/SCAP</t>
  </si>
  <si>
    <t>Least Functionality  | Prevent Program Execution</t>
  </si>
  <si>
    <t xml:space="preserve">Least Functionality | Registration Compliance </t>
  </si>
  <si>
    <t>Least Functionality | Authorized Software/ Whitelisting</t>
  </si>
  <si>
    <t xml:space="preserve">Information System Component Inventory  </t>
  </si>
  <si>
    <t xml:space="preserve">Information System Component Inventory | Updates During Installation/ Removals  </t>
  </si>
  <si>
    <t xml:space="preserve">Information System Component Inventory | Automated Maintenance </t>
  </si>
  <si>
    <t xml:space="preserve">Information System Component Inventory | Accountability Information </t>
  </si>
  <si>
    <t xml:space="preserve">Information System Component Inventory | No Duplicate Accounting of Components </t>
  </si>
  <si>
    <t>Configuration Management Plan</t>
  </si>
  <si>
    <t>Software Usage Restrictions | Open Source Software</t>
  </si>
  <si>
    <t>User-Installed Software</t>
  </si>
  <si>
    <t>SCCM</t>
  </si>
  <si>
    <t>User-Installed Software | Prohibit Installation without Privileged Status</t>
  </si>
  <si>
    <t xml:space="preserve">OS  </t>
  </si>
  <si>
    <t xml:space="preserve">Contingency Plan </t>
  </si>
  <si>
    <t>CP-2(1)</t>
  </si>
  <si>
    <t>Contingency Plan | Coordinate with Related Plans</t>
  </si>
  <si>
    <t>CP-2(3)</t>
  </si>
  <si>
    <t>Contingency Plan | Resume Essential Missions/ Business Functions</t>
  </si>
  <si>
    <t>CP-2(4)</t>
  </si>
  <si>
    <t>Contingency Plan | Resume All Missions/ Business Functions</t>
  </si>
  <si>
    <t>CP-2(5)</t>
  </si>
  <si>
    <t>Contingency Plan | Continue Essential Missions/ Business Functions</t>
  </si>
  <si>
    <t>CP-2(8)</t>
  </si>
  <si>
    <t>Contingency Plan | Identify Critical Assets</t>
  </si>
  <si>
    <t xml:space="preserve">Information System Backup </t>
  </si>
  <si>
    <t>CP-12</t>
  </si>
  <si>
    <t xml:space="preserve">Identification And Authentication (Organizational Users) </t>
  </si>
  <si>
    <t xml:space="preserve">Identification And Authentication (Organizational Users) | Network Access to Privileged Accounts </t>
  </si>
  <si>
    <t xml:space="preserve">Identification And Authentication (Organizational Users)  | Network Access to Non-Privileged Accounts </t>
  </si>
  <si>
    <t xml:space="preserve">Identification And Authentication (Organizational Users) | Local Access to Privileged Accounts </t>
  </si>
  <si>
    <t xml:space="preserve">Identification And Authentication (Organizational Users) | Local Access to Non-Privileged Accounts </t>
  </si>
  <si>
    <t>Identification And Authentication (Organizational Users)  | Group Authentication</t>
  </si>
  <si>
    <t>Identification And Authentication (Organizational Users)  | Network Access to Privileged Accounts - Replay Resistant</t>
  </si>
  <si>
    <t>Identification And Authentication (Organizational Users)  | Network Access to Non-Privileged Accounts - Replay Resistant</t>
  </si>
  <si>
    <t>Identification And Authentication (Organizational Users)  | Remote Access - Separate Device</t>
  </si>
  <si>
    <t>Identification And Authentication (Organizational Users) | Acceptance of PIV Credentials</t>
  </si>
  <si>
    <t xml:space="preserve">Device Identification And Authentication </t>
  </si>
  <si>
    <t>Device Identification And Authentication | Cryptographic Bidirectional Authentication</t>
  </si>
  <si>
    <t xml:space="preserve">Identifier Management </t>
  </si>
  <si>
    <t>Authenticator Management  | Password-Based Authentication</t>
  </si>
  <si>
    <t>Authenticator Management  | PKI-Based Authentication</t>
  </si>
  <si>
    <t>Authenticator Management  | No Embedded Unencrypted Status Authenticators</t>
  </si>
  <si>
    <t>Authenticator Management  | Expiration of Cached Authenticators</t>
  </si>
  <si>
    <t xml:space="preserve">Authenticator Feedback </t>
  </si>
  <si>
    <t xml:space="preserve">Cryptographic Module Authentication </t>
  </si>
  <si>
    <t xml:space="preserve">Identification And Authentication (Non-Organizational Users) </t>
  </si>
  <si>
    <t>Identification And Authentication (Non-Organizational Users) | Acceptance of PIV Credentials from Other Agencies</t>
  </si>
  <si>
    <t>Identification And Authentication (Non-Organizational Users)  | Acceptance of Third-Party Credentials</t>
  </si>
  <si>
    <t>Identification And Authentication (Non-Organizational Users)  | Use of FICAM-Issued Products</t>
  </si>
  <si>
    <t>Re-authentication</t>
  </si>
  <si>
    <t xml:space="preserve">Security Planning Policy And Procedures </t>
  </si>
  <si>
    <t xml:space="preserve">System Security Plan </t>
  </si>
  <si>
    <t>System Security Plan | Plan/ Coordinate with Other Organizational Entities</t>
  </si>
  <si>
    <t xml:space="preserve">Rules Of Behavior </t>
  </si>
  <si>
    <t>Rules Of Behavior | Social Media and Networking Restrictions</t>
  </si>
  <si>
    <t>PL-7</t>
  </si>
  <si>
    <t>Security Concept of Operations</t>
  </si>
  <si>
    <t>Information Security Architecture</t>
  </si>
  <si>
    <t>Information Security Architecture | Defense-in-Depth</t>
  </si>
  <si>
    <t>Information Security Architecture | Supplier Diversity</t>
  </si>
  <si>
    <t>PL-9</t>
  </si>
  <si>
    <t>Central Management</t>
  </si>
  <si>
    <t xml:space="preserve">Plan of Action and Milestones Process </t>
  </si>
  <si>
    <t xml:space="preserve">Information System Inventory </t>
  </si>
  <si>
    <t xml:space="preserve">Mission/Business Process Definition </t>
  </si>
  <si>
    <t>Information Security Workforce</t>
  </si>
  <si>
    <t xml:space="preserve">Risk Assessment Policy And Procedures </t>
  </si>
  <si>
    <t xml:space="preserve">Security Categorization </t>
  </si>
  <si>
    <t xml:space="preserve">Risk Assessment </t>
  </si>
  <si>
    <t xml:space="preserve">Vulnerability Scanning </t>
  </si>
  <si>
    <t>Weekly</t>
  </si>
  <si>
    <t xml:space="preserve">ACAS </t>
  </si>
  <si>
    <t xml:space="preserve">Vulnerability Scanning | Update Tool Capability </t>
  </si>
  <si>
    <t xml:space="preserve">Vulnerability Scanning | Update by Frequency/ Prior to New Scan/ When Identified </t>
  </si>
  <si>
    <t>RA-5(3)</t>
  </si>
  <si>
    <t>Vulnerability Scanning | Discoverable Information</t>
  </si>
  <si>
    <t xml:space="preserve">Vulnerability Scanning | Privileged Access </t>
  </si>
  <si>
    <t>RA-5(6)</t>
  </si>
  <si>
    <t>RA-5(8)</t>
  </si>
  <si>
    <t>Vulnerability Scanning | Correlate Scanning Information</t>
  </si>
  <si>
    <t>RA-6</t>
  </si>
  <si>
    <t>Acquisition Process | Development Methods/ Techniques/ Practices</t>
  </si>
  <si>
    <t>Acquisition Process | NIAP-Approved Protection Profiles</t>
  </si>
  <si>
    <t>Acquisition Process | Functions/ Ports/ Protocols/ Services in Use</t>
  </si>
  <si>
    <t>External Information System Services | Risk Assessments/ Organizational Approvals</t>
  </si>
  <si>
    <t>External Information System Services | Identification of Functions/ Ports/ Protocols/ Services</t>
  </si>
  <si>
    <t>SA-18(2)</t>
  </si>
  <si>
    <t xml:space="preserve">Denial Of Service Protection </t>
  </si>
  <si>
    <t>Denial Of Service Protection | Restrict Internal Users</t>
  </si>
  <si>
    <t xml:space="preserve">Transmission Confidentiality and Integrity </t>
  </si>
  <si>
    <t>CRWG Red Criticality Control</t>
  </si>
  <si>
    <t>via telephone or high-priority e-mail, the System Owner reports the situation immediately and directly to the AO, while keeping the cybersecurity chain of command informed of status and response actions; if time permits, an authorization/connection decision recommendation is provided to the AO</t>
  </si>
  <si>
    <t>Transmission Confidentiality and Integrity | Cryptographic or Alternate Physical Protection</t>
  </si>
  <si>
    <t>Cryptographic Protection</t>
  </si>
  <si>
    <t xml:space="preserve">Fail In Known State </t>
  </si>
  <si>
    <t xml:space="preserve">Protection Of Information At Rest </t>
  </si>
  <si>
    <t>DAR</t>
  </si>
  <si>
    <t>Protection Of Information At Rest | Cryptographic Protection</t>
  </si>
  <si>
    <t>Operations Security</t>
  </si>
  <si>
    <t>Security Control #</t>
  </si>
  <si>
    <t>Security Control Name | Enhancement Name</t>
  </si>
  <si>
    <t>Comments</t>
  </si>
  <si>
    <t>Access Control Policy and Procedures</t>
  </si>
  <si>
    <t>Justification not required for White controls</t>
  </si>
  <si>
    <t>The security control should be further investigated before escalating to the AO for a disconnect decision.  Yellow security controls want to have an alert on them, not an alarm.</t>
  </si>
  <si>
    <t>Account Management | Role-Based Schemes</t>
  </si>
  <si>
    <t>Account Management | Restrictions on Use of Shared Groups/ Accounts</t>
  </si>
  <si>
    <t xml:space="preserve">The security control should be further investigated before escalating to the AO for a disconnect decision.  Yellow security controls want to have an alert on them, not an alarm. If credentials are not terminated, users who are no longer part of the group, or more importantly shared root groups, will inappropriately retain rights and privileges.  Access control is jeopardized, compounding over time. </t>
  </si>
  <si>
    <t>Account Management | Usage Conditions</t>
  </si>
  <si>
    <t>The security control should be further investigated before escalating to the AO for a disconnect decision.  Yellow security controls want to have an alert on them, not an alarm. Failure of this control limits the ability to deter or prevent insider threat activity. Failure could have mission impact by denying legitimate use.</t>
  </si>
  <si>
    <t>Account Management | Account Monitoring/ Atypical Usage</t>
  </si>
  <si>
    <t>Account Management | Disable Accounts For High-Risk Individuals</t>
  </si>
  <si>
    <t>The security control should be further investigated before escalating to the AO for a disconnect decision.  Yellow security controls want to have an alert on them, not an alarm. Given we are talking about users posing a significant risk, if the accounts are not disabled in a timely manner, that significant risk will be quickly realized.</t>
  </si>
  <si>
    <t>AC-3(9)</t>
  </si>
  <si>
    <t>Access Enforcement | Controlled Release</t>
  </si>
  <si>
    <t>AC-4(8)</t>
  </si>
  <si>
    <t>Information Flow Enforcement | Security Policy Filters</t>
  </si>
  <si>
    <t>AC-4(12)</t>
  </si>
  <si>
    <t>Information Flow Enforcement | Data Type Identifiers</t>
  </si>
  <si>
    <t>AC-4(15)</t>
  </si>
  <si>
    <t>Information Flow Enforcement | Detection of Unsanctioned Information</t>
  </si>
  <si>
    <t>AC-4(17)</t>
  </si>
  <si>
    <t>Information Flow Enforcement | Domain Authentication</t>
  </si>
  <si>
    <t>AC-4(18)</t>
  </si>
  <si>
    <t>Information Flow Enforcement | Security Attribute Binding</t>
  </si>
  <si>
    <t xml:space="preserve">Separation Of Duties </t>
  </si>
  <si>
    <t xml:space="preserve">Least Privilege </t>
  </si>
  <si>
    <t>Least Privilege | Authorize Access to Security Functions</t>
  </si>
  <si>
    <t>This control requires investigation because non-compliance has the potential to allow unauthorized individuals to modify security settings.</t>
  </si>
  <si>
    <t>Least Privilege | Non-Privileged Access For Non-security Functions</t>
  </si>
  <si>
    <t>Least Privilege | Network Access to Privileged Commands</t>
  </si>
  <si>
    <t>Least Privilege | Privileged Accounts</t>
  </si>
  <si>
    <t>Least Privilege | Review of User Privileges</t>
  </si>
  <si>
    <t>The security control should be further investigated before escalating to the AO for a disconnect decision.  Yellow security controls want to have an alert on them, not an alarm. While this is something the organization does, it has a technical component to it - reassign/remove privileges.  If the control becomes non-compliant, users may inappropriately retain elevated privileges, which poses an unacceptable risk for extended periods, potentially indefinitely if a review is never conducted.</t>
  </si>
  <si>
    <t>The security control should be further investigated before escalating to the AO for a disconnect decision.  Yellow security controls want to have an alert on them, not an alarm. If not prevented from elevating privileges, authorized AND UNAUTHORIZED users can easily subvert protections and modify information or processes, potentially gaining even higher levels of access.  This is a common method adversaries use to get root access once they gain normal user access.</t>
  </si>
  <si>
    <t>The security control should be further investigated before escalating to the AO for a disconnect decision.  Yellow security controls want to have an alert on them, not an alarm. Must prevent authorized and unauthorized users from elevating privileges and potentially gaining root access.</t>
  </si>
  <si>
    <t>AC-7(2)</t>
  </si>
  <si>
    <t>AC-9(2)</t>
  </si>
  <si>
    <t>Previous Logon Notification | Successful / Unsuccessful Logons</t>
  </si>
  <si>
    <t>AC-9(3)</t>
  </si>
  <si>
    <t>Previous Logon Notification | Notification of Account Changes</t>
  </si>
  <si>
    <t>Session Lock | Pattern-Hiding Displays</t>
  </si>
  <si>
    <t>The security control should be further investigated before escalating to the AO for a disconnect decision.  Yellow security controls want to have an alert on them, not an alarm. If unattended sessions are left open, adversaries could hijack the session or multiple sessions could create DOS.</t>
  </si>
  <si>
    <t>The security control should be further investigated before escalating to the AO for a disconnect decision.  Yellow security controls want to have an alert on them, not an alarm. Without a distinct logout notification to the user, user sessions could be left hanging, and adversaries could hi-jack the session.</t>
  </si>
  <si>
    <t xml:space="preserve">Permitted Actions Without Identification Or Authentication </t>
  </si>
  <si>
    <t>Security Attributes | Maintenance of Attribute Associations by Information System</t>
  </si>
  <si>
    <t>Security Attributes | Maintenance of Attribute Associations by Organization</t>
  </si>
  <si>
    <t xml:space="preserve">Remote Access  </t>
  </si>
  <si>
    <t>Remote Access | Automated Monitoring/ Control</t>
  </si>
  <si>
    <t>Remote Access | Managed Access Control Points</t>
  </si>
  <si>
    <t>Remote Access  | Privileged Commands/ Access</t>
  </si>
  <si>
    <t>Remote Access | Protection of Information</t>
  </si>
  <si>
    <t xml:space="preserve">Wireless Access Restrictions  </t>
  </si>
  <si>
    <t>Wireless Access Restrictions | Authentication and Encryption</t>
  </si>
  <si>
    <t>Wireless Access Restrictions | Disable Wireless Networking</t>
  </si>
  <si>
    <t>Wireless Access Restrictions  | Restrict Configurations by Users</t>
  </si>
  <si>
    <t>Wireless Access Restrictions  | Antennas/ Transmission Power Levels</t>
  </si>
  <si>
    <t xml:space="preserve">Access Control For Mobile Devices  </t>
  </si>
  <si>
    <t>AC-19(4)</t>
  </si>
  <si>
    <t>Access Control For Mobile Devices | Restrictions For Classified Information</t>
  </si>
  <si>
    <t>Access Control For Mobile Devices | Full Device/ Container-Based Encryption</t>
  </si>
  <si>
    <t>The security control should be further investigated before escalating to the AO for a disconnect decision.  Yellow security controls want to have an alert on them, not an alarm. Loss of the ability to protect confidentiality (and integrity) of the information on mobile devices is especially damaging if the devices are lost or stolen.  Adversaries would have full access to sensitive data.</t>
  </si>
  <si>
    <t xml:space="preserve">Use Of External Information Systems  </t>
  </si>
  <si>
    <t xml:space="preserve">Use Of External Information Systems | Limits on Authorized Use </t>
  </si>
  <si>
    <t>Use Of External Information Systems | Portable Storage Devices</t>
  </si>
  <si>
    <t>Use Of External Information Systems | Non-Organizationally Owner Systems / Components / Devices</t>
  </si>
  <si>
    <t xml:space="preserve">Information Sharing  </t>
  </si>
  <si>
    <t xml:space="preserve">Publicly Accessible Content  </t>
  </si>
  <si>
    <t>Data Mining Protection</t>
  </si>
  <si>
    <t>Authority to Collect</t>
  </si>
  <si>
    <t>Purpose Specification</t>
  </si>
  <si>
    <t>Governance and Privacy Program</t>
  </si>
  <si>
    <t>Privacy Impact and Risk Assessment</t>
  </si>
  <si>
    <t>Privacy Requirements for Contractors and Service Providers</t>
  </si>
  <si>
    <t>Privacy Monitoring and Auditing</t>
  </si>
  <si>
    <t>Privacy Awareness and Training</t>
  </si>
  <si>
    <t>Privacy Reporting</t>
  </si>
  <si>
    <t>Privacy-Enhanced System Design and Development</t>
  </si>
  <si>
    <t>Accounting of Disclosures</t>
  </si>
  <si>
    <t xml:space="preserve">Security Awareness And Training Policy And Procedures  </t>
  </si>
  <si>
    <t>Security Awareness  Training</t>
  </si>
  <si>
    <t>AT-2(1)</t>
  </si>
  <si>
    <t>Security Awareness | Practical Exercises</t>
  </si>
  <si>
    <t>Security Awareness  Training | Insider Threat</t>
  </si>
  <si>
    <t xml:space="preserve">Role-Based Security Training  </t>
  </si>
  <si>
    <t>AT-3(1)</t>
  </si>
  <si>
    <t>Role-Based Security Training | Environmental Controls</t>
  </si>
  <si>
    <t>Security Training | Physical Security Controls</t>
  </si>
  <si>
    <t>Security Training | Suspicious Communications and Anomalous System Behavior</t>
  </si>
  <si>
    <t xml:space="preserve">Security Training Records  </t>
  </si>
  <si>
    <t xml:space="preserve">Audit And Accountability Policy And Procedures  </t>
  </si>
  <si>
    <t xml:space="preserve">Auditable Events  </t>
  </si>
  <si>
    <t>Auditable Events  | Reviews and Updates</t>
  </si>
  <si>
    <t xml:space="preserve">Content Of Audit Records  </t>
  </si>
  <si>
    <t>Content Of Audit Records| Additional Audit Information</t>
  </si>
  <si>
    <t>Content Of Audit Records  | Centralized Management of Planned Audit Record Content</t>
  </si>
  <si>
    <t xml:space="preserve">Audit Storage Capacity  </t>
  </si>
  <si>
    <t>Audit Storage Capacity | Transfer to Alternate Storage</t>
  </si>
  <si>
    <t xml:space="preserve">Response To Audit Processing Failures  </t>
  </si>
  <si>
    <t xml:space="preserve">Response To Audit Processing Failures | Audit Storage Capacity  </t>
  </si>
  <si>
    <t>AU-5(2)</t>
  </si>
  <si>
    <t>Response To Audit Processing Failures  | Real-Time Alerts</t>
  </si>
  <si>
    <t>AU-5(3)</t>
  </si>
  <si>
    <t>Response to Audit Processing Failures | Configurable Traffic Volume Thresholds</t>
  </si>
  <si>
    <t>AU-5(4)</t>
  </si>
  <si>
    <t>Response to Audit Processing Failures | Shutdown on Failure</t>
  </si>
  <si>
    <t xml:space="preserve">Audit Review, Analysis, And Reporting  </t>
  </si>
  <si>
    <t>Audit Review, Analysis, And Reporting | Process Integration</t>
  </si>
  <si>
    <t xml:space="preserve">Audit Review, Analysis, And Reporting | Correlate Audit Repositories </t>
  </si>
  <si>
    <t>Audit Review, Analysis, And Reporting | Central Review and Analysis</t>
  </si>
  <si>
    <t>Audit Review, Analysis, And Reporting  | Integration/ Scanning and Monitoring Capabilities</t>
  </si>
  <si>
    <t xml:space="preserve">Audit Review, Analysis, And Reporting | Correlation With Physical Monitoring </t>
  </si>
  <si>
    <t>AU-6(9)</t>
  </si>
  <si>
    <t>Audit Review, Analysis, and Reporting | Correlation with Information from Nontechnical Sources</t>
  </si>
  <si>
    <t>Audit Review, Analysis, And Reporting | Audit Level Adjustment</t>
  </si>
  <si>
    <t xml:space="preserve">Audit Reduction And Report Generation  </t>
  </si>
  <si>
    <t>Audit Reduction And Report Generation | Automatic Processing</t>
  </si>
  <si>
    <t>AU-7(2)</t>
  </si>
  <si>
    <t>Audit Reduction and Report Generation | Automatic Sort and Search</t>
  </si>
  <si>
    <t>Time Stamps</t>
  </si>
  <si>
    <t>Time Stamps | Synchronization with Authoritative Time Source</t>
  </si>
  <si>
    <t xml:space="preserve">Protection Of Audit Information  </t>
  </si>
  <si>
    <t>AU-9(2)</t>
  </si>
  <si>
    <t>Protection Of Audit Information | Audit Backup on Separate Physical Systems/ Components</t>
  </si>
  <si>
    <t>Protection Of Audit Information | Cryptographic Protection</t>
  </si>
  <si>
    <t>Protection Of Audit Information | Access by Subset of Privileged Users</t>
  </si>
  <si>
    <t xml:space="preserve">Non-Repudiation  </t>
  </si>
  <si>
    <t>AU-10(1)</t>
  </si>
  <si>
    <t>Non-Repudiation | Association of Identities</t>
  </si>
  <si>
    <t>AU-10(2)</t>
  </si>
  <si>
    <t>Non-Repudiation | Validate Binding of Information Producer Identity</t>
  </si>
  <si>
    <t xml:space="preserve">Audit Record Retention  </t>
  </si>
  <si>
    <t xml:space="preserve">Audit Record Retention | Long-Term Retrieval Capability </t>
  </si>
  <si>
    <t xml:space="preserve">Audit Generation  </t>
  </si>
  <si>
    <t>Audit Generation | System-Wide/ Time-Correlated Audit Trail</t>
  </si>
  <si>
    <t>Audit Generation  | Changes by Authorized Individuals</t>
  </si>
  <si>
    <t>The security control should be further investigated before escalating to the AO for a disconnect decision.  Yellow security controls want to have an alert on them, not an alarm. If an emergent situation dictates that we very quickly ramp up our auditing capability but we cannot, we will likely not be aware of increased activities designed to exploit our systems.  We will not be able to respond to the increased risk.</t>
  </si>
  <si>
    <t>AU-13</t>
  </si>
  <si>
    <t>Monitoring for Information Disclosure</t>
  </si>
  <si>
    <t>The security control should be further investigated before escalating to the AO for a disconnect decision.  Yellow security controls want to have an alert on them, not an alarm. Without notification, we don't know integrity has been lost, and adversary gains a foothold.</t>
  </si>
  <si>
    <t>DLP</t>
  </si>
  <si>
    <t>AU-13(1)</t>
  </si>
  <si>
    <t>Monitoring for Information Disclosure | Use of Automated Tools</t>
  </si>
  <si>
    <t>AU-13(2)</t>
  </si>
  <si>
    <t>Monitoring for Information Disclosure | Review of Monitored Sites</t>
  </si>
  <si>
    <t xml:space="preserve">Session Audit  </t>
  </si>
  <si>
    <t>Session Audit | System Start-Up</t>
  </si>
  <si>
    <t>Session Audit | Capture/Record and Log Content</t>
  </si>
  <si>
    <t>Session Audit | Remote Viewing/ Listening</t>
  </si>
  <si>
    <t>AU-16</t>
  </si>
  <si>
    <t>Cross-Organizational Auditing</t>
  </si>
  <si>
    <t>AU-16(2)</t>
  </si>
  <si>
    <t>Cross-Organizational Auditing | Sharing of Audit Information</t>
  </si>
  <si>
    <t xml:space="preserve">Security Assessment And Authorization Policies And Procedures  </t>
  </si>
  <si>
    <t xml:space="preserve">System Interconnections  </t>
  </si>
  <si>
    <t xml:space="preserve">System Interconnections | Unclassified National Security System Connections </t>
  </si>
  <si>
    <t>CA-3(2)</t>
  </si>
  <si>
    <t xml:space="preserve">System Interconnections | Classified National Security System Connections </t>
  </si>
  <si>
    <t>Since this control has immediate implications to National Security, the AO should be contacted for an Authorization Decision immediately.</t>
  </si>
  <si>
    <t>System Interconnections | Unclassified Non-National Security System Connections</t>
  </si>
  <si>
    <t>System Interconnections | Restrictions on External Network Connections</t>
  </si>
  <si>
    <t>The security control should be further investigated before escalating to the AO for a disconnect decision.  Yellow security controls want to have an alert on them, not an alarm. If the selection were, for example, deny all permits by exception and we suddenly lost that control, there is a high potential that previously denied traffic (because it is dangerous traffic) would be allowed.  Adversaries could be making their way in enfettered, and we be operating as if they're blocked.</t>
  </si>
  <si>
    <t xml:space="preserve">Security Authorization  </t>
  </si>
  <si>
    <t xml:space="preserve">The control will be changed to yellow. The cause of the lapse in authorization needs to be identified and determination made if the AO needs to advised. </t>
  </si>
  <si>
    <t xml:space="preserve">Continuous Monitoring  </t>
  </si>
  <si>
    <t>CA-8(2)</t>
  </si>
  <si>
    <t>Penetration Testing | Red Team Exercises</t>
  </si>
  <si>
    <t>Internal System Connections</t>
  </si>
  <si>
    <t>The security control should be further investigated before escalating to the AO for a disconnect decision.  Yellow security controls want to have an alert on them, not an alarm. While this is something the organization does, if we do not identify what types of new and potentially dangerous devices (e.g., smart phones, tablets)  may or may not be connected in whatever configuration, users may believe that at will they may connect their devices, presumable with few if any protections employed.  These devices then become an attack vector for our adversaries.</t>
  </si>
  <si>
    <t xml:space="preserve">Configuration Management Policy And Procedures  </t>
  </si>
  <si>
    <t xml:space="preserve">Baseline Configuration  </t>
  </si>
  <si>
    <t xml:space="preserve">Baseline Configuration | Reviews and Updates  </t>
  </si>
  <si>
    <t xml:space="preserve">Baseline Configuration | Automation Support for Accuracy/ Currency  </t>
  </si>
  <si>
    <t>The security control should be further investigated before escalating to the AO for a disconnect decision.  Yellow security controls want to have an alert on them, not an alarm. The security control should be made compliant again in due course without escalating to the AO or a disconnect or continued operations decision.  However, if non-compliance continues for an extended period, consideration should be given to escalating to the DAA/AO.  White security controls typically need no alert or alarm.</t>
  </si>
  <si>
    <t xml:space="preserve">Baseline Configuration | Retention of Previous Configurations  </t>
  </si>
  <si>
    <t>Baseline Configuration | Configure Systems, Components, or Devices for High-Risk Areas</t>
  </si>
  <si>
    <t>The security control should be further investigated before escalating to the AO for a disconnect decision.  Yellow security controls want to have an alert on them, not an alarm. Given the enhancement is required for systems in high-risk environments, and given the systems are appropriately configured (i.e., locked down more than systems used in typical environments), the risk of sudden non-compliance is high, in that we would have unacceptable vulnerabilities exposed to advanced adversaries in those high-risk environments and/or we wouldn't clean up the system upon return to the typical user environment and potentially introduce malware to other systems in that environment.</t>
  </si>
  <si>
    <t>Configuration Change Control | Automated Document/ Notification/ Prohibition of Changes</t>
  </si>
  <si>
    <t>Configuration Change Control | Test/ Validate/ Document Changes</t>
  </si>
  <si>
    <t>The security control should be further investigated before escalating to the AO for a disconnect decision.  Yellow security controls want to have an alert on them, not an alarm. The presumption is that we would become reliant on the automatic security response to advise of when unauthorized configuration changes are made.  If we suddenly lost this capability, and especially because it is an automated function that system/security administrators would not necessarily be aware of any failure, adversaries (insiders our outsiders) could easily make changes that facilitate greater access and take control of the system at will.</t>
  </si>
  <si>
    <t>Configuration Change Control | Cryptography Management</t>
  </si>
  <si>
    <t>The security control should be further investigated before escalating to the AO for a disconnect decision.  Yellow security controls want to have an alert on them, not an alarm. Loss of configuration management of cryptographic mechanisms introduces a high possibility of loss of control of equipment or material and is devastating not only to the immediate system but also to any other systems relying on the same crypto technology or material.</t>
  </si>
  <si>
    <t xml:space="preserve">Security Impact Analysis  </t>
  </si>
  <si>
    <t>Security Impact Analysis |  Separate Test Environments</t>
  </si>
  <si>
    <t>The security control should be further investigated before escalating to the AO for a disconnect decision.  Yellow security controls want to have an alert on them, not an alarm. Failure of this control would potentially allow compromised HW/SW to directly impact operational environment, thusly leading to compromise of that environment. The scope of the enhancement has changed from just software to any change in the information system, which is potentially devastating to moderate or high impact systems.</t>
  </si>
  <si>
    <t>CM-4(2)</t>
  </si>
  <si>
    <t>Security Impact Analysis | Verification of Security Functions</t>
  </si>
  <si>
    <t xml:space="preserve">Access Restrictions For Change  </t>
  </si>
  <si>
    <t>The security control should be further investigated before escalating to the AO for a disconnect decision.  Yellow security controls want to have an alert on them, not an alarm. If access restrictions are not enforced, unauthorized users will have access to information or processes to which they have no need to/for and may be able to elevate privileges and gain a stronger foothold.</t>
  </si>
  <si>
    <t>Access Restrictions For Change | Review System Changes</t>
  </si>
  <si>
    <t>Access Restrictions For Change  | Limit Production/ Operational Privileges</t>
  </si>
  <si>
    <t xml:space="preserve">Configuration Settings | Automated Central Management/ Application/ Verification  </t>
  </si>
  <si>
    <t xml:space="preserve">Configuration Settings | Respond to Unauthorized Changes  </t>
  </si>
  <si>
    <t>CM-7(4)</t>
  </si>
  <si>
    <t>Least Functionality | Unauthorized Software / Blacklisting</t>
  </si>
  <si>
    <t>The security control should be further investigated before escalating to the AO for a disconnect decision.  Yellow security controls want to have an alert on them, not an alarm. Failure of the deny-all, permit-by-exception function will (unbeknownst to system/security admin) allow users the ability to install unauthorized and potentially dangerous software, thereby introducing vulnerabilities that can be exploited to elevate privileges and/or gain access to the system or its components.</t>
  </si>
  <si>
    <t xml:space="preserve">Information System Component Inventory | Automated Unauthorized Component Detection </t>
  </si>
  <si>
    <t xml:space="preserve">Software Usage Restrictions </t>
  </si>
  <si>
    <t xml:space="preserve">The security control should be further investigated before escalating to the AO for a disconnect decision.  Yellow security controls want to have an alert on them, not an alarm. Failure to track software licenses does not typically jeopardize the security posture of the system; it is mostly related to the legality of using software. However, failure of this control could result in criminal prosecution. </t>
  </si>
  <si>
    <t>The security control should be further investigated before escalating to the AO for a disconnect decision.  Yellow security controls want to have an alert on them, not an alarm. While sudden non-compliance in the policy portion in paragraph "A" is not so alarming, sudden failure of the enforcement methods may allow users to install software at will, some of which may contain malware and allow unauthorized access to the system.</t>
  </si>
  <si>
    <t>User-Installed Software | Alerts For Unauthorized Installations</t>
  </si>
  <si>
    <t>The security control should be further investigated before escalating to the AO for a disconnect decision.  Yellow security controls want to have an alert on them, not an alarm. The alert is part of the enforcement method, and we would become increasingly reliant upon its function.  If it suddenly fails unbeknownst to those who have become reliant upon that function, we would not be alerted when users install software at will, some of which could contain malware.</t>
  </si>
  <si>
    <t>The security control should be further investigated before escalating to the AO for a disconnect decision.  Yellow security controls want to have an alert on them, not an alarm. If the prohibition to privileged status suddenly fails, normal users can install software at will, some of which could contain malware.</t>
  </si>
  <si>
    <t xml:space="preserve">Contingency Planning Policy And Procedures </t>
  </si>
  <si>
    <t>CP-2(2)</t>
  </si>
  <si>
    <t>Contingency Plan | Capacity Planning</t>
  </si>
  <si>
    <t>The security control should be further investigated before escalating to the AO for a disconnect decision.  Yellow security controls want to have an alert on them, not an alarm. While the success or failure of initial identification of critical assets will be evident during system authorization, systems and their operational environment will change over time. Thereby necessitating the continuous identification of any new or changed aspects.  Failure to do so will result in no prioritization of scarce resources and no additional safeguards and countermeasures being employed to the most critical assets to help ensure missions/business functions can continue during contingency operations.</t>
  </si>
  <si>
    <t xml:space="preserve">Contingency Training </t>
  </si>
  <si>
    <t>CP-3(1)</t>
  </si>
  <si>
    <t>Contingency Training | Simulated Events</t>
  </si>
  <si>
    <t xml:space="preserve">Contingency Plan Testing </t>
  </si>
  <si>
    <t>CP-4(1)</t>
  </si>
  <si>
    <t>Contingency Plan Testing | Coordinate with Related Plans</t>
  </si>
  <si>
    <t>CP-4(2)</t>
  </si>
  <si>
    <t>Contingency Plan Testing | Alternate Processing Site</t>
  </si>
  <si>
    <t>CP-6</t>
  </si>
  <si>
    <t xml:space="preserve">Alternate Storage Site </t>
  </si>
  <si>
    <t>The security control should be further investigated before escalating to the AO for a disconnect decision.  Yellow security controls want to have an alert on them, not an alarm. The addition of sub-paragraph "B" increases the importance of this control from a security posture perspective.  Failure to ensure the alternate storage site provides information security safeguards equivalent to that of the primary site creates the potential that stored information could be compromised and/or changed.  If that information is then restored to a system at the primary site, the system will become compromised.</t>
  </si>
  <si>
    <t>CP-6(1)</t>
  </si>
  <si>
    <t xml:space="preserve">Alternate Storage Site | Separation from Primary Site </t>
  </si>
  <si>
    <t>CP-6(2)</t>
  </si>
  <si>
    <t xml:space="preserve">Alternate Storage Site | Recovery Time/ Point Objectives </t>
  </si>
  <si>
    <t>CP-6(3)</t>
  </si>
  <si>
    <t xml:space="preserve">Alternate Storage Site | Accessibility </t>
  </si>
  <si>
    <t xml:space="preserve">Alternate Processing Site </t>
  </si>
  <si>
    <t>The security control should be further investigated before escalating to the AO for a disconnect decision.  Yellow security controls want to have an alert on them, not an alarm. The addition of sub-paragraph "C" increases the importance of this control from a security posture perspective.  Failure to ensure the alternate processing site provides information security safeguards equivalent to that of the primary site creates the potential that spare information could be compromised and/or changed.  If that system is then used in a contingency, information and the reliant operations will become compromised.  Given the use of the alternate processing site will occur in an emergency, there will be little-to-no time to realize the nature of reduced security posture, and that situation likely becomes emergent.</t>
  </si>
  <si>
    <t>CP-7(1)</t>
  </si>
  <si>
    <t>Alternate Processing Site | Separation from Primary Site</t>
  </si>
  <si>
    <t>CP-7(2)</t>
  </si>
  <si>
    <t>Alternate Processing Site | Accessibility</t>
  </si>
  <si>
    <t>CP-7(3)</t>
  </si>
  <si>
    <t>Alternate Processing Site | Priority of Service</t>
  </si>
  <si>
    <t>CP-7(4)</t>
  </si>
  <si>
    <t>Alternate Processing Site | Preparation for Use</t>
  </si>
  <si>
    <t>CP-8</t>
  </si>
  <si>
    <t xml:space="preserve">Telecommunications Services </t>
  </si>
  <si>
    <t>CP-8(1)</t>
  </si>
  <si>
    <t>Telecommunications Services | Priority of Service Provisions</t>
  </si>
  <si>
    <t>CP-8(2)</t>
  </si>
  <si>
    <t>Telecommunications Services | Single Points of Failure</t>
  </si>
  <si>
    <t>CP-8(3)</t>
  </si>
  <si>
    <t>Telecommunications Services | Separation of Primary/ Alternate Providers</t>
  </si>
  <si>
    <t>CP-8(4)</t>
  </si>
  <si>
    <t>Telecommunications Services | Provider Contingency Plan</t>
  </si>
  <si>
    <t>CP-8(5)</t>
  </si>
  <si>
    <t>Telecommunications Services | Alternate Telecommunications Service Testing</t>
  </si>
  <si>
    <t>Information System Backup | Testing for Reliability/ Integrity</t>
  </si>
  <si>
    <t>CP-9(2)</t>
  </si>
  <si>
    <t>Information System Backup | Test Restoration Using Sampling</t>
  </si>
  <si>
    <t>CP-9(3)</t>
  </si>
  <si>
    <t>Information System Backup | Separate Storage for Critical Information</t>
  </si>
  <si>
    <t>CP-9(5)</t>
  </si>
  <si>
    <t>Information System Backup | Transfer to Alternate Storage Site</t>
  </si>
  <si>
    <t xml:space="preserve">Information System Recovery And Reconstitution </t>
  </si>
  <si>
    <t xml:space="preserve">Information System Recovery And Reconstitution | Transaction Recovery </t>
  </si>
  <si>
    <t>Information System Recovery And Reconstitution | Restore Within Time Period</t>
  </si>
  <si>
    <t>Data Quality</t>
  </si>
  <si>
    <t>DI-1(1)</t>
  </si>
  <si>
    <t>Data Quality | Validate PII</t>
  </si>
  <si>
    <t>DI-1(2)</t>
  </si>
  <si>
    <t>Data Quality | Re-Validate PII</t>
  </si>
  <si>
    <t>DI-2</t>
  </si>
  <si>
    <t>Data Integrity and Data Integrity Board</t>
  </si>
  <si>
    <t>DI-2(1)</t>
  </si>
  <si>
    <t>Data Integrity and Data Integrity Board | Publish Agreements on Website</t>
  </si>
  <si>
    <t>Minimization of Personally Identifiable Information</t>
  </si>
  <si>
    <t>DM-1(1)</t>
  </si>
  <si>
    <t>Minimization of Personally Identifiable Information | Locate / Remove / Redact / Anonymize PII</t>
  </si>
  <si>
    <t>Data Retention and Disposal</t>
  </si>
  <si>
    <t>DM-2(1)</t>
  </si>
  <si>
    <t>Data Retention and Disposal | System Configuration</t>
  </si>
  <si>
    <t>Minimization of PII Used in Testing, Training and Research</t>
  </si>
  <si>
    <t>DM-3(1)</t>
  </si>
  <si>
    <t>Minimization of PII Used in Testing, Training and Research | Risk Minimization Techniques</t>
  </si>
  <si>
    <t xml:space="preserve">Identification And Authentication Policy And Procedures </t>
  </si>
  <si>
    <t>IA-2(6)</t>
  </si>
  <si>
    <t>Identification and Authentication (Organizational Users) | Network Access to Privileged Accounts - Separate Device</t>
  </si>
  <si>
    <t>IA-2(7)</t>
  </si>
  <si>
    <t>Identification and Authentication (Organizational Users) | Network Access to Non-Privileged Accounts - Separate Device</t>
  </si>
  <si>
    <t>The security control should be further investigated before escalating to the AO for a disconnect decision.  Yellow security controls want to have an alert on them, not an alarm. Remote access is always of higher concern, especially for privileged access.  If the control suddenly fails (i.e., credentials stored on the system must be used), adversaries deploying malicious code on organizational information systems can potentially compromise such credentials resident on the system and subsequently impersonate authorized users.</t>
  </si>
  <si>
    <t>IA-4(3)</t>
  </si>
  <si>
    <t>Identifier Management | Multiple Forms of Certification</t>
  </si>
  <si>
    <t xml:space="preserve">Identifier Management | Identify User Status </t>
  </si>
  <si>
    <t>IA-4(6)</t>
  </si>
  <si>
    <t>Identifier Management | Cross-Organization Management</t>
  </si>
  <si>
    <t xml:space="preserve">Authenticator Management </t>
  </si>
  <si>
    <t>The security control should be further investigated before escalating to the AO for a disconnect decision.  Yellow security controls want to have an alert on them, not an alarm. Mismanagement of authenticators such as access control cards or tokens place both human and IT assets at significant risk.  Escalation would be required if say, a password file is compromised.</t>
  </si>
  <si>
    <t>Authenticator Management  | In Person or Trusted Third-Party Registration</t>
  </si>
  <si>
    <t>Authenticator Management  | Automated Support for Password Strength Determination</t>
  </si>
  <si>
    <t>Authenticator Management  | Multiple Information System Accounts</t>
  </si>
  <si>
    <t>IA-5(9)</t>
  </si>
  <si>
    <t>Authenticator Management | Cross-Organization Credential Management</t>
  </si>
  <si>
    <t>Authenticator Management  | Hardware Token-Based Authentication</t>
  </si>
  <si>
    <t>Authenticator Management  | Managing Content of PKI Trust Stores</t>
  </si>
  <si>
    <t>Identification And Authentication (Non-Organizational Users)  | Use of FICAM-Approved Products</t>
  </si>
  <si>
    <t>Adaptive Identification and Authentication</t>
  </si>
  <si>
    <t>Consent</t>
  </si>
  <si>
    <t>IP-1(1)</t>
  </si>
  <si>
    <t>Consent | Mechanisms Supporting Itemized or Tiered Consent</t>
  </si>
  <si>
    <t>Individual Access</t>
  </si>
  <si>
    <t>Redress</t>
  </si>
  <si>
    <t>Complaint Management</t>
  </si>
  <si>
    <t>IP-4(1)</t>
  </si>
  <si>
    <t>Complaint Management | Response Times</t>
  </si>
  <si>
    <t xml:space="preserve">Incident Response Policy And Procedures </t>
  </si>
  <si>
    <t xml:space="preserve">Incident Response Training </t>
  </si>
  <si>
    <t>Incident Response Training | Simulated Events</t>
  </si>
  <si>
    <t>Incident Response Training | Automated Training Environments</t>
  </si>
  <si>
    <t xml:space="preserve">Incident Response Testing </t>
  </si>
  <si>
    <t>Incident Response Testing | Coordination with Related Plans</t>
  </si>
  <si>
    <t xml:space="preserve">Incident Handling </t>
  </si>
  <si>
    <t>Incident Handling | Automated Incident Handling Processes</t>
  </si>
  <si>
    <t>Incident Handling | Continuity of Operations</t>
  </si>
  <si>
    <t>Incident Handling | Information Correlation</t>
  </si>
  <si>
    <t>Incident Handling | Insider Threats - Specific Capabilities</t>
  </si>
  <si>
    <t>The security control should be further investigated before escalating to the AO for a disconnect decision.  Yellow security controls want to have an alert on them, not an alarm. Due to the current exploitation of the insider threat concern, its necessary to have special procedures to identify, manage, thwart and prosecute the insider threat.</t>
  </si>
  <si>
    <t>Incident Handling | Insider Threats - Intra-Organization Coordination</t>
  </si>
  <si>
    <t>Incident Handling | Correlation with External Organizations</t>
  </si>
  <si>
    <t>IR-4(9)</t>
  </si>
  <si>
    <t>Incident Handling | Dynamic Response Capability</t>
  </si>
  <si>
    <t xml:space="preserve">Incident Monitoring </t>
  </si>
  <si>
    <t>Incident Monitoring | Automated Tracking/ Data Collection/ Analysis</t>
  </si>
  <si>
    <t xml:space="preserve">Incident Reporting </t>
  </si>
  <si>
    <t>The security control should be further investigated before escalating to the AO for a disconnect decision.  Yellow security controls want to have an alert on them, not an alarm. If not reported, suspected incidents will likely go uninvestigated and unresolved. Individuals have little understanding of attack vectors and must rely on the experts to assess and respond accordingly.</t>
  </si>
  <si>
    <t>Incident Reporting | Automated Reporting</t>
  </si>
  <si>
    <t>Incident Reporting | Vulnerabilities Related to Incidents</t>
  </si>
  <si>
    <t xml:space="preserve">Incident Response Assistance </t>
  </si>
  <si>
    <t>Incident Response Assistance | Automation Support for Availability of Information/ Support</t>
  </si>
  <si>
    <t>Incident Response Assistance | Coordination with External Providers</t>
  </si>
  <si>
    <t xml:space="preserve">Incident Response Plan </t>
  </si>
  <si>
    <t>Information Spillage Response</t>
  </si>
  <si>
    <t>Spillage implies the potential for loss of confidentiality for classified information.  Failure to identify, alert, isolate, eradicate, etc. will undoubtedly lead to compromise of classified information.</t>
  </si>
  <si>
    <t>POA&amp;M &amp; IR Team</t>
  </si>
  <si>
    <t>Information Spillage Response | Responsible Personnel</t>
  </si>
  <si>
    <t>Information Spillage Response | Training</t>
  </si>
  <si>
    <t>IR-9(3)</t>
  </si>
  <si>
    <t>Information Spillage Response | Post-Spill Operations</t>
  </si>
  <si>
    <t>Information Spillage Response | Exposure to Unauthorized Personnel</t>
  </si>
  <si>
    <t>Integrated Information Security Cell</t>
  </si>
  <si>
    <t xml:space="preserve">System Maintenance Policy And Procedures </t>
  </si>
  <si>
    <t xml:space="preserve">Controlled Maintenance </t>
  </si>
  <si>
    <t xml:space="preserve">Controlled Maintenance | Automated Maintenance Activities </t>
  </si>
  <si>
    <t xml:space="preserve">Maintenance Tools </t>
  </si>
  <si>
    <t>Maintenance Tools | Inspect Tools</t>
  </si>
  <si>
    <t>Maintenance Tools | Inspect Media</t>
  </si>
  <si>
    <t>Maintenance Tools | Prevent Unauthorized Removal</t>
  </si>
  <si>
    <t xml:space="preserve">Nonlocal Maintenance </t>
  </si>
  <si>
    <t>The security control should be further investigated before escalating to the AO for a disconnect decision.  Yellow security controls want to have an alert on them, not an alarm. Maintenance conducted through network must be secured with proper authentication occurring by maintenance persons.</t>
  </si>
  <si>
    <t>Nonlocal Maintenance | Auditing and Review</t>
  </si>
  <si>
    <t>The security control should be further investigated before escalating to the AO for a disconnect decision.  Yellow security controls want to have an alert on them, not an alarm. Granted, this is an after the fact procedure, but it might identify suspicious activity of maintainers who may be more or less trusted with access to the system.  This is especially concerning, because it is non-local maintenance. Failure to audit could fail to identify activities that could lead to unauthorized access to the system either during the maintenance session or later, because of some changes inappropriately made by the maintainer that can be used to bypass security mechanisms during a later exploit/attack.</t>
  </si>
  <si>
    <t>Nonlocal Maintenance | Document Nonlocal Maintenance</t>
  </si>
  <si>
    <t>Nonlocal Maintenance | Comparable Security/ Sanitization</t>
  </si>
  <si>
    <t>MA-4(5)</t>
  </si>
  <si>
    <t>Nonlocal Maintenance | Approvals and Notifications</t>
  </si>
  <si>
    <t>Nonlocal Maintenance | Cryptographic Protection</t>
  </si>
  <si>
    <t>The security control should be further investigated before escalating to the AO for a disconnect decision.  Yellow security controls want to have an alert on them, not an alarm. Unprotected sessions can be hi-jacked or monitored in order to learn about system functionality, which can facilitate a later attack.</t>
  </si>
  <si>
    <t>Nonlocal Maintenance | Remote Disconnect Verification</t>
  </si>
  <si>
    <t xml:space="preserve">Maintenance Personnel </t>
  </si>
  <si>
    <t>Maintenance Personnel | Individuals without Appropriate Access</t>
  </si>
  <si>
    <t>MA-6</t>
  </si>
  <si>
    <t xml:space="preserve">Timely Maintenance </t>
  </si>
  <si>
    <t xml:space="preserve">Media Protection Policy And Procedures </t>
  </si>
  <si>
    <t xml:space="preserve">Media Access </t>
  </si>
  <si>
    <t xml:space="preserve">Media Marking </t>
  </si>
  <si>
    <t>The security control should be further investigated before escalating to the AO for a disconnect decision.  Yellow security controls want to have an alert on them, not an alarm. Failure to mark (especially classified) media can easily lead to a loss of control of the information on the media.  For classified information, this could easily lead to a incident.</t>
  </si>
  <si>
    <t xml:space="preserve">Media Storage </t>
  </si>
  <si>
    <t xml:space="preserve">Media Transport </t>
  </si>
  <si>
    <t>Media Transport | Cryptographic Protection</t>
  </si>
  <si>
    <t xml:space="preserve">Media Sanitization </t>
  </si>
  <si>
    <t xml:space="preserve">The security control should be further investigated before escalating to the AO for a disconnect decision.  Yellow security controls want to have an alert on them, not an alarm. Could lead to sensitive or classified spillage if media is not properly sanitized. </t>
  </si>
  <si>
    <t>Media Sanitization | Review/ Approve/ Track/ Document/ Verify</t>
  </si>
  <si>
    <t>Media Sanitization | Equipment Testing</t>
  </si>
  <si>
    <t>Media Sanitization | Nondestructive Techniques</t>
  </si>
  <si>
    <t>MP-6(8)</t>
  </si>
  <si>
    <t>Media Sanitization | Remote Purging / Wiping of Information</t>
  </si>
  <si>
    <t>Media Use</t>
  </si>
  <si>
    <t>The security control should be further investigated before escalating to the AO for a disconnect decision.  Yellow security controls want to have an alert on them, not an alarm. Failure to prevent the use of dangerous media types (e.g., thumb drives, personally owned mobile devices) on the system can easily lead to introduction of malware and compromise of the system.</t>
  </si>
  <si>
    <t>Media Use | Prohibit Use without Owner</t>
  </si>
  <si>
    <t>MP-8</t>
  </si>
  <si>
    <t>Media Downgrading</t>
  </si>
  <si>
    <t>MP-8(2)</t>
  </si>
  <si>
    <t>Media Downgrading | Equipment Testing</t>
  </si>
  <si>
    <t>MP-8(3)</t>
  </si>
  <si>
    <t>Media Downgrading | Controlled Unclassified Information</t>
  </si>
  <si>
    <t xml:space="preserve">Physical And Environmental Protection Policy And Procedures </t>
  </si>
  <si>
    <t xml:space="preserve">Physical Access Authorizations </t>
  </si>
  <si>
    <t>PE-2(1)</t>
  </si>
  <si>
    <t>Physical Access Authorizations | Access by Position / Role</t>
  </si>
  <si>
    <t xml:space="preserve">Physical Access Control </t>
  </si>
  <si>
    <t>The security control should be further investigated before escalating to the AO for a disconnect decision.  Yellow security controls want to have an alert on them, not an alarm. The risk associated with a threat agent accessing the physical information system directly constitutes a "Yellow" control marking to investigate.</t>
  </si>
  <si>
    <t>Physical Access Control | Information System Access</t>
  </si>
  <si>
    <t>PE-3(2)</t>
  </si>
  <si>
    <t>Physical Access Control | Facility / Information System Boundaries</t>
  </si>
  <si>
    <t>PE-3(6)</t>
  </si>
  <si>
    <t>Physical Access Control | Facility Penetration Testing</t>
  </si>
  <si>
    <t xml:space="preserve">Access Control For Transmission Medium </t>
  </si>
  <si>
    <t>The security control should be further investigated before escalating to the AO for a disconnect decision.  Yellow security controls want to have an alert on them, not an alarm. This could allow adversaries to tap our communication lines or connect unauthorized devices to classified networks.</t>
  </si>
  <si>
    <t xml:space="preserve">Access Control For Output Devices </t>
  </si>
  <si>
    <t>PE-5(3)</t>
  </si>
  <si>
    <t>Access Control for Output Devices | Marking Output Devices</t>
  </si>
  <si>
    <t xml:space="preserve">Monitoring Physical Access </t>
  </si>
  <si>
    <t>The security control should be further investigated before escalating to the AO for a disconnect decision.  Yellow security controls want to have an alert on them, not an alarm. If it is not done or done correctly, how do we ensure unauthorized access is not occurring,</t>
  </si>
  <si>
    <t>Monitoring Physical Access | Intrusion Alarms/ Surveillance Equipment</t>
  </si>
  <si>
    <t>PE-6(3)</t>
  </si>
  <si>
    <t>Monitoring Physical Access | Video Surveillance</t>
  </si>
  <si>
    <t>Monitoring Physical Access | Monitoring Physical Access to Information Systems</t>
  </si>
  <si>
    <t xml:space="preserve">Visitor Access Records </t>
  </si>
  <si>
    <t xml:space="preserve">Visitor Access Records | Automated Records Maintenance/ Review </t>
  </si>
  <si>
    <t>PE-9</t>
  </si>
  <si>
    <t xml:space="preserve">Power Equipment And  Cabling </t>
  </si>
  <si>
    <t>PE-9(2)</t>
  </si>
  <si>
    <t>Power Equipment and Cabling | Automatic Voltage Controls</t>
  </si>
  <si>
    <t>PE-10</t>
  </si>
  <si>
    <t xml:space="preserve">Emergency Shutoff </t>
  </si>
  <si>
    <t>PE-11</t>
  </si>
  <si>
    <t xml:space="preserve">Emergency Power </t>
  </si>
  <si>
    <t>PE-11(1)</t>
  </si>
  <si>
    <t>Emergency Power | Long-Term Alternate Power Supply - Minimal Operational Capability</t>
  </si>
  <si>
    <t xml:space="preserve">Emergency Lighting </t>
  </si>
  <si>
    <t xml:space="preserve">Fire Protection </t>
  </si>
  <si>
    <t>PE-13(1)</t>
  </si>
  <si>
    <t>Fire Protection | Detection Devices/ Systems</t>
  </si>
  <si>
    <t>PE-13(2)</t>
  </si>
  <si>
    <t>Fire Protection | Suppression Devices/ Systems</t>
  </si>
  <si>
    <t>PE-13(3)</t>
  </si>
  <si>
    <t>Fire Protection | Automatic Fire Suppression</t>
  </si>
  <si>
    <t>PE-13(4)</t>
  </si>
  <si>
    <t>Fire Protection | Inspections</t>
  </si>
  <si>
    <t xml:space="preserve">Temperature And Humidity Controls </t>
  </si>
  <si>
    <t>PE-14(1)</t>
  </si>
  <si>
    <t>Temperature And Humidity Controls | Automatic Controls</t>
  </si>
  <si>
    <t>PE-14(2)</t>
  </si>
  <si>
    <t>Temperature And Humidity Controls | Monitoring with Alarms/ Notifications</t>
  </si>
  <si>
    <t xml:space="preserve">Water Damage Protection </t>
  </si>
  <si>
    <t>PE-15(1)</t>
  </si>
  <si>
    <t>Water Damage Protection | Automation Support</t>
  </si>
  <si>
    <t xml:space="preserve">Delivery And Removal </t>
  </si>
  <si>
    <t xml:space="preserve">Alternate Work Site </t>
  </si>
  <si>
    <t>PE-18</t>
  </si>
  <si>
    <t xml:space="preserve">Location Of Information System Components </t>
  </si>
  <si>
    <t xml:space="preserve">Information Security Program Plan </t>
  </si>
  <si>
    <t xml:space="preserve">Senior Information Security Officer </t>
  </si>
  <si>
    <t xml:space="preserve">Information Security Resources </t>
  </si>
  <si>
    <t xml:space="preserve">Information Security Measures of Performance </t>
  </si>
  <si>
    <t xml:space="preserve">Enterprise Architecture </t>
  </si>
  <si>
    <t xml:space="preserve">Critical Infrastructure Plan </t>
  </si>
  <si>
    <t xml:space="preserve">Risk Management Strategy </t>
  </si>
  <si>
    <t xml:space="preserve">Security Authorization Process </t>
  </si>
  <si>
    <t>Insider Threat Program</t>
  </si>
  <si>
    <t>Testing, Training, and Monitoring</t>
  </si>
  <si>
    <t>Contacts with Security Groups and Associations</t>
  </si>
  <si>
    <t>Threat Awareness Program</t>
  </si>
  <si>
    <t xml:space="preserve">Personnel Security Policy And Procedures </t>
  </si>
  <si>
    <t>Position Risk Designation</t>
  </si>
  <si>
    <t xml:space="preserve">Personnel Screening </t>
  </si>
  <si>
    <t>Personnel Screening | Information with Special Protection Measures</t>
  </si>
  <si>
    <t xml:space="preserve">Personnel Termination </t>
  </si>
  <si>
    <t>The security control should be further investigated before escalating to the AO for a disconnect decision.  Yellow security controls want to have an alert on them, not an alarm. Potential high impact depending on reason for termination and the employee's previous access and capability.</t>
  </si>
  <si>
    <t xml:space="preserve">Personnel Termination | Post-Employment Requirements </t>
  </si>
  <si>
    <t xml:space="preserve">Personnel Termination | Automated Notification </t>
  </si>
  <si>
    <t xml:space="preserve">Personnel Transfer </t>
  </si>
  <si>
    <t xml:space="preserve">Access Agreements </t>
  </si>
  <si>
    <t>Access Agreements | Post-Employment Requirements</t>
  </si>
  <si>
    <t xml:space="preserve">Third-Party Personnel Security </t>
  </si>
  <si>
    <t xml:space="preserve">Personnel Sanctions </t>
  </si>
  <si>
    <t>The security control should be further investigated before escalating to the AO for a disconnect decision.  Yellow security controls want to have an alert on them, not an alarm. Failure to notify is a bit alarming, as system/security administrators may not know of an individual who may have committed some violation of policy or who may become disgruntled from the sanctions.  The concern is that the risk of that individual having access may have increased, and we don't know about it.</t>
  </si>
  <si>
    <t>The security control should be further investigated before escalating to the AO for a disconnect decision.  Yellow security controls want to have an alert on them, not an alarm. Would need to investigate to determine if the un-remediated vulnerabilities change the risk level.</t>
  </si>
  <si>
    <t xml:space="preserve">System And Services Acquisition Policy And Procedures </t>
  </si>
  <si>
    <t xml:space="preserve">Allocation Of Resources </t>
  </si>
  <si>
    <t>System Development Life Cycle</t>
  </si>
  <si>
    <t>Acquisition Process</t>
  </si>
  <si>
    <t>The security control should be further investigated before escalating to the AO for a disconnect decision.  Yellow security controls want to have an alert on them, not an alarm. Failure of this control could lead to security requirements not being met by a vendor or inability for contractual consequences for poorly secured systems</t>
  </si>
  <si>
    <t>Acquisition Process | Functional Properties of Security Controls</t>
  </si>
  <si>
    <t>Acquisition Process | Design/ Implementation Information for Security Controls</t>
  </si>
  <si>
    <t>The security control should be further investigated before escalating to the AO for a disconnect decision.  Yellow security controls want to have an alert on them, not an alarm. Failure to comply with this control could lead to serious security concerns as critical system elements could go untested/ invalidated.</t>
  </si>
  <si>
    <t>Acquisition Process | System/ Component/ Service Configurations</t>
  </si>
  <si>
    <t>﻿SA-4(8)</t>
  </si>
  <si>
    <t>Acquisition Process | Continuous Monitoring Plan</t>
  </si>
  <si>
    <t>Acquisition Process | Use of Approved PIV Products</t>
  </si>
  <si>
    <t xml:space="preserve">Information System Documentation </t>
  </si>
  <si>
    <t xml:space="preserve">Security Engineering Principles </t>
  </si>
  <si>
    <t xml:space="preserve">External Information System Services </t>
  </si>
  <si>
    <t>The security control should be further investigated before escalating to the AO for a disconnect decision.  Yellow security controls want to have an alert on them, not an alarm. Critical information is located on any of these external services sites and must be monitored.</t>
  </si>
  <si>
    <t>The security control should be further investigated before escalating to the AO for a disconnect decision.  Yellow security controls want to have an alert on them, not an alarm. If this control fails, capabilities will be limited for the system or service and could result in a DoS to it with a direct mission impact.</t>
  </si>
  <si>
    <t>SA-9(4)</t>
  </si>
  <si>
    <t>External Information Systems | Consistent Interests of Consumers and Providers</t>
  </si>
  <si>
    <t>External Information Systems | Processing, Storage, and Service Location</t>
  </si>
  <si>
    <t xml:space="preserve">Developer Configuration Management </t>
  </si>
  <si>
    <t>Developer Configuration Management | Software/ Firmware Integrity Verification</t>
  </si>
  <si>
    <t>SA-10(3)</t>
  </si>
  <si>
    <t>Developer Configuration Management | Hardware Integrity Verification</t>
  </si>
  <si>
    <t>SA-10(4)</t>
  </si>
  <si>
    <t>Developer Configuration Management | Trusted Generation</t>
  </si>
  <si>
    <t>SA-10(5)</t>
  </si>
  <si>
    <t>Developer Configuration Management | Mapping Integrity for Version Control</t>
  </si>
  <si>
    <t>SA-10(6)</t>
  </si>
  <si>
    <t>Developer Configuration Management | Trusted Distribution</t>
  </si>
  <si>
    <t>Developer Security Testing and Evaluation</t>
  </si>
  <si>
    <t>SA-11(1)</t>
  </si>
  <si>
    <t>Developer Security Testing and Evaluation | Static Code Analysis</t>
  </si>
  <si>
    <t>SA-11(2)</t>
  </si>
  <si>
    <t>Developer Security Testing and Evaluation | Threat and Vulnerability Analyses</t>
  </si>
  <si>
    <t>SA-11(3)</t>
  </si>
  <si>
    <t>Developer Security Testing and Evaluation | Independent Verification of Assessment Plans / Evidence</t>
  </si>
  <si>
    <t>SA-11(4)</t>
  </si>
  <si>
    <t>Developer Security Testing and Evaluation | Manual Code Reviews</t>
  </si>
  <si>
    <t>SA-11(5)</t>
  </si>
  <si>
    <t>Developer Security Testing and Evaluation | Penetration Testing</t>
  </si>
  <si>
    <t>SA-11(6)</t>
  </si>
  <si>
    <t>Developer Security Testing and Evaluation | Attack Surface Reviews</t>
  </si>
  <si>
    <t>SA-11(7)</t>
  </si>
  <si>
    <t>Developer Security Testing and Evaluation | Verify Scope of Testing / Evaluation</t>
  </si>
  <si>
    <t>SA-11(8)</t>
  </si>
  <si>
    <t>Developer Security Testing and Evaluation | Dynamic Code Analysis</t>
  </si>
  <si>
    <t xml:space="preserve">Supply Chain Protection </t>
  </si>
  <si>
    <t>Supply Chain Protection | Acquisition Strategies / Tools/ Methods</t>
  </si>
  <si>
    <t>SA-12(2)</t>
  </si>
  <si>
    <t>Supply Chain Protection | Supplier Reviews</t>
  </si>
  <si>
    <t>Supply Chain Protection | Limitation of Harm</t>
  </si>
  <si>
    <t>SA-12(7)</t>
  </si>
  <si>
    <t>Supply Chain Protection | Assessments Prior To Selection / Acceptance / Update</t>
  </si>
  <si>
    <t>Supply Chain Protection | Use of All-Source Intelligence</t>
  </si>
  <si>
    <t>Supply Chain Protection | Operations Security</t>
  </si>
  <si>
    <t>The security control should be further investigated before escalating to the AO for a disconnect decision.  Yellow security controls want to have an alert on them, not an alarm. If OPSEC safeguards fail and information is released regarding covert procurements, the system/components could be compromised leading to catastrophic mission failure, particularly to a critical system</t>
  </si>
  <si>
    <t>SA-12(10)</t>
  </si>
  <si>
    <t>Supply Chain Protection | Validate As Genuine And Not Altered</t>
  </si>
  <si>
    <t>Supply Chain Protection | Penetration Testing/ Analysis of Elements, Processes, and Actors</t>
  </si>
  <si>
    <t>The security control should be further investigated before escalating to the AO for a disconnect decision.  Yellow security controls want to have an alert on them, not an alarm. It is critical that elements of the supply chain and components be tested and validated to ensure correctness.  A compromise within the supply chain could result in a circumvention of all other security controls.</t>
  </si>
  <si>
    <t>SA-12(12)</t>
  </si>
  <si>
    <t>Supply Chain Protection | Inter-Organizational Agreements</t>
  </si>
  <si>
    <t>SA-12(13)</t>
  </si>
  <si>
    <t>Supply Chain Protection | Critical Information System Components</t>
  </si>
  <si>
    <t>SA-12(14)</t>
  </si>
  <si>
    <t>Supply Chain Protection | Identity and Traceability</t>
  </si>
  <si>
    <t>SA-12(15)</t>
  </si>
  <si>
    <t>Supply Chain Protection | Processes To Address Weaknesses or Deficiencies</t>
  </si>
  <si>
    <t>SA-13</t>
  </si>
  <si>
    <t>Trustworthiness</t>
  </si>
  <si>
    <t>Criticality Analysis</t>
  </si>
  <si>
    <t>Development Process, Standards, and Tools</t>
  </si>
  <si>
    <t>SA-15(1)</t>
  </si>
  <si>
    <t>Development Process, Standards, and Tools | Quality Metrics</t>
  </si>
  <si>
    <t>SA-15(2)</t>
  </si>
  <si>
    <t>Development Process, Standards, and Tools | Security Tracking Tools</t>
  </si>
  <si>
    <t>Development Process, Standards, and Tools | Criticality Analysis</t>
  </si>
  <si>
    <t>Development Process, Standards, and Tools | Threat Modeling/ Vulnerability Analysis</t>
  </si>
  <si>
    <t>SA-15(5)</t>
  </si>
  <si>
    <t>Development Process, Standards, and Tools | Attack Surface Reduction</t>
  </si>
  <si>
    <t>SA-15(6)</t>
  </si>
  <si>
    <t>Development Process, Standards, and Tools | Continuous Improvement</t>
  </si>
  <si>
    <t>Development Process, Standards, and Tools | Automated Vulnerability Analysis</t>
  </si>
  <si>
    <t xml:space="preserve">The security control should be further investigated before escalating to the AO for a disconnect decision.  Yellow security controls want to have an alert on them, not an alarm. A system delivered by a developer without having a vulnerability analysis performed is potentially dangerous, as we would not likely know the exploitability of the system. </t>
  </si>
  <si>
    <t>ACAS</t>
  </si>
  <si>
    <t>SA-15(8)</t>
  </si>
  <si>
    <t>Development Process, Standards, and Tools | Reuse Of Threat / Vulnerability Information</t>
  </si>
  <si>
    <t>Development Process, Standards, and Tools | Use of Live Data</t>
  </si>
  <si>
    <t>SA-15(10)</t>
  </si>
  <si>
    <t>Development Process, Standards, and Tools | Incident Response Plan</t>
  </si>
  <si>
    <t>SA-15(11)</t>
  </si>
  <si>
    <t>Development Process, Standards, and Tools | Archive Information System / Component</t>
  </si>
  <si>
    <t>Developer-Provided Training</t>
  </si>
  <si>
    <t>Developer Security Architecture and Design</t>
  </si>
  <si>
    <t>The security control should be further investigated before escalating to the AO for a disconnect decision.  Yellow security controls want to have an alert on them, not an alarm. Without a documented architecture/design, it is nearly impossible to determine a defensive strategy let alone determining it's effectiveness.</t>
  </si>
  <si>
    <t>SA-17(1)</t>
  </si>
  <si>
    <t>Developer Security Architecture and Design | Formal Policy Model</t>
  </si>
  <si>
    <t>SA-17(2)</t>
  </si>
  <si>
    <t>Developer Security Architecture and Design | Security-Relevant Components</t>
  </si>
  <si>
    <t>SA-17(3)</t>
  </si>
  <si>
    <t>Developer Security Architecture and Design | Formal Correspondence</t>
  </si>
  <si>
    <t>SA-17(4)</t>
  </si>
  <si>
    <t>Developer Security Architecture and Design | Informal Correspondence</t>
  </si>
  <si>
    <t>SA-17(5)</t>
  </si>
  <si>
    <t>Developer Security Architecture and Design | Conceptually Simple Design</t>
  </si>
  <si>
    <t>SA-17(6)</t>
  </si>
  <si>
    <t>Developer Security Architecture and Design | Structure for Testing</t>
  </si>
  <si>
    <t>SA-17(7)</t>
  </si>
  <si>
    <t>Developer Security Architecture and Design | Structure for Least Privilege</t>
  </si>
  <si>
    <t>Component Authenticity</t>
  </si>
  <si>
    <t>The security control should be further investigated before escalating to the AO for a disconnect decision.  Yellow security controls want to have an alert on them, not an alarm. As identified in the counterfeit Cisco routers, failure to id fake products/parts could have undesirable consequences in the loss or compromise of data.</t>
  </si>
  <si>
    <t>SA-19(3)</t>
  </si>
  <si>
    <t>Component Authenticity | Component Disposal</t>
  </si>
  <si>
    <t xml:space="preserve">Developer Screening </t>
  </si>
  <si>
    <t>SA-21(1)</t>
  </si>
  <si>
    <t>Developer Screening | Validation of Screening</t>
  </si>
  <si>
    <t>Unsupported System Components</t>
  </si>
  <si>
    <t>The security control should be further investigated before escalating to the AO for a disconnect decision.  Yellow security controls want to have an alert on them, not an alarm. If an unsupported component cannot be patched, it is likely it will become increasingly vulnerable over time.  Replacing the component is ideal, but if it cannot be replaced, and more importantly, if the fact that it cannot be replaced is not assessed for potential security impact, the AO is not afforded the opportunity to manage the risk.  Risk goes unassessed and unmitigated.</t>
  </si>
  <si>
    <t xml:space="preserve">System And Communications Protection Policy And Procedures </t>
  </si>
  <si>
    <t xml:space="preserve">Application Partitioning </t>
  </si>
  <si>
    <t>The security control should be further investigated before escalating to the AO for a disconnect decision.  Yellow security controls want to have an alert on them, not an alarm. Do not want non-privileged users to be able to perform privileged functions</t>
  </si>
  <si>
    <t xml:space="preserve">Security Function Isolation </t>
  </si>
  <si>
    <t xml:space="preserve">Information In Shared Resources </t>
  </si>
  <si>
    <t>The security control should be further investigated before escalating to the AO for a disconnect decision.  Yellow security controls want to have an alert on them, not an alarm. Critical for classified data and need-to-know.</t>
  </si>
  <si>
    <t>SC-5(2)</t>
  </si>
  <si>
    <t>Denial Of Service Protection | Excess Capacity/ Bandwidth/ Redundancy</t>
  </si>
  <si>
    <t>SC-5(3)</t>
  </si>
  <si>
    <t>Denial of Service Protection | Detection/ Monitoring</t>
  </si>
  <si>
    <t>The security control should be further investigated before escalating to the AO for a disconnect decision.  Yellow security controls want to have an alert on them, not an alarm. This enhancement is likely the most important of the three enhancements, and given the base control is Yellow, it seems this enhancement should also be yellow. Failure to monitor for DOS attacks significantly weakens our ability to act quickly to prevent the attack or to minimize the impact of the attack.</t>
  </si>
  <si>
    <t>SC-6</t>
  </si>
  <si>
    <t xml:space="preserve">Resource Availability  </t>
  </si>
  <si>
    <t xml:space="preserve">Boundary Protection </t>
  </si>
  <si>
    <t>Ensures protection at the boundary. Publically accessible systems are provided protections by DMZ.</t>
  </si>
  <si>
    <t>Semi-Automated</t>
  </si>
  <si>
    <t>Boundary Protection | Access Points</t>
  </si>
  <si>
    <t>Boundary Protection | External Telecommunications Services</t>
  </si>
  <si>
    <t>The security control should be further investigated before escalating to the AO for a disconnect decision.  Yellow security controls want to have an alert on them, not an alarm. Simply must tightly manage the firewalls to ensure they stay in compliance and do not open a window or door for our advanced adversaries.</t>
  </si>
  <si>
    <t>Boundary Protection | Deny by Default/ Allow by Exception</t>
  </si>
  <si>
    <t xml:space="preserve">The security control should be further investigated before escalating to the AO for a disconnect decision.  Yellow security controls want to have an alert on them, not an alarm. The alternative is disastrous -that is allow all by default. Allowing all allows our advanced adversaries to get in, and then all bets are off-systems are quickly compromised. </t>
  </si>
  <si>
    <t>Boundary Protection | Prevent Split Tunneling for Remote Devices</t>
  </si>
  <si>
    <t>The security control should be further investigated before escalating to the AO for a disconnect decision.  Yellow security controls want to have an alert on them, not an alarm. This is preventing split tunneling. A split tunnel in effect creates an external connection to the internal network resources, and that can be easily compromised.</t>
  </si>
  <si>
    <t>Boundary Protection | Route Traffic to Authenticated Proxy Servers</t>
  </si>
  <si>
    <t xml:space="preserve">Boundary Protection | Restrict Threatening Outgoing Communications Traffic </t>
  </si>
  <si>
    <t>The security control should be further investigated before escalating to the AO for a disconnect decision.  Yellow security controls want to have an alert on them, not an alarm. Failure of this control allows malicious "insiders" to initiate an attack against other DoD systems.  Note that these "insiders" may actually be outsiders who have gained access to DoD systems and are using the system as a launching pad for other attacks or to increase their foothold and impact.</t>
  </si>
  <si>
    <t xml:space="preserve">Boundary Protection | Prevent Unauthorized Exfiltration </t>
  </si>
  <si>
    <t xml:space="preserve">The security control should be further investigated before escalating to the AO for a disconnect decision.  Yellow security controls want to have an alert on them, not an alarm. Failure of this control allows malicious "insiders" to exfiltrate terabytes of information. </t>
  </si>
  <si>
    <t>Boundary Protection | Restrict Incoming Communications Traffic</t>
  </si>
  <si>
    <t>The security control should be further investigated before escalating to the AO for a disconnect decision.  Yellow security controls want to have an alert on them, not an alarm. Failure of this control means the firewall is not checking source/destination addresses, which is a low-tech means of thwarting attacks.  More sophisticated means exist to get around this control when it is working correctly.</t>
  </si>
  <si>
    <t>Boundary Protection | Host-Based Protection</t>
  </si>
  <si>
    <t>The security control should be further investigated before escalating to the AO for a disconnect decision.  Yellow security controls want to have an alert on them, not an alarm. Based on the importance of host-based protection across the DoD.</t>
  </si>
  <si>
    <t>HBSS</t>
  </si>
  <si>
    <t xml:space="preserve">Boundary Protection | Isolation of Security Tools/ Mechanisms/ Support Components </t>
  </si>
  <si>
    <t>Boundary Protection | Protect Against Unauthorized Physical Connections</t>
  </si>
  <si>
    <t>Unintended physical connections are the worst kind, far worse than a logical connection. With a physical connection, all bets are off, the outsider (could be a system the adversary has compromised) now has direct access to internal network components.</t>
  </si>
  <si>
    <t>IDS</t>
  </si>
  <si>
    <t>Boundary Protection | Fail Secure</t>
  </si>
  <si>
    <t>Primary defense mechanism which could effect multiple missions and network transmissions.</t>
  </si>
  <si>
    <t xml:space="preserve">Boundary Protection | Isolation of Information System Components </t>
  </si>
  <si>
    <t>The security control should be further investigated before escalating to the AO for a disconnect decision.  Yellow security controls want to have an alert on them, not an alarm. This control provides additional separation between presumably trusted information systems.  Failure of the control means we would lose the ability to isolate systems and reduce the attack surface should one of the trusted systems be compromised.  Given this control is selected only for high impact systems; the failure of the control has significant impact.</t>
  </si>
  <si>
    <t>Given the addition of "Confidentiality" to the wording, the criticality has increased significantly.  Loss of confidentiality is more impactful than loss of integrity; therefore, a Red criticality is now warranted. Note also that the "Confidentiality" aspects from SC-9 are what were incorporated into this control, and SC-9 criticality was Red.</t>
  </si>
  <si>
    <t>Transmission Confidentiality and Integrity | Pre-Post Transmission Handling</t>
  </si>
  <si>
    <t xml:space="preserve">The security control should be further investigated before escalating to the AO for a disconnect decision.  Yellow security controls want to have an alert on them, not an alarm. Given the addition of "Confidentiality" to the wording, the criticality has increased significantly.  Loss of confidentiality is more impactful than loss of integrity; therefore, a Yellow criticality is now warranted. Note also that the "Confidentiality" aspects from SC-9(2) are what were incorporated into this control, and SC-9(2) criticality was Yellow.  </t>
  </si>
  <si>
    <t>SC-8(3)</t>
  </si>
  <si>
    <t>Transmission Confidentiality and Integrity | Cryptographic Protection for Message Externals</t>
  </si>
  <si>
    <t>SC-8(4)</t>
  </si>
  <si>
    <t>Transmission Confidentiality and Integrity | Conceal / Randomize Communications</t>
  </si>
  <si>
    <t xml:space="preserve">Network Disconnect </t>
  </si>
  <si>
    <t>The security control should be further investigated before escalating to the AO for a disconnect decision.  Yellow security controls want to have an alert on them, not an alarm. Risk presented to the compromise of IS data through non-compliance warrants further investigation by the DAA/AO. The security control can be automated.</t>
  </si>
  <si>
    <t>SC-11</t>
  </si>
  <si>
    <t>Trusted Path</t>
  </si>
  <si>
    <t xml:space="preserve">Cryptographic Key Establishment And Management </t>
  </si>
  <si>
    <t>SC-12(1)</t>
  </si>
  <si>
    <t>Cryptographic Key Establishment And Management | Availability</t>
  </si>
  <si>
    <t>The security control should be further investigated before escalating to the AO for a disconnect decision.  Yellow security controls want to have an alert on them, not an alarm. Risk presented to the compromise of IS data through non-compliance warrants further investigation by the DAA/AO.</t>
  </si>
  <si>
    <t xml:space="preserve">Collaborative Computing Devices </t>
  </si>
  <si>
    <t>The security control should be further investigated before escalating to the AO for a disconnect decision.  Yellow security controls want to have an alert on them, not an alarm. If collaborated devices are being used without the owners knowledge, potential compromise of information.</t>
  </si>
  <si>
    <t>SC-15(1)</t>
  </si>
  <si>
    <t>Collaborative Computing Devices | Physical Disconnect</t>
  </si>
  <si>
    <t>SC-15(3)</t>
  </si>
  <si>
    <t>Collaborative Computing Devices | Disabling / Removal in Secure Work Areas</t>
  </si>
  <si>
    <t>SC-15(4)</t>
  </si>
  <si>
    <t>Collaborative Computing Devices | Explicitly Indicate Current Participants</t>
  </si>
  <si>
    <t xml:space="preserve">Public Key Infrastructure Certificates </t>
  </si>
  <si>
    <t xml:space="preserve">Mobile Code </t>
  </si>
  <si>
    <t>Mobile Code | Identify Unacceptable Code/ Take Corrective Actions</t>
  </si>
  <si>
    <t>The security control should be further investigated before escalating to the AO for a disconnect decision.  Yellow security controls want to have an alert on them, not an alarm. Reducing the ability to monitor mobile code reduces your ability to monitor technologies that allow adversary compromise.</t>
  </si>
  <si>
    <t>Mobile Code | Acquisition / Development/ Use</t>
  </si>
  <si>
    <t>Mobile Code | Prevent Downloading/ Execution</t>
  </si>
  <si>
    <t>The security control should be further investigated before escalating to the AO for a disconnect decision.  Yellow security controls want to have an alert on them, not an alarm. Allowing the implementation/ installation of prohibited mobile code allows for the installation of frequently used attack vectors.</t>
  </si>
  <si>
    <t>GPO</t>
  </si>
  <si>
    <t>Mobile Code | Prevent Automation Execution</t>
  </si>
  <si>
    <t>The security control should be further investigated before escalating to the AO for a disconnect decision.  Yellow security controls want to have an alert on them, not an alarm. Allowing the implementation/installation of prohibited mobile code allows for the installation of frequently used attack vectors.</t>
  </si>
  <si>
    <t xml:space="preserve">Voice Over Internet Protocol </t>
  </si>
  <si>
    <t xml:space="preserve">Secure Name / Address Resolution Service (Authoritative Source) </t>
  </si>
  <si>
    <t xml:space="preserve">Secure Name / Address Resolution Service (Recursive Or Caching Resolver) </t>
  </si>
  <si>
    <t xml:space="preserve">Architecture And Provisioning For Name / Address Resolution Service </t>
  </si>
  <si>
    <t xml:space="preserve">Session Authenticity </t>
  </si>
  <si>
    <t>Session Authenticity | Invalidate Session Identifiers at Logout</t>
  </si>
  <si>
    <t>Session Authenticity | Unique Session Identifiers with Randomization</t>
  </si>
  <si>
    <t>Session Authenticity | Allowed Certificate Authorities</t>
  </si>
  <si>
    <t>The security control should be further investigated before escalating to the AO for a disconnect decision.  Yellow security controls want to have an alert on them, not an alarm. Failure of this control means falsified certificates may be used.  Given the intent of the control is to establish protected sessions, we could be unknowingly establishing sessions with adversaries wishing to exploit our systems or web applications.</t>
  </si>
  <si>
    <t>The security control should be further investigated before escalating to the AO for a disconnect decision.  Yellow security controls want to have an alert on them, not an alarm. Failing to an unknown state can mean it fails to a state that allows an adversary (insider or outsider) to access core functions without I&amp;A. Or, an adversary can force the system to fail (possibly to a non-secure state), which would allow unrestricted access.</t>
  </si>
  <si>
    <t>The security control should be further investigated before escalating to the AO for a disconnect decision.  Yellow security controls want to have an alert on them, not an alarm. If security-relevant information is not protected, adversaries can glean information (e.g., configurations) useful in establishing an attack vector.</t>
  </si>
  <si>
    <t>Process Isolation</t>
  </si>
  <si>
    <t>SC-40</t>
  </si>
  <si>
    <t>Wireless Link Protection</t>
  </si>
  <si>
    <t>SC-42</t>
  </si>
  <si>
    <t>Wireless Link Protection | Imitative or Manipulative Communications Deception</t>
  </si>
  <si>
    <t>SC-42(3)</t>
  </si>
  <si>
    <t>Sensor Capability and Data | Prohibit Use of Devices</t>
  </si>
  <si>
    <t>SC-43</t>
  </si>
  <si>
    <t>Usage Restrictions</t>
  </si>
  <si>
    <t>Inventory of Personally Identifiable Information</t>
  </si>
  <si>
    <t>Privacy Incident Response</t>
  </si>
  <si>
    <t xml:space="preserve">System And Information Integrity Policy And Procedures </t>
  </si>
  <si>
    <t xml:space="preserve">Flaw Remediation </t>
  </si>
  <si>
    <t>The security control should be further investigated before escalating to the AO for a disconnect decision.  Yellow security controls want to have an alert on them, not an alarm. Not updating or failure to update makes them vulnerable to known exploits.</t>
  </si>
  <si>
    <t>Flaw Remediation | Central Management</t>
  </si>
  <si>
    <t>Flaw Remediation | Automated Flaw Remediation Status</t>
  </si>
  <si>
    <t>The security control should be further investigated before escalating to the AO for a disconnect decision.  Yellow security controls want to have an alert on them, not an alarm. Without automation in large enclaves, it would be nearly impossible to keep up with flaws, and they'd soon allow adversaries access and control.</t>
  </si>
  <si>
    <t xml:space="preserve">Flaw Remediation | Benchmarks for Corrective Actions </t>
  </si>
  <si>
    <t>SI-2(5)</t>
  </si>
  <si>
    <t>Flaw Remediation | Automatic Software / Firmware Updates</t>
  </si>
  <si>
    <t xml:space="preserve">Flaw Remediation | Removal of Previous Versions of Software/Firmware </t>
  </si>
  <si>
    <t>The security control should be further investigated before escalating to the AO for a disconnect decision.  Yellow security controls want to have an alert on them, not an alarm. Leaving older versions of software/firmware could negatively impact the security posture, as older versions tend to be less secure than the most recent versions and the vulnerabilities could be exploited.  The concern is that this failure may not be discovered, as it is a procedural control; and the system becomes more and more vulnerable to exploit over time.</t>
  </si>
  <si>
    <t xml:space="preserve">Malicious Code Protection </t>
  </si>
  <si>
    <t>Core capability that if not running will not thwart even the less advanced adversary exploits.</t>
  </si>
  <si>
    <t>Malicious Code Protection | Central Management</t>
  </si>
  <si>
    <t>The security control should be further investigated before escalating to the AO for a disconnect decision.  Yellow security controls want to have an alert on them, not an alarm. Central management allows situational awareness of all aspects, any of which could be an attack vector.</t>
  </si>
  <si>
    <t>Malicious Code Protection | Automatic Updates</t>
  </si>
  <si>
    <t>The security control should be further investigated before escalating to the AO for a disconnect decision.  Yellow security controls want to have an alert on them, not an alarm. Failing will allow signature definition files to quickly become out of date, and systems/networks will not catch latest exploits, which will allow access and control of systems.</t>
  </si>
  <si>
    <t>SI-3(6)</t>
  </si>
  <si>
    <t>Malicious Code Protection | Testing / Verification</t>
  </si>
  <si>
    <t>Malicious Code Protection | Malicious Code Analysis</t>
  </si>
  <si>
    <t xml:space="preserve">Information System Monitoring </t>
  </si>
  <si>
    <t>If we lose the monitoring ability, that is immediate escalation to the DAA.</t>
  </si>
  <si>
    <t>Information System Monitoring | System-Wide Intrusion Detection System</t>
  </si>
  <si>
    <t>The security control should be further investigated before escalating to the AO for a disconnect decision.  Yellow security controls want to have an alert on them, not an alarm. It is unrealistic to think that we could perceive and understand an attack if we don't monitor from a system wide perspective. Low and slow attacks would go unnoticed, and advanced adversaries would quickly own our systems/networks. However, failure of the system-wide perspective does not constitute a failure of individual component IDS.</t>
  </si>
  <si>
    <t>Information System Monitoring | Automated Tools for Real-Time Analysis</t>
  </si>
  <si>
    <t>The security control should be further investigated before escalating to the AO for a disconnect decision.  Yellow security controls want to have an alert on them, not an alarm. Without automation, it will be difficult to identify events or attacks and thwart adversary attempts to gain access and/or a foothold.</t>
  </si>
  <si>
    <t>Information System Monitoring | Inbound and Outbound Communications Traffic</t>
  </si>
  <si>
    <t>Failure to monitor at ingress/egress points is loss of core capability. This is where we are most likely to identify attacks. DAA notification for disconnect is critical due to the compromise of integrity of the system.</t>
  </si>
  <si>
    <t>Information System Monitoring | System-Generated Alerts</t>
  </si>
  <si>
    <t>Failure of alerts means we do not know if we are under attack. Adversary gains access and gets in deep before we have a chance to do anything about it.</t>
  </si>
  <si>
    <t>SI-4(7)</t>
  </si>
  <si>
    <t>Information System Monitoring | Automated Response to Suspicious Events</t>
  </si>
  <si>
    <t>SI-4(9)</t>
  </si>
  <si>
    <t>Information System Monitoring | Testing Of Monitoring Tools</t>
  </si>
  <si>
    <t>Information System Monitoring | Visibility of Encrypted Communications</t>
  </si>
  <si>
    <t>The security control should be further investigated before escalating to the AO for a disconnect decision.  Yellow security controls want to have an alert on them, not an alarm. If the traffic remains encrypted, it is not visible to monitoring tools; therefore, exploits and attacks would bypass the monitoring tools.</t>
  </si>
  <si>
    <t>Information System Monitoring | Analyze Communications Traffic Anomalies</t>
  </si>
  <si>
    <t>The security control should be further investigated before escalating to the AO for a disconnect decision.  Yellow security controls want to have an alert on them, not an alarm. Needed for identification of exfiltration and data loss protection analyzes outbound communications traffic.</t>
  </si>
  <si>
    <t>Information System Monitoring | Automated Alerts</t>
  </si>
  <si>
    <t>The security control should be further investigated before escalating to the AO for a disconnect decision.  Yellow security controls want to have an alert on them, not an alarm. Without automation of alerts, we are left with manual means of reviewing logs, reports, etc., and it would allow more time for adversaries to get a foothold, making it more difficult to identify attacks, thwart them, or get adversaries out.</t>
  </si>
  <si>
    <t>Information System Monitoring | Wireless Intrusion Detection</t>
  </si>
  <si>
    <t>The security control should be further investigated before escalating to the AO for a disconnect decision.  Yellow security controls want to have an alert on them, not an alarm. Wireless attacks are easy and ever more present. Undetected, adversaries can easily and quickly gain access without being noticed.</t>
  </si>
  <si>
    <t>WIDS</t>
  </si>
  <si>
    <t>Information System Monitoring | Wireless to Wireline Communications</t>
  </si>
  <si>
    <t>The security control should be further investigated before escalating to the AO for a disconnect decision.  Yellow security controls want to have an alert on them, not an alarm. Wireless IDS is just as important as wired IDS. Without IDS, we have few, if any, means of knowing if/when we're under attack.</t>
  </si>
  <si>
    <t>Information System Monitoring | Correlate Monitoring Information</t>
  </si>
  <si>
    <t>Information System Monitoring | Individuals Posing Greater Risk</t>
  </si>
  <si>
    <t>The security control should be further investigated before escalating to the AO for a disconnect decision.  Yellow security controls want to have an alert on them, not an alarm. Failure to increase the monitoring of individuals known to pose an increased level of risk is the Ostrich in the sand scenario leaving the door open to an attack by those individuals.</t>
  </si>
  <si>
    <t>Information System Monitoring | Privileged User</t>
  </si>
  <si>
    <t>Information System Monitoring | Unauthorized Network Services</t>
  </si>
  <si>
    <t>The security control should be further investigated before escalating to the AO for a disconnect decision.  Yellow security controls want to have an alert on them, not an alarm. Failure to detect unauthorized services means we could be using unreliable services or allowing malicious rogue services to be used instead of valid services.  Given this is a technical control, failure may not be evident; therefore, the impact could be unrealized and prolonged.</t>
  </si>
  <si>
    <t>Information System Monitoring | Host-Based Devices</t>
  </si>
  <si>
    <t>The security control should be further investigated before escalating to the AO for a disconnect decision.  Yellow security controls want to have an alert on them, not an alarm. The presumption is that we had identified key components that need to be monitored, due to their asset value and the level of impact if compromised.  As such, failure to monitor these key components means they could be compromised without out knowledge.  This is very damaging for servers, and possibly more risky for mobile devices, given the increased potential for them being used as an attack vector.</t>
  </si>
  <si>
    <t>Security Alerts, Advisories, And Directives</t>
  </si>
  <si>
    <t>The security control should be further investigated before escalating to the AO for a disconnect decision.  Yellow security controls want to have an alert on them, not an alarm. If they are not receiving and disseminating alerts, will be open to risk.</t>
  </si>
  <si>
    <t>Security Alerts, Advisories, And Directives | Automated Alerts and Advisories</t>
  </si>
  <si>
    <t>The security control should be further investigated before escalating to the AO for a disconnect decision.  Yellow security controls want to have an alert on them, not an alarm. Without automations, it will be difficult to keep up with alerts, and known vulnerabilities could be exploited before we can thwart those attempts.</t>
  </si>
  <si>
    <t xml:space="preserve">Security Functionality Verification </t>
  </si>
  <si>
    <t>The security control should be further investigated before escalating to the AO for a disconnect decision.  Yellow security controls want to have an alert on them, not an alarm. If security functions are not working as expected and we are unaware of this fact, we progress as if they are, and adversaries have untold abilities to thwart our defenses and gain access.</t>
  </si>
  <si>
    <t>Security Functionality Verification | Report Verification Results</t>
  </si>
  <si>
    <t xml:space="preserve">Software, Firmware and Information Integrity </t>
  </si>
  <si>
    <t>The security control should be further investigated before escalating to the AO for a disconnect decision.  Yellow security controls want to have an alert on them, not an alarm. Undetected changes allow adversaries to create their own opportunities to gain and maintain access.</t>
  </si>
  <si>
    <t>Software, Firmware and Information Integrity | Integrity Checks</t>
  </si>
  <si>
    <t>The security control should be further investigated before escalating to the AO for a disconnect decision.  Yellow security controls want to have an alert on them, not an alarm. Cannot rely on a static assessments; must reassess periodically to identify adversary activity over time.</t>
  </si>
  <si>
    <t>Software, Firmware and Information Integrity | Automated Notifications of Integrity Violations</t>
  </si>
  <si>
    <t>Software And Information Integrity | Automated Response to Integrity Violations</t>
  </si>
  <si>
    <t>The security control should be further investigated before escalating to the AO for a disconnect decision.  Yellow security controls want to have an alert on them, not an alarm. This is an automated control that if not functioning correctly (and that would likely go unnoticed) will allow integrity violations to continue indefinitely, thereby steadily increasing the risk of the system being compromised.</t>
  </si>
  <si>
    <t>Software, Firmware, and Information Integrity | Cryptographic Protection</t>
  </si>
  <si>
    <t>Software And Information Integrity | Integration of Detection and Response</t>
  </si>
  <si>
    <t xml:space="preserve">Software And Information Integrity | Auditing Capability for Significant Events </t>
  </si>
  <si>
    <t>The security control should be further investigated before escalating to the AO for a disconnect decision.  Yellow security controls want to have an alert on them, not an alarm. This is an automated control that if not functioning correctly (and that would likely go unnoticed) will allow integrity violations to continue indefinitely, because there is no auditing or notification, thereby steadily increasing the risk of the system being compromised.</t>
  </si>
  <si>
    <t>SI-7(9)</t>
  </si>
  <si>
    <t>Software, Firmware, and Information Integrity | Verify Boot Process</t>
  </si>
  <si>
    <t>SI-7(11)</t>
  </si>
  <si>
    <t>Software, Firmware, and Information Integrity | Confined Environments with Limited Privileges</t>
  </si>
  <si>
    <t>SI-7(12)</t>
  </si>
  <si>
    <t>Software, Firmware, and Information Integrity | Integrity Verification</t>
  </si>
  <si>
    <t>SI-7(13)</t>
  </si>
  <si>
    <t>Software, Firmware, and Information Integrity | Code Execution in Protected Environments</t>
  </si>
  <si>
    <t>Software And Information Integrity | Binary or Machine Executable Code</t>
  </si>
  <si>
    <t>The security control should be further investigated before escalating to the AO for a disconnect decision.  Yellow security controls want to have an alert on them, not an alarm. While this is an organizational/procedural control, it can become noncompliant over time.  If it does, the lack of the ability to assess the source code for vulnerabilities or malicious functions means the security posture of the system using the code will steadily decrease over time.  Assuming non-compliance is noticed, correcting the non-compliance is not trivial, as all the code would be embedded in operational systems, and scanning or replacing the code would consume considerable resources, assuming that's even possible after the fact.</t>
  </si>
  <si>
    <t>SI-7(15)</t>
  </si>
  <si>
    <t>Software, Firmware, and Information Integrity | Code Authentication</t>
  </si>
  <si>
    <t xml:space="preserve">Spam Protection </t>
  </si>
  <si>
    <t>Spam Protection | Central Management of Protection Mechanisms</t>
  </si>
  <si>
    <t>Spam Protection | Automatic updates</t>
  </si>
  <si>
    <t xml:space="preserve">Information Input Validation </t>
  </si>
  <si>
    <t>The security control should be further investigated before escalating to the AO for a disconnect decision.  Yellow security controls want to have an alert on them, not an alarm. Key security measure. Prescreening inputs prior to passing to interpreters prevents the content from being unintentionally interpreted as commands. Input validation helps to ensure accurate and correct inputs and prevent attacks such as cross-site scripting and a variety of injection attacks.</t>
  </si>
  <si>
    <t>Information Input Validation | Predictable Behavior</t>
  </si>
  <si>
    <t>The security control should be further investigated before escalating to the AO for a disconnect decision.  Yellow security controls want to have an alert on them, not an alarm. Submission of invalid inputs is a common means of attacking a system.  If the system does not recognize the invalid inputs and/or respond in a predictable manner, the attacks are more likely.  Note that this capability must be engineered into the system from the start. Non-compliance after the fact will be difficult to identify unless the system is actually compromised and that compromise is researched and attributed to the non-compliant control.  Even so, that fact should not decrease the criticality of this control to White.</t>
  </si>
  <si>
    <t xml:space="preserve">Error Handling </t>
  </si>
  <si>
    <t>The security control should be further investigated before escalating to the AO for a disconnect decision.  Yellow security controls want to have an alert on them, not an alarm. If error messages reveal details of the error, it provides information which provides an attack vector for adversaries.</t>
  </si>
  <si>
    <t xml:space="preserve">Information Output Handling And Retention </t>
  </si>
  <si>
    <t>The security control should be further investigated before escalating to the AO for a disconnect decision.  Yellow security controls want to have an alert on them, not an alarm. Improper handling, especially for classified information poses significant risks.</t>
  </si>
  <si>
    <t>SI-13</t>
  </si>
  <si>
    <t xml:space="preserve">Predictable Failure Prevention </t>
  </si>
  <si>
    <t>SI-14</t>
  </si>
  <si>
    <t xml:space="preserve">Non-Persistence </t>
  </si>
  <si>
    <t>Memory Protection</t>
  </si>
  <si>
    <t xml:space="preserve">The security control should be further investigated before escalating to the AO for a disconnect decision.  Yellow security controls want to have an alert on them, not an alarm. It is common for adversaries to launch attacks by executing code in non-executable regions of memory or in memory locations that are prohibited.  Doing so often allows adversaries to perform unauthorized functions and/or elevate privileges. </t>
  </si>
  <si>
    <t>SI-17</t>
  </si>
  <si>
    <t>Fail-Safe Procedures</t>
  </si>
  <si>
    <t>Privacy Notice</t>
  </si>
  <si>
    <t>TR-1(1)</t>
  </si>
  <si>
    <t>Privacy Notice | Real-Time or Layered Notice</t>
  </si>
  <si>
    <t>System of Records Notices and Privacy Act Statements</t>
  </si>
  <si>
    <t>System of Records Notices and Privacy Act Statements | Public Website Publication</t>
  </si>
  <si>
    <t>Dissemination of Privacy Program Information</t>
  </si>
  <si>
    <t>Internal Use</t>
  </si>
  <si>
    <t>Information Sharing with Third Parties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</si>
</sst>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Calibri"/>
      <family val="2"/>
      <scheme val="minor"/>
    </font>
    <font>
      <b/>
      <sz val="11"/>
      <color theme="0"/>
      <name val="Calibri"/>
      <family val="2"/>
      <scheme val="minor"/>
    </font>
    <font>
      <b/>
      <sz val="11"/>
      <color theme="1"/>
      <name val="Calibri"/>
      <family val="2"/>
      <scheme val="minor"/>
    </font>
    <font>
      <sz val="9"/>
      <color theme="1"/>
      <name val="Calibri"/>
      <family val="2"/>
      <scheme val="minor"/>
    </font>
    <font>
      <b/>
      <sz val="12"/>
      <color theme="1"/>
      <name val="Calibri"/>
      <family val="2"/>
      <scheme val="minor"/>
    </font>
    <font>
      <b/>
      <i/>
      <sz val="11"/>
      <color rgb="FFC00000"/>
      <name val="Calibri"/>
      <family val="2"/>
      <scheme val="minor"/>
    </font>
    <font>
      <b/>
      <sz val="14"/>
      <color rgb="FFC00000"/>
      <name val="Calibri"/>
      <family val="2"/>
      <scheme val="minor"/>
    </font>
    <font>
      <b/>
      <u/>
      <sz val="18"/>
      <color theme="0" tint="-4.9989318521683403E-2"/>
      <name val="Calibri"/>
      <family val="2"/>
      <scheme val="minor"/>
    </font>
    <font>
      <sz val="11"/>
      <color rgb="FF000000"/>
      <name val="Calibri"/>
      <family val="2"/>
    </font>
  </fonts>
  <fills count="11">
    <fill>
      <patternFill patternType="none"/>
    </fill>
    <fill>
      <patternFill patternType="gray125"/>
    </fill>
    <fill>
      <patternFill patternType="solid">
        <fgColor theme="4" tint="0.79998168889431442"/>
        <bgColor indexed="64"/>
      </patternFill>
    </fill>
    <fill>
      <patternFill patternType="solid">
        <fgColor theme="6" tint="0.59999389629810485"/>
        <bgColor indexed="64"/>
      </patternFill>
    </fill>
    <fill>
      <patternFill patternType="solid">
        <fgColor rgb="FF1F83AB"/>
        <bgColor indexed="64"/>
      </patternFill>
    </fill>
    <fill>
      <patternFill patternType="solid">
        <fgColor theme="5"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rgb="FFFFFFFF"/>
        <bgColor indexed="64"/>
      </patternFill>
    </fill>
    <fill>
      <patternFill patternType="solid">
        <fgColor theme="0" tint="-4.9989318521683403E-2"/>
        <bgColor indexed="64"/>
      </patternFill>
    </fill>
    <fill>
      <patternFill patternType="solid">
        <fgColor rgb="FFFFFFFF"/>
        <bgColor rgb="FF000000"/>
      </patternFill>
    </fill>
  </fills>
  <borders count="2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67">
    <xf numFmtId="0" fontId="0" fillId="0" borderId="0" xfId="0"/>
    <xf numFmtId="0" fontId="0" fillId="0" borderId="0" xfId="0" applyAlignment="1">
      <alignment horizontal="left" vertical="top"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horizontal="center" vertical="top" wrapText="1"/>
    </xf>
    <xf numFmtId="0" fontId="1" fillId="4" borderId="1" xfId="0" applyFont="1" applyFill="1" applyBorder="1" applyAlignment="1">
      <alignment horizontal="center" vertical="center"/>
    </xf>
    <xf numFmtId="0" fontId="0" fillId="0" borderId="1" xfId="0" applyBorder="1" applyAlignment="1">
      <alignment vertical="center"/>
    </xf>
    <xf numFmtId="0" fontId="0" fillId="0" borderId="1" xfId="0" applyBorder="1" applyAlignment="1">
      <alignment horizontal="center" vertical="center"/>
    </xf>
    <xf numFmtId="0" fontId="0" fillId="0" borderId="0" xfId="0" applyAlignment="1">
      <alignment vertical="center"/>
    </xf>
    <xf numFmtId="0" fontId="0" fillId="0" borderId="0" xfId="0"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2" borderId="6" xfId="0" applyFill="1" applyBorder="1" applyAlignment="1">
      <alignment horizontal="center" vertical="center"/>
    </xf>
    <xf numFmtId="0" fontId="3" fillId="0" borderId="6" xfId="0" applyFont="1" applyBorder="1" applyAlignment="1">
      <alignment horizontal="center" vertical="center"/>
    </xf>
    <xf numFmtId="0" fontId="0" fillId="0" borderId="18" xfId="0" applyBorder="1" applyAlignment="1">
      <alignment horizontal="center" vertical="center" wrapText="1"/>
    </xf>
    <xf numFmtId="0" fontId="3" fillId="2" borderId="19" xfId="0" applyFont="1" applyFill="1" applyBorder="1" applyAlignment="1">
      <alignment horizontal="center" vertical="center"/>
    </xf>
    <xf numFmtId="0" fontId="4" fillId="7" borderId="20" xfId="0" applyFont="1" applyFill="1" applyBorder="1" applyAlignment="1">
      <alignment horizontal="center" vertical="center"/>
    </xf>
    <xf numFmtId="0" fontId="3" fillId="0" borderId="6" xfId="0" applyFont="1" applyBorder="1" applyAlignment="1">
      <alignment horizontal="left" vertical="center"/>
    </xf>
    <xf numFmtId="0" fontId="3" fillId="2" borderId="7" xfId="0" applyFont="1" applyFill="1" applyBorder="1" applyAlignment="1">
      <alignment horizontal="left" vertical="center"/>
    </xf>
    <xf numFmtId="0" fontId="2" fillId="0" borderId="3" xfId="0" applyFont="1" applyBorder="1" applyAlignment="1">
      <alignment horizontal="center" vertical="center"/>
    </xf>
    <xf numFmtId="0" fontId="2" fillId="0" borderId="4" xfId="0" applyFont="1" applyBorder="1" applyAlignment="1">
      <alignment horizontal="center" vertical="center" wrapText="1"/>
    </xf>
    <xf numFmtId="0" fontId="2" fillId="0" borderId="3" xfId="0" applyFont="1" applyBorder="1" applyAlignment="1">
      <alignment horizontal="center" vertical="center" wrapText="1"/>
    </xf>
    <xf numFmtId="0" fontId="2" fillId="0" borderId="5" xfId="0" applyFont="1" applyBorder="1" applyAlignment="1">
      <alignment horizontal="center" vertical="center" wrapText="1"/>
    </xf>
    <xf numFmtId="0" fontId="3" fillId="6" borderId="24" xfId="0" applyFont="1" applyFill="1" applyBorder="1" applyAlignment="1" applyProtection="1">
      <alignment horizontal="center" vertical="center"/>
      <protection locked="0"/>
    </xf>
    <xf numFmtId="0" fontId="3" fillId="0" borderId="22" xfId="0" applyFont="1" applyBorder="1" applyAlignment="1">
      <alignment horizontal="center" vertical="center"/>
    </xf>
    <xf numFmtId="0" fontId="3" fillId="0" borderId="21" xfId="0" applyFont="1" applyBorder="1" applyAlignment="1">
      <alignment horizontal="center" vertical="center"/>
    </xf>
    <xf numFmtId="0" fontId="3" fillId="5" borderId="6"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8" xfId="0" applyFont="1" applyFill="1" applyBorder="1" applyAlignment="1">
      <alignment horizontal="center" vertical="center"/>
    </xf>
    <xf numFmtId="0" fontId="0" fillId="4" borderId="0" xfId="0" applyFill="1"/>
    <xf numFmtId="0" fontId="0" fillId="0" borderId="23" xfId="0" applyBorder="1" applyAlignment="1">
      <alignment horizontal="center" vertical="center" wrapText="1"/>
    </xf>
    <xf numFmtId="0" fontId="0" fillId="4" borderId="13" xfId="0" applyFill="1" applyBorder="1"/>
    <xf numFmtId="0" fontId="0" fillId="4" borderId="16" xfId="0" applyFill="1" applyBorder="1"/>
    <xf numFmtId="0" fontId="0" fillId="4" borderId="12" xfId="0" applyFill="1" applyBorder="1"/>
    <xf numFmtId="0" fontId="0" fillId="4" borderId="14" xfId="0" applyFill="1" applyBorder="1"/>
    <xf numFmtId="0" fontId="0" fillId="4" borderId="15" xfId="0" applyFill="1" applyBorder="1"/>
    <xf numFmtId="0" fontId="0" fillId="9" borderId="12" xfId="0" applyFill="1" applyBorder="1"/>
    <xf numFmtId="0" fontId="0" fillId="9" borderId="0" xfId="0" applyFill="1"/>
    <xf numFmtId="0" fontId="0" fillId="9" borderId="13" xfId="0" applyFill="1" applyBorder="1"/>
    <xf numFmtId="0" fontId="0" fillId="9" borderId="14" xfId="0" applyFill="1" applyBorder="1"/>
    <xf numFmtId="0" fontId="0" fillId="9" borderId="15" xfId="0" applyFill="1" applyBorder="1"/>
    <xf numFmtId="0" fontId="0" fillId="9" borderId="16" xfId="0" applyFill="1" applyBorder="1"/>
    <xf numFmtId="0" fontId="0" fillId="0" borderId="7" xfId="0" applyBorder="1" applyAlignment="1" applyProtection="1">
      <alignment vertical="top" wrapText="1"/>
      <protection locked="0"/>
    </xf>
    <xf numFmtId="0" fontId="0" fillId="8" borderId="7" xfId="0" applyFill="1" applyBorder="1" applyAlignment="1" applyProtection="1">
      <alignment vertical="top" wrapText="1"/>
      <protection locked="0"/>
    </xf>
    <xf numFmtId="0" fontId="0" fillId="8" borderId="7" xfId="0" applyFill="1" applyBorder="1" applyAlignment="1" applyProtection="1">
      <alignment vertical="top"/>
      <protection locked="0"/>
    </xf>
    <xf numFmtId="0" fontId="0" fillId="6" borderId="9" xfId="0" applyFill="1" applyBorder="1" applyAlignment="1">
      <alignment horizontal="left" vertical="center" wrapText="1"/>
    </xf>
    <xf numFmtId="0" fontId="0" fillId="6" borderId="10" xfId="0" applyFill="1" applyBorder="1" applyAlignment="1">
      <alignment horizontal="left" vertical="center" wrapText="1"/>
    </xf>
    <xf numFmtId="0" fontId="0" fillId="6" borderId="11" xfId="0" applyFill="1" applyBorder="1" applyAlignment="1">
      <alignment horizontal="left" vertical="center" wrapText="1"/>
    </xf>
    <xf numFmtId="0" fontId="0" fillId="6" borderId="12" xfId="0" applyFill="1" applyBorder="1" applyAlignment="1">
      <alignment horizontal="left" vertical="center" wrapText="1"/>
    </xf>
    <xf numFmtId="0" fontId="0" fillId="6" borderId="0" xfId="0" applyFill="1" applyAlignment="1">
      <alignment horizontal="left" vertical="center" wrapText="1"/>
    </xf>
    <xf numFmtId="0" fontId="0" fillId="6" borderId="13" xfId="0" applyFill="1" applyBorder="1" applyAlignment="1">
      <alignment horizontal="left" vertical="center" wrapText="1"/>
    </xf>
    <xf numFmtId="0" fontId="0" fillId="6" borderId="14" xfId="0" applyFill="1" applyBorder="1" applyAlignment="1">
      <alignment horizontal="left" vertical="center" wrapText="1"/>
    </xf>
    <xf numFmtId="0" fontId="0" fillId="6" borderId="15" xfId="0" applyFill="1" applyBorder="1" applyAlignment="1">
      <alignment horizontal="left" vertical="center" wrapText="1"/>
    </xf>
    <xf numFmtId="0" fontId="0" fillId="6" borderId="16" xfId="0" applyFill="1" applyBorder="1" applyAlignment="1">
      <alignment horizontal="left" vertical="center" wrapText="1"/>
    </xf>
    <xf numFmtId="0" fontId="7" fillId="4" borderId="9" xfId="0" applyFont="1" applyFill="1" applyBorder="1" applyAlignment="1">
      <alignment horizontal="center" vertical="center"/>
    </xf>
    <xf numFmtId="0" fontId="7" fillId="4" borderId="10" xfId="0" applyFont="1" applyFill="1" applyBorder="1" applyAlignment="1">
      <alignment horizontal="center" vertical="center"/>
    </xf>
    <xf numFmtId="0" fontId="7" fillId="4" borderId="11" xfId="0" applyFont="1" applyFill="1" applyBorder="1" applyAlignment="1">
      <alignment horizontal="center" vertical="center"/>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0" fontId="6" fillId="9" borderId="0" xfId="0" applyFont="1" applyFill="1" applyAlignment="1">
      <alignment horizontal="left" vertical="center" wrapText="1"/>
    </xf>
    <xf numFmtId="0" fontId="2" fillId="3" borderId="0" xfId="0" applyFont="1" applyFill="1" applyAlignment="1">
      <alignment horizontal="center" vertical="center" wrapText="1"/>
    </xf>
    <xf numFmtId="0" fontId="1" fillId="4" borderId="17" xfId="0" applyFont="1" applyFill="1" applyBorder="1" applyAlignment="1">
      <alignment horizontal="center" vertical="center" wrapText="1"/>
    </xf>
    <xf numFmtId="0" fontId="1" fillId="4" borderId="0" xfId="0" applyFont="1" applyFill="1" applyAlignment="1">
      <alignment horizontal="center" vertical="center" wrapText="1"/>
    </xf>
    <xf numFmtId="0" fontId="8" fillId="0" borderId="7" xfId="0" applyFont="1" applyFill="1" applyBorder="1" applyAlignment="1" applyProtection="1">
      <alignment wrapText="1"/>
      <protection locked="0"/>
    </xf>
    <xf numFmtId="0" fontId="8" fillId="10" borderId="7" xfId="0" applyFont="1" applyFill="1" applyBorder="1" applyAlignment="1" applyProtection="1">
      <alignment wrapText="1"/>
      <protection locked="0"/>
    </xf>
  </cellXfs>
  <cellStyles count="1">
    <cellStyle name="Normal" xfId="0" builtinId="0"/>
  </cellStyles>
  <dxfs count="20">
    <dxf>
      <font>
        <b/>
        <i val="0"/>
        <color auto="1"/>
      </font>
      <fill>
        <patternFill>
          <bgColor theme="0" tint="-4.9989318521683403E-2"/>
        </patternFill>
      </fill>
    </dxf>
    <dxf>
      <font>
        <b/>
        <i val="0"/>
      </font>
      <fill>
        <patternFill>
          <bgColor rgb="FFFFFF00"/>
        </patternFill>
      </fill>
    </dxf>
    <dxf>
      <font>
        <b/>
        <i val="0"/>
        <color theme="0"/>
      </font>
      <fill>
        <patternFill>
          <bgColor rgb="FFC00000"/>
        </patternFill>
      </fill>
    </dxf>
    <dxf>
      <font>
        <b/>
        <i val="0"/>
        <color auto="1"/>
      </font>
      <fill>
        <patternFill>
          <bgColor theme="0" tint="-4.9989318521683403E-2"/>
        </patternFill>
      </fill>
    </dxf>
    <dxf>
      <font>
        <b/>
        <i val="0"/>
      </font>
      <fill>
        <patternFill>
          <bgColor rgb="FFFFFF00"/>
        </patternFill>
      </fill>
    </dxf>
    <dxf>
      <font>
        <b/>
        <i val="0"/>
        <color theme="0"/>
      </font>
      <fill>
        <patternFill>
          <bgColor rgb="FFC00000"/>
        </patternFill>
      </fill>
    </dxf>
    <dxf>
      <fill>
        <patternFill>
          <bgColor theme="7" tint="0.39994506668294322"/>
        </patternFill>
      </fill>
    </dxf>
    <dxf>
      <font>
        <b/>
        <i val="0"/>
      </font>
      <fill>
        <patternFill>
          <bgColor theme="0" tint="-4.9989318521683403E-2"/>
        </patternFill>
      </fill>
    </dxf>
    <dxf>
      <font>
        <b/>
        <i val="0"/>
        <color theme="0"/>
      </font>
      <fill>
        <patternFill>
          <bgColor rgb="FFC00000"/>
        </patternFill>
      </fill>
    </dxf>
    <dxf>
      <fill>
        <patternFill>
          <bgColor theme="7" tint="0.39994506668294322"/>
        </patternFill>
      </fill>
    </dxf>
    <dxf>
      <font>
        <b/>
        <i val="0"/>
      </font>
      <fill>
        <patternFill>
          <bgColor theme="0" tint="-4.9989318521683403E-2"/>
        </patternFill>
      </fill>
    </dxf>
    <dxf>
      <font>
        <b/>
        <i val="0"/>
        <color theme="0"/>
      </font>
      <fill>
        <patternFill>
          <bgColor rgb="FFC00000"/>
        </patternFill>
      </fill>
    </dxf>
    <dxf>
      <fill>
        <patternFill>
          <bgColor theme="7" tint="0.39994506668294322"/>
        </patternFill>
      </fill>
    </dxf>
    <dxf>
      <font>
        <b/>
        <i val="0"/>
      </font>
      <fill>
        <patternFill>
          <bgColor theme="0" tint="-4.9989318521683403E-2"/>
        </patternFill>
      </fill>
    </dxf>
    <dxf>
      <font>
        <b/>
        <i val="0"/>
        <color theme="0"/>
      </font>
      <fill>
        <patternFill>
          <bgColor rgb="FFC00000"/>
        </patternFill>
      </fill>
    </dxf>
    <dxf>
      <fill>
        <patternFill>
          <bgColor theme="5" tint="0.59996337778862885"/>
        </patternFill>
      </fill>
    </dxf>
    <dxf>
      <fill>
        <patternFill>
          <bgColor theme="5" tint="0.59996337778862885"/>
        </patternFill>
      </fill>
    </dxf>
    <dxf>
      <fill>
        <patternFill>
          <bgColor theme="7" tint="0.39994506668294322"/>
        </patternFill>
      </fill>
    </dxf>
    <dxf>
      <font>
        <b/>
        <i val="0"/>
      </font>
      <fill>
        <patternFill>
          <bgColor theme="0" tint="-4.9989318521683403E-2"/>
        </patternFill>
      </fill>
    </dxf>
    <dxf>
      <font>
        <b/>
        <i val="0"/>
        <color theme="0"/>
      </font>
      <fill>
        <patternFill>
          <bgColor rgb="FFC00000"/>
        </patternFill>
      </fill>
    </dxf>
  </dxfs>
  <tableStyles count="0" defaultTableStyle="TableStyleMedium2" defaultPivotStyle="PivotStyleLight16"/>
  <colors>
    <mruColors>
      <color rgb="FF1F83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45</xdr:row>
          <xdr:rowOff>31750</xdr:rowOff>
        </xdr:from>
        <xdr:to>
          <xdr:col>10</xdr:col>
          <xdr:colOff>342900</xdr:colOff>
          <xdr:row>47</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cs typeface="Calibri"/>
                </a:rPr>
                <a:t>Click Me</a:t>
              </a:r>
            </a:p>
          </xdr:txBody>
        </xdr:sp>
        <xdr:clientData fPrintsWithSheet="0"/>
      </xdr:twoCellAnchor>
    </mc:Choice>
    <mc:Fallback/>
  </mc:AlternateContent>
  <xdr:twoCellAnchor editAs="oneCell">
    <xdr:from>
      <xdr:col>14</xdr:col>
      <xdr:colOff>172010</xdr:colOff>
      <xdr:row>2</xdr:row>
      <xdr:rowOff>164727</xdr:rowOff>
    </xdr:from>
    <xdr:to>
      <xdr:col>17</xdr:col>
      <xdr:colOff>331020</xdr:colOff>
      <xdr:row>19</xdr:row>
      <xdr:rowOff>178596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475569" y="556933"/>
          <a:ext cx="1977538" cy="3422886"/>
        </a:xfrm>
        <a:prstGeom prst="rect">
          <a:avLst/>
        </a:prstGeom>
        <a:ln w="28575">
          <a:solidFill>
            <a:schemeClr val="tx1"/>
          </a:solidFill>
        </a:ln>
      </xdr:spPr>
    </xdr:pic>
    <xdr:clientData/>
  </xdr:twoCellAnchor>
  <xdr:twoCellAnchor>
    <xdr:from>
      <xdr:col>13</xdr:col>
      <xdr:colOff>60463</xdr:colOff>
      <xdr:row>8</xdr:row>
      <xdr:rowOff>9525</xdr:rowOff>
    </xdr:from>
    <xdr:to>
      <xdr:col>14</xdr:col>
      <xdr:colOff>57150</xdr:colOff>
      <xdr:row>10</xdr:row>
      <xdr:rowOff>104775</xdr:rowOff>
    </xdr:to>
    <xdr:sp macro="" textlink="">
      <xdr:nvSpPr>
        <xdr:cNvPr id="3" name="Right Arrow 2">
          <a:extLst>
            <a:ext uri="{FF2B5EF4-FFF2-40B4-BE49-F238E27FC236}">
              <a16:creationId xmlns:a16="http://schemas.microsoft.com/office/drawing/2014/main" id="{00000000-0008-0000-0000-000003000000}"/>
            </a:ext>
          </a:extLst>
        </xdr:cNvPr>
        <xdr:cNvSpPr/>
      </xdr:nvSpPr>
      <xdr:spPr>
        <a:xfrm>
          <a:off x="7804288" y="1600200"/>
          <a:ext cx="606287" cy="476250"/>
        </a:xfrm>
        <a:prstGeom prst="righ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266699</xdr:colOff>
      <xdr:row>18</xdr:row>
      <xdr:rowOff>85724</xdr:rowOff>
    </xdr:from>
    <xdr:to>
      <xdr:col>13</xdr:col>
      <xdr:colOff>163281</xdr:colOff>
      <xdr:row>29</xdr:row>
      <xdr:rowOff>44448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4" y="3524249"/>
          <a:ext cx="7421519" cy="2162175"/>
        </a:xfrm>
        <a:prstGeom prst="rect">
          <a:avLst/>
        </a:prstGeom>
        <a:ln w="28575">
          <a:solidFill>
            <a:schemeClr val="tx1"/>
          </a:solidFill>
        </a:ln>
      </xdr:spPr>
    </xdr:pic>
    <xdr:clientData/>
  </xdr:twoCellAnchor>
  <xdr:twoCellAnchor>
    <xdr:from>
      <xdr:col>6</xdr:col>
      <xdr:colOff>450987</xdr:colOff>
      <xdr:row>15</xdr:row>
      <xdr:rowOff>34375</xdr:rowOff>
    </xdr:from>
    <xdr:to>
      <xdr:col>7</xdr:col>
      <xdr:colOff>308112</xdr:colOff>
      <xdr:row>18</xdr:row>
      <xdr:rowOff>24850</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rot="5400000">
          <a:off x="3610388" y="3095214"/>
          <a:ext cx="561975" cy="470038"/>
        </a:xfrm>
        <a:prstGeom prst="righ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694097</xdr:colOff>
      <xdr:row>30</xdr:row>
      <xdr:rowOff>189848</xdr:rowOff>
    </xdr:from>
    <xdr:to>
      <xdr:col>20</xdr:col>
      <xdr:colOff>371357</xdr:colOff>
      <xdr:row>33</xdr:row>
      <xdr:rowOff>85073</xdr:rowOff>
    </xdr:to>
    <xdr:sp macro="" textlink="">
      <xdr:nvSpPr>
        <xdr:cNvPr id="8" name="Right Arrow 7">
          <a:extLst>
            <a:ext uri="{FF2B5EF4-FFF2-40B4-BE49-F238E27FC236}">
              <a16:creationId xmlns:a16="http://schemas.microsoft.com/office/drawing/2014/main" id="{00000000-0008-0000-0000-000008000000}"/>
            </a:ext>
          </a:extLst>
        </xdr:cNvPr>
        <xdr:cNvSpPr/>
      </xdr:nvSpPr>
      <xdr:spPr>
        <a:xfrm rot="20033066">
          <a:off x="7576945" y="6062218"/>
          <a:ext cx="4373499" cy="475007"/>
        </a:xfrm>
        <a:prstGeom prst="righ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461120</xdr:colOff>
      <xdr:row>43</xdr:row>
      <xdr:rowOff>82876</xdr:rowOff>
    </xdr:from>
    <xdr:to>
      <xdr:col>7</xdr:col>
      <xdr:colOff>417978</xdr:colOff>
      <xdr:row>45</xdr:row>
      <xdr:rowOff>164118</xdr:rowOff>
    </xdr:to>
    <xdr:sp macro="" textlink="">
      <xdr:nvSpPr>
        <xdr:cNvPr id="9" name="Right Arrow 8">
          <a:extLst>
            <a:ext uri="{FF2B5EF4-FFF2-40B4-BE49-F238E27FC236}">
              <a16:creationId xmlns:a16="http://schemas.microsoft.com/office/drawing/2014/main" id="{00000000-0008-0000-0000-000009000000}"/>
            </a:ext>
          </a:extLst>
        </xdr:cNvPr>
        <xdr:cNvSpPr/>
      </xdr:nvSpPr>
      <xdr:spPr>
        <a:xfrm rot="1380831">
          <a:off x="3728195" y="8426776"/>
          <a:ext cx="566458" cy="462242"/>
        </a:xfrm>
        <a:prstGeom prst="righ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D1237"/>
  <sheetViews>
    <sheetView topLeftCell="A41" zoomScale="85" zoomScaleNormal="85" workbookViewId="0">
      <selection activeCell="V2" sqref="V2:V127"/>
    </sheetView>
  </sheetViews>
  <sheetFormatPr defaultColWidth="9.140625" defaultRowHeight="15" customHeight="1"/>
  <cols>
    <col min="1" max="1" width="3.28515625" customWidth="1"/>
    <col min="13" max="13" width="12.28515625" customWidth="1"/>
    <col min="19" max="19" width="3.28515625" customWidth="1"/>
    <col min="21" max="21" width="6" style="1" customWidth="1"/>
    <col min="22" max="22" width="21.28515625" style="31" bestFit="1" customWidth="1"/>
    <col min="23" max="23" width="43.7109375" style="1" hidden="1" customWidth="1"/>
    <col min="24" max="24" width="23.28515625" style="1" hidden="1" customWidth="1"/>
    <col min="25" max="25" width="10.28515625" style="1" hidden="1" customWidth="1"/>
    <col min="26" max="26" width="8" style="1" hidden="1" customWidth="1"/>
    <col min="27" max="27" width="72" style="1" hidden="1" customWidth="1"/>
    <col min="28" max="28" width="15.28515625" style="1" hidden="1" customWidth="1"/>
    <col min="29" max="29" width="56" style="1" hidden="1" customWidth="1"/>
    <col min="30" max="30" width="7.5703125" style="1" customWidth="1"/>
    <col min="31" max="16384" width="9.140625" style="1"/>
  </cols>
  <sheetData>
    <row r="1" spans="1:30" ht="15" customHeight="1">
      <c r="A1" s="55" t="s">
        <v>0</v>
      </c>
      <c r="B1" s="56"/>
      <c r="C1" s="56"/>
      <c r="D1" s="56"/>
      <c r="E1" s="56"/>
      <c r="F1" s="56"/>
      <c r="G1" s="56"/>
      <c r="H1" s="56"/>
      <c r="I1" s="56"/>
      <c r="J1" s="56"/>
      <c r="K1" s="56"/>
      <c r="L1" s="56"/>
      <c r="M1" s="56"/>
      <c r="N1" s="56"/>
      <c r="O1" s="56"/>
      <c r="P1" s="56"/>
      <c r="Q1" s="56"/>
      <c r="R1" s="56"/>
      <c r="S1" s="57"/>
      <c r="U1" s="5"/>
      <c r="V1" s="17" t="s">
        <v>1</v>
      </c>
      <c r="W1" s="15" t="s">
        <v>2</v>
      </c>
      <c r="X1" s="2" t="s">
        <v>3</v>
      </c>
      <c r="Y1" s="3" t="s">
        <v>4</v>
      </c>
      <c r="Z1" s="3" t="s">
        <v>5</v>
      </c>
      <c r="AA1" s="3" t="s">
        <v>6</v>
      </c>
      <c r="AB1" s="3" t="s">
        <v>7</v>
      </c>
      <c r="AC1" s="4" t="s">
        <v>8</v>
      </c>
      <c r="AD1" s="4" t="s">
        <v>9</v>
      </c>
    </row>
    <row r="2" spans="1:30" s="10" customFormat="1" ht="15.75" customHeight="1">
      <c r="A2" s="58"/>
      <c r="B2" s="59"/>
      <c r="C2" s="59"/>
      <c r="D2" s="59"/>
      <c r="E2" s="59"/>
      <c r="F2" s="59"/>
      <c r="G2" s="59"/>
      <c r="H2" s="59"/>
      <c r="I2" s="59"/>
      <c r="J2" s="59"/>
      <c r="K2" s="59"/>
      <c r="L2" s="59"/>
      <c r="M2" s="59"/>
      <c r="N2" s="59"/>
      <c r="O2" s="59"/>
      <c r="P2" s="59"/>
      <c r="Q2" s="59"/>
      <c r="R2" s="59"/>
      <c r="S2" s="60"/>
      <c r="T2"/>
      <c r="V2" s="65" t="s">
        <v>10</v>
      </c>
      <c r="W2" s="16" t="str">
        <f>IFERROR(VLOOKUP(CLEAN($V2),'All Security Controls'!A:I, 2, FALSE),"---")</f>
        <v>Access Control Policy and Procedures</v>
      </c>
      <c r="X2" s="14" t="str">
        <f>IFERROR(VLOOKUP(CLEAN($V2),'All Security Controls'!$A:$I, 4, FALSE),"---")</f>
        <v>CRWG White Criticality Control</v>
      </c>
      <c r="Y2" s="14" t="str">
        <f>IFERROR(VLOOKUP(CLEAN($V2),'All Security Controls'!$A:$I,5, FALSE),"---")</f>
        <v>Quarterly</v>
      </c>
      <c r="Z2" s="14" t="str">
        <f>IFERROR(VLOOKUP(CLEAN($V2),'All Security Controls'!$A:$I,6, FALSE),"---")</f>
        <v>Manual</v>
      </c>
      <c r="AA2" s="14" t="str">
        <f>IFERROR(VLOOKUP(CLEAN($V2),'All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 s="14" t="str">
        <f>IFERROR(VLOOKUP(CLEAN($V2),'All Security Controls'!$A:$I,8, FALSE),"---")</f>
        <v>POA&amp;M</v>
      </c>
      <c r="AC2" s="14" t="str">
        <f>IFERROR(VLOOKUP(CLEAN($V2),'All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 s="25">
        <v>1</v>
      </c>
    </row>
    <row r="3" spans="1:30" s="10" customFormat="1">
      <c r="A3" s="34"/>
      <c r="B3" s="37"/>
      <c r="C3" s="38"/>
      <c r="D3" s="38"/>
      <c r="E3" s="38"/>
      <c r="F3" s="38"/>
      <c r="G3" s="38"/>
      <c r="H3" s="38"/>
      <c r="I3" s="38"/>
      <c r="J3" s="38"/>
      <c r="K3" s="38"/>
      <c r="L3" s="38"/>
      <c r="M3" s="38"/>
      <c r="N3" s="38"/>
      <c r="O3" s="38"/>
      <c r="P3" s="38"/>
      <c r="Q3" s="38"/>
      <c r="R3" s="39"/>
      <c r="S3" s="32"/>
      <c r="T3"/>
      <c r="V3" s="66" t="s">
        <v>11</v>
      </c>
      <c r="W3" s="16" t="str">
        <f>IFERROR(VLOOKUP(CLEAN($V3),'All Security Controls'!A:I, 2, FALSE),"---")</f>
        <v>Account Management</v>
      </c>
      <c r="X3" s="14" t="str">
        <f>IFERROR(VLOOKUP(CLEAN($V3),'All Security Controls'!$A:$I, 4, FALSE),"---")</f>
        <v>CRWG Yellow Criticality Control</v>
      </c>
      <c r="Y3" s="14" t="str">
        <f>IFERROR(VLOOKUP(CLEAN($V3),'All Security Controls'!$A:$I,5, FALSE),"---")</f>
        <v>Annually</v>
      </c>
      <c r="Z3" s="14" t="str">
        <f>IFERROR(VLOOKUP(CLEAN($V3),'All Security Controls'!$A:$I,6, FALSE),"---")</f>
        <v>Manual</v>
      </c>
      <c r="AA3" s="14" t="str">
        <f>IFERROR(VLOOKUP(CLEAN($V3),'All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 s="14" t="str">
        <f>IFERROR(VLOOKUP(CLEAN($V3),'All Security Controls'!$A:$I,8, FALSE),"---")</f>
        <v>POA&amp;M</v>
      </c>
      <c r="AC3" s="14" t="str">
        <f>IFERROR(VLOOKUP(CLEAN($V3),'All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 s="26">
        <v>2</v>
      </c>
    </row>
    <row r="4" spans="1:30" s="10" customFormat="1" ht="18.75" customHeight="1">
      <c r="A4" s="34"/>
      <c r="B4" s="37"/>
      <c r="C4" s="61" t="s">
        <v>12</v>
      </c>
      <c r="D4" s="61"/>
      <c r="E4" s="61"/>
      <c r="F4" s="61"/>
      <c r="G4" s="61"/>
      <c r="H4" s="61"/>
      <c r="I4" s="61"/>
      <c r="J4" s="61"/>
      <c r="K4" s="61"/>
      <c r="L4" s="61"/>
      <c r="M4" s="61"/>
      <c r="N4" s="38"/>
      <c r="O4" s="38"/>
      <c r="P4" s="38"/>
      <c r="Q4" s="38"/>
      <c r="R4" s="39"/>
      <c r="S4" s="32"/>
      <c r="T4"/>
      <c r="V4" s="66" t="s">
        <v>13</v>
      </c>
      <c r="W4" s="16" t="str">
        <f>IFERROR(VLOOKUP(CLEAN($V4),'All Security Controls'!A:I, 2, FALSE),"---")</f>
        <v>Account Management | Automated System Account Management</v>
      </c>
      <c r="X4" s="14" t="str">
        <f>IFERROR(VLOOKUP(CLEAN($V4),'All Security Controls'!$A:$I, 4, FALSE),"---")</f>
        <v>CRWG White Criticality Control</v>
      </c>
      <c r="Y4" s="14" t="str">
        <f>IFERROR(VLOOKUP(CLEAN($V4),'All Security Controls'!$A:$I,5, FALSE),"---")</f>
        <v>Constantly</v>
      </c>
      <c r="Z4" s="14" t="str">
        <f>IFERROR(VLOOKUP(CLEAN($V4),'All Security Controls'!$A:$I,6, FALSE),"---")</f>
        <v>Manual</v>
      </c>
      <c r="AA4" s="14" t="str">
        <f>IFERROR(VLOOKUP(CLEAN($V4),'All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 s="14" t="str">
        <f>IFERROR(VLOOKUP(CLEAN($V4),'All Security Controls'!$A:$I,8, FALSE),"---")</f>
        <v>POA&amp;M</v>
      </c>
      <c r="AC4" s="14" t="str">
        <f>IFERROR(VLOOKUP(CLEAN($V4),'All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 s="26">
        <v>3</v>
      </c>
    </row>
    <row r="5" spans="1:30" s="10" customFormat="1" ht="15" customHeight="1">
      <c r="A5" s="34"/>
      <c r="B5" s="37"/>
      <c r="C5" s="61"/>
      <c r="D5" s="61"/>
      <c r="E5" s="61"/>
      <c r="F5" s="61"/>
      <c r="G5" s="61"/>
      <c r="H5" s="61"/>
      <c r="I5" s="61"/>
      <c r="J5" s="61"/>
      <c r="K5" s="61"/>
      <c r="L5" s="61"/>
      <c r="M5" s="61"/>
      <c r="N5" s="38"/>
      <c r="O5" s="38"/>
      <c r="P5" s="38"/>
      <c r="Q5" s="38"/>
      <c r="R5" s="39"/>
      <c r="S5" s="32"/>
      <c r="T5"/>
      <c r="V5" s="66" t="s">
        <v>14</v>
      </c>
      <c r="W5" s="16" t="str">
        <f>IFERROR(VLOOKUP(CLEAN($V5),'All Security Controls'!A:I, 2, FALSE),"---")</f>
        <v>Account Management | Removal of Temporary/ Emergency Accounts</v>
      </c>
      <c r="X5" s="14" t="str">
        <f>IFERROR(VLOOKUP(CLEAN($V5),'All Security Controls'!$A:$I, 4, FALSE),"---")</f>
        <v>CRWG White Criticality Control</v>
      </c>
      <c r="Y5" s="14" t="str">
        <f>IFERROR(VLOOKUP(CLEAN($V5),'All Security Controls'!$A:$I,5, FALSE),"---")</f>
        <v>Constantly</v>
      </c>
      <c r="Z5" s="14" t="str">
        <f>IFERROR(VLOOKUP(CLEAN($V5),'All Security Controls'!$A:$I,6, FALSE),"---")</f>
        <v>Manual</v>
      </c>
      <c r="AA5" s="14" t="str">
        <f>IFERROR(VLOOKUP(CLEAN($V5),'All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5" s="14" t="str">
        <f>IFERROR(VLOOKUP(CLEAN($V5),'All Security Controls'!$A:$I,8, FALSE),"---")</f>
        <v>POA&amp;M</v>
      </c>
      <c r="AC5" s="14" t="str">
        <f>IFERROR(VLOOKUP(CLEAN($V5),'All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5" s="26">
        <v>4</v>
      </c>
    </row>
    <row r="6" spans="1:30" s="10" customFormat="1" ht="15" customHeight="1">
      <c r="A6" s="34"/>
      <c r="B6" s="37"/>
      <c r="C6" s="61"/>
      <c r="D6" s="61"/>
      <c r="E6" s="61"/>
      <c r="F6" s="61"/>
      <c r="G6" s="61"/>
      <c r="H6" s="61"/>
      <c r="I6" s="61"/>
      <c r="J6" s="61"/>
      <c r="K6" s="61"/>
      <c r="L6" s="61"/>
      <c r="M6" s="61"/>
      <c r="N6" s="38"/>
      <c r="O6" s="38"/>
      <c r="P6" s="38"/>
      <c r="Q6" s="38"/>
      <c r="R6" s="39"/>
      <c r="S6" s="32"/>
      <c r="T6"/>
      <c r="V6" s="66" t="s">
        <v>15</v>
      </c>
      <c r="W6" s="16" t="str">
        <f>IFERROR(VLOOKUP(CLEAN($V6),'All Security Controls'!A:I, 2, FALSE),"---")</f>
        <v>Account Management | Disable Inactive Accounts</v>
      </c>
      <c r="X6" s="14" t="str">
        <f>IFERROR(VLOOKUP(CLEAN($V6),'All Security Controls'!$A:$I, 4, FALSE),"---")</f>
        <v>CRWG White Criticality Control</v>
      </c>
      <c r="Y6" s="14" t="str">
        <f>IFERROR(VLOOKUP(CLEAN($V6),'All Security Controls'!$A:$I,5, FALSE),"---")</f>
        <v>Monthly</v>
      </c>
      <c r="Z6" s="14" t="str">
        <f>IFERROR(VLOOKUP(CLEAN($V6),'All Security Controls'!$A:$I,6, FALSE),"---")</f>
        <v>Manual</v>
      </c>
      <c r="AA6" s="14" t="str">
        <f>IFERROR(VLOOKUP(CLEAN($V6),'All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6" s="14" t="str">
        <f>IFERROR(VLOOKUP(CLEAN($V6),'All Security Controls'!$A:$I,8, FALSE),"---")</f>
        <v>POA&amp;M</v>
      </c>
      <c r="AC6" s="14" t="str">
        <f>IFERROR(VLOOKUP(CLEAN($V6),'All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6" s="26">
        <v>5</v>
      </c>
    </row>
    <row r="7" spans="1:30" s="10" customFormat="1" ht="15" customHeight="1">
      <c r="A7" s="34"/>
      <c r="B7" s="37"/>
      <c r="C7" s="38"/>
      <c r="D7" s="38"/>
      <c r="E7" s="38"/>
      <c r="F7" s="38"/>
      <c r="G7" s="38"/>
      <c r="H7" s="38"/>
      <c r="I7" s="38"/>
      <c r="J7" s="38"/>
      <c r="K7" s="38"/>
      <c r="L7" s="38"/>
      <c r="M7" s="38"/>
      <c r="N7" s="38"/>
      <c r="O7" s="38"/>
      <c r="P7" s="38"/>
      <c r="Q7" s="38"/>
      <c r="R7" s="39"/>
      <c r="S7" s="32"/>
      <c r="T7"/>
      <c r="V7" s="66" t="s">
        <v>16</v>
      </c>
      <c r="W7" s="16" t="str">
        <f>IFERROR(VLOOKUP(CLEAN($V7),'All Security Controls'!A:I, 2, FALSE),"---")</f>
        <v>Account Management | Automated Audit Actions</v>
      </c>
      <c r="X7" s="14" t="str">
        <f>IFERROR(VLOOKUP(CLEAN($V7),'All Security Controls'!$A:$I, 4, FALSE),"---")</f>
        <v>CRWG White Criticality Control</v>
      </c>
      <c r="Y7" s="14" t="str">
        <f>IFERROR(VLOOKUP(CLEAN($V7),'All Security Controls'!$A:$I,5, FALSE),"---")</f>
        <v>Constantly</v>
      </c>
      <c r="Z7" s="14" t="str">
        <f>IFERROR(VLOOKUP(CLEAN($V7),'All Security Controls'!$A:$I,6, FALSE),"---")</f>
        <v>Automated</v>
      </c>
      <c r="AA7" s="14" t="str">
        <f>IFERROR(VLOOKUP(CLEAN($V7),'All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7" s="14" t="str">
        <f>IFERROR(VLOOKUP(CLEAN($V7),'All Security Controls'!$A:$I,8, FALSE),"---")</f>
        <v>Enterprise Logging Tool</v>
      </c>
      <c r="AC7" s="14" t="str">
        <f>IFERROR(VLOOKUP(CLEAN($V7),'All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7" s="26">
        <v>6</v>
      </c>
    </row>
    <row r="8" spans="1:30" s="10" customFormat="1">
      <c r="A8" s="34"/>
      <c r="B8" s="37"/>
      <c r="C8" s="38"/>
      <c r="D8" s="38"/>
      <c r="E8" s="38"/>
      <c r="F8" s="38"/>
      <c r="G8" s="38"/>
      <c r="H8" s="38"/>
      <c r="I8" s="38"/>
      <c r="J8" s="38"/>
      <c r="K8" s="38"/>
      <c r="L8" s="38"/>
      <c r="M8" s="38"/>
      <c r="N8" s="38"/>
      <c r="O8" s="38"/>
      <c r="P8" s="38"/>
      <c r="Q8" s="38"/>
      <c r="R8" s="39"/>
      <c r="S8" s="32"/>
      <c r="T8"/>
      <c r="V8" s="66" t="s">
        <v>17</v>
      </c>
      <c r="W8" s="16" t="str">
        <f>IFERROR(VLOOKUP(CLEAN($V8),'All Security Controls'!A:I, 2, FALSE),"---")</f>
        <v>Account Management | Inactivity Logout</v>
      </c>
      <c r="X8" s="14" t="str">
        <f>IFERROR(VLOOKUP(CLEAN($V8),'All Security Controls'!$A:$I, 4, FALSE),"---")</f>
        <v>CRWG White Criticality Control</v>
      </c>
      <c r="Y8" s="14" t="str">
        <f>IFERROR(VLOOKUP(CLEAN($V8),'All Security Controls'!$A:$I,5, FALSE),"---")</f>
        <v>Quarterly</v>
      </c>
      <c r="Z8" s="14" t="str">
        <f>IFERROR(VLOOKUP(CLEAN($V8),'All Security Controls'!$A:$I,6, FALSE),"---")</f>
        <v>Manual</v>
      </c>
      <c r="AA8" s="14" t="str">
        <f>IFERROR(VLOOKUP(CLEAN($V8),'All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8" s="14" t="str">
        <f>IFERROR(VLOOKUP(CLEAN($V8),'All Security Controls'!$A:$I,8, FALSE),"---")</f>
        <v>POA&amp;M</v>
      </c>
      <c r="AC8" s="14" t="str">
        <f>IFERROR(VLOOKUP(CLEAN($V8),'All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8" s="26">
        <v>7</v>
      </c>
    </row>
    <row r="9" spans="1:30" s="10" customFormat="1">
      <c r="A9" s="34"/>
      <c r="B9" s="37"/>
      <c r="C9" s="46" t="s">
        <v>18</v>
      </c>
      <c r="D9" s="47"/>
      <c r="E9" s="47"/>
      <c r="F9" s="47"/>
      <c r="G9" s="47"/>
      <c r="H9" s="47"/>
      <c r="I9" s="47"/>
      <c r="J9" s="47"/>
      <c r="K9" s="47"/>
      <c r="L9" s="47"/>
      <c r="M9" s="48"/>
      <c r="N9" s="38"/>
      <c r="O9" s="38"/>
      <c r="P9" s="38"/>
      <c r="Q9" s="38"/>
      <c r="R9" s="39"/>
      <c r="S9" s="32"/>
      <c r="T9"/>
      <c r="V9" s="66" t="s">
        <v>19</v>
      </c>
      <c r="W9" s="16" t="str">
        <f>IFERROR(VLOOKUP(CLEAN($V9),'All Security Controls'!A:I, 2, FALSE),"---")</f>
        <v>Account Management | Role-Based Schemes</v>
      </c>
      <c r="X9" s="14" t="str">
        <f>IFERROR(VLOOKUP(CLEAN($V9),'All Security Controls'!$A:$I, 4, FALSE),"---")</f>
        <v>CRWG White Criticality Control</v>
      </c>
      <c r="Y9" s="14" t="str">
        <f>IFERROR(VLOOKUP(CLEAN($V9),'All Security Controls'!$A:$I,5, FALSE),"---")</f>
        <v>Annually</v>
      </c>
      <c r="Z9" s="14" t="str">
        <f>IFERROR(VLOOKUP(CLEAN($V9),'All Security Controls'!$A:$I,6, FALSE),"---")</f>
        <v>Manual</v>
      </c>
      <c r="AA9" s="14" t="str">
        <f>IFERROR(VLOOKUP(CLEAN($V9),'All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9" s="14" t="str">
        <f>IFERROR(VLOOKUP(CLEAN($V9),'All Security Controls'!$A:$I,8, FALSE),"---")</f>
        <v>POA&amp;M</v>
      </c>
      <c r="AC9" s="14" t="str">
        <f>IFERROR(VLOOKUP(CLEAN($V9),'All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9" s="26">
        <v>8</v>
      </c>
    </row>
    <row r="10" spans="1:30" s="10" customFormat="1">
      <c r="A10" s="34"/>
      <c r="B10" s="37"/>
      <c r="C10" s="49"/>
      <c r="D10" s="50"/>
      <c r="E10" s="50"/>
      <c r="F10" s="50"/>
      <c r="G10" s="50"/>
      <c r="H10" s="50"/>
      <c r="I10" s="50"/>
      <c r="J10" s="50"/>
      <c r="K10" s="50"/>
      <c r="L10" s="50"/>
      <c r="M10" s="51"/>
      <c r="N10" s="38"/>
      <c r="O10" s="38"/>
      <c r="P10" s="38"/>
      <c r="Q10" s="38"/>
      <c r="R10" s="39"/>
      <c r="S10" s="32"/>
      <c r="T10"/>
      <c r="V10" s="66" t="s">
        <v>20</v>
      </c>
      <c r="W10" s="16" t="str">
        <f>IFERROR(VLOOKUP(CLEAN($V10),'All Security Controls'!A:I, 2, FALSE),"---")</f>
        <v>Account Management | Restrictions on Use of Shared Groups/ Accounts</v>
      </c>
      <c r="X10" s="14" t="str">
        <f>IFERROR(VLOOKUP(CLEAN($V10),'All Security Controls'!$A:$I, 4, FALSE),"---")</f>
        <v>CRWG White Criticality Control</v>
      </c>
      <c r="Y10" s="14" t="str">
        <f>IFERROR(VLOOKUP(CLEAN($V10),'All Security Controls'!$A:$I,5, FALSE),"---")</f>
        <v>Annually</v>
      </c>
      <c r="Z10" s="14" t="str">
        <f>IFERROR(VLOOKUP(CLEAN($V10),'All Security Controls'!$A:$I,6, FALSE),"---")</f>
        <v>Manual</v>
      </c>
      <c r="AA10" s="14" t="str">
        <f>IFERROR(VLOOKUP(CLEAN($V10),'All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0" s="14" t="str">
        <f>IFERROR(VLOOKUP(CLEAN($V10),'All Security Controls'!$A:$I,8, FALSE),"---")</f>
        <v>POA&amp;M</v>
      </c>
      <c r="AC10" s="14" t="str">
        <f>IFERROR(VLOOKUP(CLEAN($V10),'All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0" s="26">
        <v>9</v>
      </c>
    </row>
    <row r="11" spans="1:30" s="10" customFormat="1">
      <c r="A11" s="34"/>
      <c r="B11" s="37"/>
      <c r="C11" s="52"/>
      <c r="D11" s="53"/>
      <c r="E11" s="53"/>
      <c r="F11" s="53"/>
      <c r="G11" s="53"/>
      <c r="H11" s="53"/>
      <c r="I11" s="53"/>
      <c r="J11" s="53"/>
      <c r="K11" s="53"/>
      <c r="L11" s="53"/>
      <c r="M11" s="54"/>
      <c r="N11" s="38"/>
      <c r="O11" s="38"/>
      <c r="P11" s="38"/>
      <c r="Q11" s="38"/>
      <c r="R11" s="39"/>
      <c r="S11" s="32"/>
      <c r="T11"/>
      <c r="V11" s="66" t="s">
        <v>21</v>
      </c>
      <c r="W11" s="16" t="str">
        <f>IFERROR(VLOOKUP(CLEAN($V11),'All Security Controls'!A:I, 2, FALSE),"---")</f>
        <v>Account Management | Shared/ Group Account Credential Termination</v>
      </c>
      <c r="X11" s="14" t="str">
        <f>IFERROR(VLOOKUP(CLEAN($V11),'All Security Controls'!$A:$I, 4, FALSE),"---")</f>
        <v>CRWG Yellow Criticality Control</v>
      </c>
      <c r="Y11" s="14" t="str">
        <f>IFERROR(VLOOKUP(CLEAN($V11),'All Security Controls'!$A:$I,5, FALSE),"---")</f>
        <v>Annually</v>
      </c>
      <c r="Z11" s="14" t="str">
        <f>IFERROR(VLOOKUP(CLEAN($V11),'All Security Controls'!$A:$I,6, FALSE),"---")</f>
        <v>Manual</v>
      </c>
      <c r="AA11" s="14" t="str">
        <f>IFERROR(VLOOKUP(CLEAN($V11),'All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1" s="14" t="str">
        <f>IFERROR(VLOOKUP(CLEAN($V11),'All Security Controls'!$A:$I,8, FALSE),"---")</f>
        <v>POA&amp;M</v>
      </c>
      <c r="AC11" s="14" t="str">
        <f>IFERROR(VLOOKUP(CLEAN($V11),'All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1" s="26">
        <v>10</v>
      </c>
    </row>
    <row r="12" spans="1:30" s="10" customFormat="1">
      <c r="A12" s="34"/>
      <c r="B12" s="37"/>
      <c r="C12" s="38"/>
      <c r="D12" s="38"/>
      <c r="E12" s="38"/>
      <c r="F12" s="38"/>
      <c r="G12" s="38"/>
      <c r="H12" s="38"/>
      <c r="I12" s="38"/>
      <c r="J12" s="38"/>
      <c r="K12" s="38"/>
      <c r="L12" s="38"/>
      <c r="M12" s="38"/>
      <c r="N12" s="38"/>
      <c r="O12" s="38"/>
      <c r="P12" s="38"/>
      <c r="Q12" s="38"/>
      <c r="R12" s="39"/>
      <c r="S12" s="32"/>
      <c r="T12"/>
      <c r="V12" s="66" t="s">
        <v>22</v>
      </c>
      <c r="W12" s="16" t="str">
        <f>IFERROR(VLOOKUP(CLEAN($V12),'All Security Controls'!A:I, 2, FALSE),"---")</f>
        <v>Account Management | Usage Conditions</v>
      </c>
      <c r="X12" s="14" t="str">
        <f>IFERROR(VLOOKUP(CLEAN($V12),'All Security Controls'!$A:$I, 4, FALSE),"---")</f>
        <v>CRWG Yellow Criticality Control</v>
      </c>
      <c r="Y12" s="14" t="str">
        <f>IFERROR(VLOOKUP(CLEAN($V12),'All Security Controls'!$A:$I,5, FALSE),"---")</f>
        <v>Annually</v>
      </c>
      <c r="Z12" s="14" t="str">
        <f>IFERROR(VLOOKUP(CLEAN($V12),'All Security Controls'!$A:$I,6, FALSE),"---")</f>
        <v>Manual</v>
      </c>
      <c r="AA12" s="14" t="str">
        <f>IFERROR(VLOOKUP(CLEAN($V12),'All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2" s="14" t="str">
        <f>IFERROR(VLOOKUP(CLEAN($V12),'All Security Controls'!$A:$I,8, FALSE),"---")</f>
        <v>POA&amp;M</v>
      </c>
      <c r="AC12" s="14" t="str">
        <f>IFERROR(VLOOKUP(CLEAN($V12),'All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2" s="26">
        <v>11</v>
      </c>
    </row>
    <row r="13" spans="1:30" s="10" customFormat="1">
      <c r="A13" s="34"/>
      <c r="B13" s="37"/>
      <c r="C13" s="46" t="s">
        <v>23</v>
      </c>
      <c r="D13" s="47"/>
      <c r="E13" s="47"/>
      <c r="F13" s="47"/>
      <c r="G13" s="47"/>
      <c r="H13" s="47"/>
      <c r="I13" s="47"/>
      <c r="J13" s="47"/>
      <c r="K13" s="47"/>
      <c r="L13" s="47"/>
      <c r="M13" s="48"/>
      <c r="N13" s="38"/>
      <c r="O13" s="38"/>
      <c r="P13" s="38"/>
      <c r="Q13" s="38"/>
      <c r="R13" s="39"/>
      <c r="S13" s="32"/>
      <c r="T13"/>
      <c r="V13" s="66" t="s">
        <v>24</v>
      </c>
      <c r="W13" s="16" t="str">
        <f>IFERROR(VLOOKUP(CLEAN($V13),'All Security Controls'!A:I, 2, FALSE),"---")</f>
        <v>Account Management | Account Monitoring/ Atypical Usage</v>
      </c>
      <c r="X13" s="14" t="str">
        <f>IFERROR(VLOOKUP(CLEAN($V13),'All Security Controls'!$A:$I, 4, FALSE),"---")</f>
        <v>CRWG White Criticality Control</v>
      </c>
      <c r="Y13" s="14" t="str">
        <f>IFERROR(VLOOKUP(CLEAN($V13),'All Security Controls'!$A:$I,5, FALSE),"---")</f>
        <v>Annually</v>
      </c>
      <c r="Z13" s="14" t="str">
        <f>IFERROR(VLOOKUP(CLEAN($V13),'All Security Controls'!$A:$I,6, FALSE),"---")</f>
        <v>Manual</v>
      </c>
      <c r="AA13" s="14" t="str">
        <f>IFERROR(VLOOKUP(CLEAN($V13),'All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3" s="14" t="str">
        <f>IFERROR(VLOOKUP(CLEAN($V13),'All Security Controls'!$A:$I,8, FALSE),"---")</f>
        <v>POA&amp;M</v>
      </c>
      <c r="AC13" s="14" t="str">
        <f>IFERROR(VLOOKUP(CLEAN($V13),'All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3" s="26">
        <v>12</v>
      </c>
    </row>
    <row r="14" spans="1:30" s="10" customFormat="1">
      <c r="A14" s="34"/>
      <c r="B14" s="37"/>
      <c r="C14" s="49"/>
      <c r="D14" s="50"/>
      <c r="E14" s="50"/>
      <c r="F14" s="50"/>
      <c r="G14" s="50"/>
      <c r="H14" s="50"/>
      <c r="I14" s="50"/>
      <c r="J14" s="50"/>
      <c r="K14" s="50"/>
      <c r="L14" s="50"/>
      <c r="M14" s="51"/>
      <c r="N14" s="38"/>
      <c r="O14" s="38"/>
      <c r="P14" s="38"/>
      <c r="Q14" s="38"/>
      <c r="R14" s="39"/>
      <c r="S14" s="32"/>
      <c r="T14"/>
      <c r="V14" s="66" t="s">
        <v>25</v>
      </c>
      <c r="W14" s="16" t="str">
        <f>IFERROR(VLOOKUP(CLEAN($V14),'All Security Controls'!A:I, 2, FALSE),"---")</f>
        <v>Account Management | Disable Accounts For High-Risk Individuals</v>
      </c>
      <c r="X14" s="14" t="str">
        <f>IFERROR(VLOOKUP(CLEAN($V14),'All Security Controls'!$A:$I, 4, FALSE),"---")</f>
        <v>CRWG Yellow Criticality Control</v>
      </c>
      <c r="Y14" s="14" t="str">
        <f>IFERROR(VLOOKUP(CLEAN($V14),'All Security Controls'!$A:$I,5, FALSE),"---")</f>
        <v>Annually</v>
      </c>
      <c r="Z14" s="14" t="str">
        <f>IFERROR(VLOOKUP(CLEAN($V14),'All Security Controls'!$A:$I,6, FALSE),"---")</f>
        <v>Manual</v>
      </c>
      <c r="AA14" s="14" t="str">
        <f>IFERROR(VLOOKUP(CLEAN($V14),'All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4" s="14" t="str">
        <f>IFERROR(VLOOKUP(CLEAN($V14),'All Security Controls'!$A:$I,8, FALSE),"---")</f>
        <v>POA&amp;M</v>
      </c>
      <c r="AC14" s="14" t="str">
        <f>IFERROR(VLOOKUP(CLEAN($V14),'All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4" s="26">
        <v>13</v>
      </c>
    </row>
    <row r="15" spans="1:30" s="10" customFormat="1">
      <c r="A15" s="34"/>
      <c r="B15" s="37"/>
      <c r="C15" s="52"/>
      <c r="D15" s="53"/>
      <c r="E15" s="53"/>
      <c r="F15" s="53"/>
      <c r="G15" s="53"/>
      <c r="H15" s="53"/>
      <c r="I15" s="53"/>
      <c r="J15" s="53"/>
      <c r="K15" s="53"/>
      <c r="L15" s="53"/>
      <c r="M15" s="54"/>
      <c r="N15" s="38"/>
      <c r="O15" s="38"/>
      <c r="P15" s="38"/>
      <c r="Q15" s="38"/>
      <c r="R15" s="39"/>
      <c r="S15" s="32"/>
      <c r="T15"/>
      <c r="V15" s="66" t="s">
        <v>26</v>
      </c>
      <c r="W15" s="16" t="str">
        <f>IFERROR(VLOOKUP(CLEAN($V15),'All Security Controls'!A:I, 2, FALSE),"---")</f>
        <v xml:space="preserve">Access Enforcement </v>
      </c>
      <c r="X15" s="14" t="str">
        <f>IFERROR(VLOOKUP(CLEAN($V15),'All Security Controls'!$A:$I, 4, FALSE),"---")</f>
        <v>CRWG Yellow Criticality Control</v>
      </c>
      <c r="Y15" s="14" t="str">
        <f>IFERROR(VLOOKUP(CLEAN($V15),'All Security Controls'!$A:$I,5, FALSE),"---")</f>
        <v>Annually</v>
      </c>
      <c r="Z15" s="14" t="str">
        <f>IFERROR(VLOOKUP(CLEAN($V15),'All Security Controls'!$A:$I,6, FALSE),"---")</f>
        <v>Manual</v>
      </c>
      <c r="AA15" s="14" t="str">
        <f>IFERROR(VLOOKUP(CLEAN($V15),'All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5" s="14" t="str">
        <f>IFERROR(VLOOKUP(CLEAN($V15),'All Security Controls'!$A:$I,8, FALSE),"---")</f>
        <v>POA&amp;M</v>
      </c>
      <c r="AC15" s="14" t="str">
        <f>IFERROR(VLOOKUP(CLEAN($V15),'All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5" s="26">
        <v>14</v>
      </c>
    </row>
    <row r="16" spans="1:30" s="10" customFormat="1">
      <c r="A16" s="34"/>
      <c r="B16" s="37"/>
      <c r="C16" s="38"/>
      <c r="D16" s="38"/>
      <c r="E16" s="38"/>
      <c r="F16" s="38"/>
      <c r="G16" s="38"/>
      <c r="H16" s="38"/>
      <c r="I16" s="38"/>
      <c r="J16" s="38"/>
      <c r="K16" s="38"/>
      <c r="L16" s="38"/>
      <c r="M16" s="38"/>
      <c r="N16" s="38"/>
      <c r="O16" s="38"/>
      <c r="P16" s="38"/>
      <c r="Q16" s="38"/>
      <c r="R16" s="39"/>
      <c r="S16" s="32"/>
      <c r="T16"/>
      <c r="V16" s="66" t="s">
        <v>27</v>
      </c>
      <c r="W16" s="16" t="str">
        <f>IFERROR(VLOOKUP(CLEAN($V16),'All Security Controls'!A:I, 2, FALSE),"---")</f>
        <v xml:space="preserve">Access Enforcement | Discretionary Access Control </v>
      </c>
      <c r="X16" s="14" t="str">
        <f>IFERROR(VLOOKUP(CLEAN($V16),'All Security Controls'!$A:$I, 4, FALSE),"---")</f>
        <v>CRWG White Criticality Control</v>
      </c>
      <c r="Y16" s="14" t="str">
        <f>IFERROR(VLOOKUP(CLEAN($V16),'All Security Controls'!$A:$I,5, FALSE),"---")</f>
        <v>Annually</v>
      </c>
      <c r="Z16" s="14" t="str">
        <f>IFERROR(VLOOKUP(CLEAN($V16),'All Security Controls'!$A:$I,6, FALSE),"---")</f>
        <v>Manual</v>
      </c>
      <c r="AA16" s="14" t="str">
        <f>IFERROR(VLOOKUP(CLEAN($V16),'All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6" s="14" t="str">
        <f>IFERROR(VLOOKUP(CLEAN($V16),'All Security Controls'!$A:$I,8, FALSE),"---")</f>
        <v>POA&amp;M</v>
      </c>
      <c r="AC16" s="14" t="str">
        <f>IFERROR(VLOOKUP(CLEAN($V16),'All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6" s="26">
        <v>15</v>
      </c>
    </row>
    <row r="17" spans="1:30" s="10" customFormat="1">
      <c r="A17" s="34"/>
      <c r="B17" s="37"/>
      <c r="C17" s="38"/>
      <c r="D17" s="38"/>
      <c r="E17" s="38"/>
      <c r="F17" s="38"/>
      <c r="G17" s="38"/>
      <c r="H17" s="38"/>
      <c r="I17" s="38"/>
      <c r="J17" s="38"/>
      <c r="K17" s="38"/>
      <c r="L17" s="38"/>
      <c r="M17" s="38"/>
      <c r="N17" s="38"/>
      <c r="O17" s="38"/>
      <c r="P17" s="38"/>
      <c r="Q17" s="38"/>
      <c r="R17" s="39"/>
      <c r="S17" s="32"/>
      <c r="T17"/>
      <c r="V17" s="66" t="s">
        <v>28</v>
      </c>
      <c r="W17" s="16" t="str">
        <f>IFERROR(VLOOKUP(CLEAN($V17),'All Security Controls'!A:I, 2, FALSE),"---")</f>
        <v xml:space="preserve">Information Flow Enforcement </v>
      </c>
      <c r="X17" s="14" t="str">
        <f>IFERROR(VLOOKUP(CLEAN($V17),'All Security Controls'!$A:$I, 4, FALSE),"---")</f>
        <v>CRWG Yellow Criticality Control</v>
      </c>
      <c r="Y17" s="14" t="str">
        <f>IFERROR(VLOOKUP(CLEAN($V17),'All Security Controls'!$A:$I,5, FALSE),"---")</f>
        <v>Annually</v>
      </c>
      <c r="Z17" s="14" t="str">
        <f>IFERROR(VLOOKUP(CLEAN($V17),'All Security Controls'!$A:$I,6, FALSE),"---")</f>
        <v>Manual</v>
      </c>
      <c r="AA17" s="14" t="str">
        <f>IFERROR(VLOOKUP(CLEAN($V17),'All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7" s="14" t="str">
        <f>IFERROR(VLOOKUP(CLEAN($V17),'All Security Controls'!$A:$I,8, FALSE),"---")</f>
        <v>POA&amp;M</v>
      </c>
      <c r="AC17" s="14" t="str">
        <f>IFERROR(VLOOKUP(CLEAN($V17),'All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7" s="26">
        <v>16</v>
      </c>
    </row>
    <row r="18" spans="1:30" s="10" customFormat="1">
      <c r="A18" s="34"/>
      <c r="B18" s="37"/>
      <c r="C18" s="38"/>
      <c r="D18" s="38"/>
      <c r="E18" s="38"/>
      <c r="F18" s="38"/>
      <c r="G18" s="38"/>
      <c r="H18" s="38"/>
      <c r="I18" s="38"/>
      <c r="J18" s="38"/>
      <c r="K18" s="38"/>
      <c r="L18" s="38"/>
      <c r="M18" s="38"/>
      <c r="N18" s="38"/>
      <c r="O18" s="38"/>
      <c r="P18" s="38"/>
      <c r="Q18" s="38"/>
      <c r="R18" s="39"/>
      <c r="S18" s="32"/>
      <c r="T18"/>
      <c r="V18" s="66" t="s">
        <v>29</v>
      </c>
      <c r="W18" s="16" t="str">
        <f>IFERROR(VLOOKUP(CLEAN($V18),'All Security Controls'!A:I, 2, FALSE),"---")</f>
        <v xml:space="preserve">Separation Of Duties </v>
      </c>
      <c r="X18" s="14" t="str">
        <f>IFERROR(VLOOKUP(CLEAN($V18),'All Security Controls'!$A:$I, 4, FALSE),"---")</f>
        <v>CRWG White Criticality Control</v>
      </c>
      <c r="Y18" s="14" t="str">
        <f>IFERROR(VLOOKUP(CLEAN($V18),'All Security Controls'!$A:$I,5, FALSE),"---")</f>
        <v>Annually</v>
      </c>
      <c r="Z18" s="14" t="str">
        <f>IFERROR(VLOOKUP(CLEAN($V18),'All Security Controls'!$A:$I,6, FALSE),"---")</f>
        <v>Manual</v>
      </c>
      <c r="AA18" s="14" t="str">
        <f>IFERROR(VLOOKUP(CLEAN($V18),'All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8" s="14" t="str">
        <f>IFERROR(VLOOKUP(CLEAN($V18),'All Security Controls'!$A:$I,8, FALSE),"---")</f>
        <v>POA&amp;M</v>
      </c>
      <c r="AC18" s="14" t="str">
        <f>IFERROR(VLOOKUP(CLEAN($V18),'All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8" s="26">
        <v>17</v>
      </c>
    </row>
    <row r="19" spans="1:30" s="10" customFormat="1">
      <c r="A19" s="34"/>
      <c r="B19" s="37"/>
      <c r="C19" s="38"/>
      <c r="D19" s="38"/>
      <c r="E19" s="38"/>
      <c r="F19" s="38"/>
      <c r="G19" s="38"/>
      <c r="H19" s="38"/>
      <c r="I19" s="38"/>
      <c r="J19" s="38"/>
      <c r="K19" s="38"/>
      <c r="L19" s="38"/>
      <c r="M19" s="38"/>
      <c r="N19" s="38"/>
      <c r="O19" s="38"/>
      <c r="P19" s="38"/>
      <c r="Q19" s="38"/>
      <c r="R19" s="39"/>
      <c r="S19" s="32"/>
      <c r="T19"/>
      <c r="V19" s="66" t="s">
        <v>30</v>
      </c>
      <c r="W19" s="16" t="str">
        <f>IFERROR(VLOOKUP(CLEAN($V19),'All Security Controls'!A:I, 2, FALSE),"---")</f>
        <v xml:space="preserve">Least Privilege </v>
      </c>
      <c r="X19" s="14" t="str">
        <f>IFERROR(VLOOKUP(CLEAN($V19),'All Security Controls'!$A:$I, 4, FALSE),"---")</f>
        <v>CRWG White Criticality Control</v>
      </c>
      <c r="Y19" s="14" t="str">
        <f>IFERROR(VLOOKUP(CLEAN($V19),'All Security Controls'!$A:$I,5, FALSE),"---")</f>
        <v>Annually</v>
      </c>
      <c r="Z19" s="14" t="str">
        <f>IFERROR(VLOOKUP(CLEAN($V19),'All Security Controls'!$A:$I,6, FALSE),"---")</f>
        <v>Manual</v>
      </c>
      <c r="AA19" s="14" t="str">
        <f>IFERROR(VLOOKUP(CLEAN($V19),'All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9" s="14" t="str">
        <f>IFERROR(VLOOKUP(CLEAN($V19),'All Security Controls'!$A:$I,8, FALSE),"---")</f>
        <v>POA&amp;M</v>
      </c>
      <c r="AC19" s="14" t="str">
        <f>IFERROR(VLOOKUP(CLEAN($V19),'All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9" s="26">
        <v>18</v>
      </c>
    </row>
    <row r="20" spans="1:30" s="10" customFormat="1">
      <c r="A20" s="34"/>
      <c r="B20" s="37"/>
      <c r="C20" s="38"/>
      <c r="D20" s="38"/>
      <c r="E20" s="38"/>
      <c r="F20" s="38"/>
      <c r="G20" s="38"/>
      <c r="H20" s="38"/>
      <c r="I20" s="38"/>
      <c r="J20" s="38"/>
      <c r="K20" s="38"/>
      <c r="L20" s="38"/>
      <c r="M20" s="38"/>
      <c r="N20" s="38"/>
      <c r="O20" s="38"/>
      <c r="P20" s="38"/>
      <c r="Q20" s="38"/>
      <c r="R20" s="39"/>
      <c r="S20" s="32"/>
      <c r="T20"/>
      <c r="V20" s="66" t="s">
        <v>31</v>
      </c>
      <c r="W20" s="16" t="str">
        <f>IFERROR(VLOOKUP(CLEAN($V20),'All Security Controls'!A:I, 2, FALSE),"---")</f>
        <v>Least Privilege | Authorize Access to Security Functions</v>
      </c>
      <c r="X20" s="14" t="str">
        <f>IFERROR(VLOOKUP(CLEAN($V20),'All Security Controls'!$A:$I, 4, FALSE),"---")</f>
        <v>CRWG Yellow Criticality Control</v>
      </c>
      <c r="Y20" s="14" t="str">
        <f>IFERROR(VLOOKUP(CLEAN($V20),'All Security Controls'!$A:$I,5, FALSE),"---")</f>
        <v>Quarterly</v>
      </c>
      <c r="Z20" s="14" t="str">
        <f>IFERROR(VLOOKUP(CLEAN($V20),'All Security Controls'!$A:$I,6, FALSE),"---")</f>
        <v>Manual</v>
      </c>
      <c r="AA20" s="14" t="str">
        <f>IFERROR(VLOOKUP(CLEAN($V20),'All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0" s="14" t="str">
        <f>IFERROR(VLOOKUP(CLEAN($V20),'All Security Controls'!$A:$I,8, FALSE),"---")</f>
        <v>POA&amp;M</v>
      </c>
      <c r="AC20" s="14" t="str">
        <f>IFERROR(VLOOKUP(CLEAN($V20),'All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0" s="26">
        <v>19</v>
      </c>
    </row>
    <row r="21" spans="1:30" s="10" customFormat="1">
      <c r="A21" s="34"/>
      <c r="B21" s="37"/>
      <c r="C21" s="38"/>
      <c r="D21" s="38"/>
      <c r="E21" s="38"/>
      <c r="F21" s="38"/>
      <c r="G21" s="38"/>
      <c r="H21" s="38"/>
      <c r="I21" s="38"/>
      <c r="J21" s="38"/>
      <c r="K21" s="38"/>
      <c r="L21" s="38"/>
      <c r="M21" s="38"/>
      <c r="N21" s="38"/>
      <c r="O21" s="38"/>
      <c r="P21" s="38"/>
      <c r="Q21" s="38"/>
      <c r="R21" s="39"/>
      <c r="S21" s="32"/>
      <c r="T21"/>
      <c r="V21" s="66" t="s">
        <v>32</v>
      </c>
      <c r="W21" s="16" t="str">
        <f>IFERROR(VLOOKUP(CLEAN($V21),'All Security Controls'!A:I, 2, FALSE),"---")</f>
        <v>Least Privilege | Non-Privileged Access For Non-security Functions</v>
      </c>
      <c r="X21" s="14" t="str">
        <f>IFERROR(VLOOKUP(CLEAN($V21),'All Security Controls'!$A:$I, 4, FALSE),"---")</f>
        <v>CRWG Yellow Criticality Control</v>
      </c>
      <c r="Y21" s="14" t="str">
        <f>IFERROR(VLOOKUP(CLEAN($V21),'All Security Controls'!$A:$I,5, FALSE),"---")</f>
        <v>Quarterly</v>
      </c>
      <c r="Z21" s="14" t="str">
        <f>IFERROR(VLOOKUP(CLEAN($V21),'All Security Controls'!$A:$I,6, FALSE),"---")</f>
        <v>Manual</v>
      </c>
      <c r="AA21" s="14" t="str">
        <f>IFERROR(VLOOKUP(CLEAN($V21),'All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1" s="14" t="str">
        <f>IFERROR(VLOOKUP(CLEAN($V21),'All Security Controls'!$A:$I,8, FALSE),"---")</f>
        <v>POA&amp;M</v>
      </c>
      <c r="AC21" s="14" t="str">
        <f>IFERROR(VLOOKUP(CLEAN($V21),'All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1" s="26">
        <v>20</v>
      </c>
    </row>
    <row r="22" spans="1:30" s="10" customFormat="1">
      <c r="A22" s="34"/>
      <c r="B22" s="37"/>
      <c r="C22" s="38"/>
      <c r="D22" s="38"/>
      <c r="E22" s="38"/>
      <c r="F22" s="38"/>
      <c r="G22" s="38"/>
      <c r="H22" s="38"/>
      <c r="I22" s="38"/>
      <c r="J22" s="38"/>
      <c r="K22" s="38"/>
      <c r="L22" s="38"/>
      <c r="M22" s="38"/>
      <c r="N22" s="38"/>
      <c r="O22" s="38"/>
      <c r="P22" s="38"/>
      <c r="Q22" s="38"/>
      <c r="R22" s="39"/>
      <c r="S22" s="32"/>
      <c r="T22"/>
      <c r="V22" s="66" t="s">
        <v>33</v>
      </c>
      <c r="W22" s="16" t="str">
        <f>IFERROR(VLOOKUP(CLEAN($V22),'All Security Controls'!A:I, 2, FALSE),"---")</f>
        <v>Least Privilege | Network Access to Privileged Commands</v>
      </c>
      <c r="X22" s="14" t="str">
        <f>IFERROR(VLOOKUP(CLEAN($V22),'All Security Controls'!$A:$I, 4, FALSE),"---")</f>
        <v>CRWG Yellow Criticality Control</v>
      </c>
      <c r="Y22" s="14" t="str">
        <f>IFERROR(VLOOKUP(CLEAN($V22),'All Security Controls'!$A:$I,5, FALSE),"---")</f>
        <v>Quarterly</v>
      </c>
      <c r="Z22" s="14" t="str">
        <f>IFERROR(VLOOKUP(CLEAN($V22),'All Security Controls'!$A:$I,6, FALSE),"---")</f>
        <v>Manual</v>
      </c>
      <c r="AA22" s="14" t="str">
        <f>IFERROR(VLOOKUP(CLEAN($V22),'All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2" s="14" t="str">
        <f>IFERROR(VLOOKUP(CLEAN($V22),'All Security Controls'!$A:$I,8, FALSE),"---")</f>
        <v>POA&amp;M</v>
      </c>
      <c r="AC22" s="14" t="str">
        <f>IFERROR(VLOOKUP(CLEAN($V22),'All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2" s="26">
        <v>21</v>
      </c>
    </row>
    <row r="23" spans="1:30" s="10" customFormat="1">
      <c r="A23" s="34"/>
      <c r="B23" s="37"/>
      <c r="C23" s="38"/>
      <c r="D23" s="38"/>
      <c r="E23" s="38"/>
      <c r="F23" s="38"/>
      <c r="G23" s="38"/>
      <c r="H23" s="38"/>
      <c r="I23" s="38"/>
      <c r="J23" s="38"/>
      <c r="K23" s="38"/>
      <c r="L23" s="38"/>
      <c r="M23" s="38"/>
      <c r="N23" s="38"/>
      <c r="O23" s="38"/>
      <c r="P23" s="38"/>
      <c r="Q23" s="38"/>
      <c r="R23" s="39"/>
      <c r="S23" s="32"/>
      <c r="T23"/>
      <c r="V23" s="66" t="s">
        <v>34</v>
      </c>
      <c r="W23" s="16" t="str">
        <f>IFERROR(VLOOKUP(CLEAN($V23),'All Security Controls'!A:I, 2, FALSE),"---")</f>
        <v>Least Privilege | Privileged Accounts</v>
      </c>
      <c r="X23" s="14" t="str">
        <f>IFERROR(VLOOKUP(CLEAN($V23),'All Security Controls'!$A:$I, 4, FALSE),"---")</f>
        <v>CRWG Yellow Criticality Control</v>
      </c>
      <c r="Y23" s="14" t="str">
        <f>IFERROR(VLOOKUP(CLEAN($V23),'All Security Controls'!$A:$I,5, FALSE),"---")</f>
        <v>Quarterly</v>
      </c>
      <c r="Z23" s="14" t="str">
        <f>IFERROR(VLOOKUP(CLEAN($V23),'All Security Controls'!$A:$I,6, FALSE),"---")</f>
        <v>Manual</v>
      </c>
      <c r="AA23" s="14" t="str">
        <f>IFERROR(VLOOKUP(CLEAN($V23),'All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3" s="14" t="str">
        <f>IFERROR(VLOOKUP(CLEAN($V23),'All Security Controls'!$A:$I,8, FALSE),"---")</f>
        <v>POA&amp;M</v>
      </c>
      <c r="AC23" s="14" t="str">
        <f>IFERROR(VLOOKUP(CLEAN($V23),'All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3" s="26">
        <v>22</v>
      </c>
    </row>
    <row r="24" spans="1:30" s="10" customFormat="1">
      <c r="A24" s="34"/>
      <c r="B24" s="37"/>
      <c r="C24" s="38"/>
      <c r="D24" s="38"/>
      <c r="E24" s="38"/>
      <c r="F24" s="38"/>
      <c r="G24" s="38"/>
      <c r="H24" s="38"/>
      <c r="I24" s="38"/>
      <c r="J24" s="38"/>
      <c r="K24" s="38"/>
      <c r="L24" s="38"/>
      <c r="M24" s="38"/>
      <c r="N24" s="38"/>
      <c r="O24" s="38"/>
      <c r="P24" s="38"/>
      <c r="Q24" s="38"/>
      <c r="R24" s="39"/>
      <c r="S24" s="32"/>
      <c r="T24"/>
      <c r="V24" s="66" t="s">
        <v>35</v>
      </c>
      <c r="W24" s="16" t="str">
        <f>IFERROR(VLOOKUP(CLEAN($V24),'All Security Controls'!A:I, 2, FALSE),"---")</f>
        <v>Least Privilege | Review of User Privileges</v>
      </c>
      <c r="X24" s="14" t="str">
        <f>IFERROR(VLOOKUP(CLEAN($V24),'All Security Controls'!$A:$I, 4, FALSE),"---")</f>
        <v>CRWG Yellow Criticality Control</v>
      </c>
      <c r="Y24" s="14" t="str">
        <f>IFERROR(VLOOKUP(CLEAN($V24),'All Security Controls'!$A:$I,5, FALSE),"---")</f>
        <v>Quarterly</v>
      </c>
      <c r="Z24" s="14" t="str">
        <f>IFERROR(VLOOKUP(CLEAN($V24),'All Security Controls'!$A:$I,6, FALSE),"---")</f>
        <v>Manual</v>
      </c>
      <c r="AA24" s="14" t="str">
        <f>IFERROR(VLOOKUP(CLEAN($V24),'All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4" s="14" t="str">
        <f>IFERROR(VLOOKUP(CLEAN($V24),'All Security Controls'!$A:$I,8, FALSE),"---")</f>
        <v>POA&amp;M</v>
      </c>
      <c r="AC24" s="14" t="str">
        <f>IFERROR(VLOOKUP(CLEAN($V24),'All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4" s="26">
        <v>23</v>
      </c>
    </row>
    <row r="25" spans="1:30" s="10" customFormat="1">
      <c r="A25" s="34"/>
      <c r="B25" s="37"/>
      <c r="C25" s="38"/>
      <c r="D25" s="38"/>
      <c r="E25" s="38"/>
      <c r="F25" s="38"/>
      <c r="G25" s="38"/>
      <c r="H25" s="38"/>
      <c r="I25" s="38"/>
      <c r="J25" s="38"/>
      <c r="K25" s="38"/>
      <c r="L25" s="38"/>
      <c r="M25" s="38"/>
      <c r="N25" s="38"/>
      <c r="O25" s="38"/>
      <c r="P25" s="38"/>
      <c r="Q25" s="38"/>
      <c r="R25" s="39"/>
      <c r="S25" s="32"/>
      <c r="T25"/>
      <c r="V25" s="66" t="s">
        <v>36</v>
      </c>
      <c r="W25" s="16" t="str">
        <f>IFERROR(VLOOKUP(CLEAN($V25),'All Security Controls'!A:I, 2, FALSE),"---")</f>
        <v>Least Privilege | Privilege Levels for Code Execution</v>
      </c>
      <c r="X25" s="14" t="str">
        <f>IFERROR(VLOOKUP(CLEAN($V25),'All Security Controls'!$A:$I, 4, FALSE),"---")</f>
        <v>CRWG Yellow Criticality Control</v>
      </c>
      <c r="Y25" s="14" t="str">
        <f>IFERROR(VLOOKUP(CLEAN($V25),'All Security Controls'!$A:$I,5, FALSE),"---")</f>
        <v>Quarterly</v>
      </c>
      <c r="Z25" s="14" t="str">
        <f>IFERROR(VLOOKUP(CLEAN($V25),'All Security Controls'!$A:$I,6, FALSE),"---")</f>
        <v>Manual</v>
      </c>
      <c r="AA25" s="14" t="str">
        <f>IFERROR(VLOOKUP(CLEAN($V25),'All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5" s="14" t="str">
        <f>IFERROR(VLOOKUP(CLEAN($V25),'All Security Controls'!$A:$I,8, FALSE),"---")</f>
        <v>POA&amp;M</v>
      </c>
      <c r="AC25" s="14" t="str">
        <f>IFERROR(VLOOKUP(CLEAN($V25),'All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5" s="26">
        <v>24</v>
      </c>
    </row>
    <row r="26" spans="1:30" s="10" customFormat="1">
      <c r="A26" s="34"/>
      <c r="B26" s="37"/>
      <c r="C26" s="38"/>
      <c r="D26" s="38"/>
      <c r="E26" s="38"/>
      <c r="F26" s="38"/>
      <c r="G26" s="38"/>
      <c r="H26" s="38"/>
      <c r="I26" s="38"/>
      <c r="J26" s="38"/>
      <c r="K26" s="38"/>
      <c r="L26" s="38"/>
      <c r="M26" s="38"/>
      <c r="N26" s="38"/>
      <c r="O26" s="38"/>
      <c r="P26" s="38"/>
      <c r="Q26" s="38"/>
      <c r="R26" s="39"/>
      <c r="S26" s="32"/>
      <c r="T26"/>
      <c r="V26" s="66" t="s">
        <v>37</v>
      </c>
      <c r="W26" s="16" t="str">
        <f>IFERROR(VLOOKUP(CLEAN($V26),'All Security Controls'!A:I, 2, FALSE),"---")</f>
        <v>Least Privilege | Auditing Use of Privileged Functions</v>
      </c>
      <c r="X26" s="14" t="str">
        <f>IFERROR(VLOOKUP(CLEAN($V26),'All Security Controls'!$A:$I, 4, FALSE),"---")</f>
        <v>CRWG White Criticality Control</v>
      </c>
      <c r="Y26" s="14" t="str">
        <f>IFERROR(VLOOKUP(CLEAN($V26),'All Security Controls'!$A:$I,5, FALSE),"---")</f>
        <v>Annually</v>
      </c>
      <c r="Z26" s="14" t="str">
        <f>IFERROR(VLOOKUP(CLEAN($V26),'All Security Controls'!$A:$I,6, FALSE),"---")</f>
        <v>Manual</v>
      </c>
      <c r="AA26" s="14" t="str">
        <f>IFERROR(VLOOKUP(CLEAN($V26),'All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6" s="14" t="str">
        <f>IFERROR(VLOOKUP(CLEAN($V26),'All Security Controls'!$A:$I,8, FALSE),"---")</f>
        <v>POA&amp;M</v>
      </c>
      <c r="AC26" s="14" t="str">
        <f>IFERROR(VLOOKUP(CLEAN($V26),'All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6" s="26">
        <v>25</v>
      </c>
    </row>
    <row r="27" spans="1:30" s="10" customFormat="1">
      <c r="A27" s="34"/>
      <c r="B27" s="37"/>
      <c r="C27" s="38"/>
      <c r="D27" s="38"/>
      <c r="E27" s="38"/>
      <c r="F27" s="38"/>
      <c r="G27" s="38"/>
      <c r="H27" s="38"/>
      <c r="I27" s="38"/>
      <c r="J27" s="38"/>
      <c r="K27" s="38"/>
      <c r="L27" s="38"/>
      <c r="M27" s="38"/>
      <c r="N27" s="38"/>
      <c r="O27" s="38"/>
      <c r="P27" s="38"/>
      <c r="Q27" s="38"/>
      <c r="R27" s="39"/>
      <c r="S27" s="32"/>
      <c r="T27"/>
      <c r="V27" s="66" t="s">
        <v>38</v>
      </c>
      <c r="W27" s="16" t="str">
        <f>IFERROR(VLOOKUP(CLEAN($V27),'All Security Controls'!A:I, 2, FALSE),"---")</f>
        <v>Least Privilege | Prohibit Non-privileged Users from Executing Privileged Functions</v>
      </c>
      <c r="X27" s="14" t="str">
        <f>IFERROR(VLOOKUP(CLEAN($V27),'All Security Controls'!$A:$I, 4, FALSE),"---")</f>
        <v>CRWG Yellow Criticality Control</v>
      </c>
      <c r="Y27" s="14" t="str">
        <f>IFERROR(VLOOKUP(CLEAN($V27),'All Security Controls'!$A:$I,5, FALSE),"---")</f>
        <v>Monthly</v>
      </c>
      <c r="Z27" s="14" t="str">
        <f>IFERROR(VLOOKUP(CLEAN($V27),'All Security Controls'!$A:$I,6, FALSE),"---")</f>
        <v>Manual</v>
      </c>
      <c r="AA27" s="14" t="str">
        <f>IFERROR(VLOOKUP(CLEAN($V27),'All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7" s="14" t="str">
        <f>IFERROR(VLOOKUP(CLEAN($V27),'All Security Controls'!$A:$I,8, FALSE),"---")</f>
        <v>POA&amp;M</v>
      </c>
      <c r="AC27" s="14" t="str">
        <f>IFERROR(VLOOKUP(CLEAN($V27),'All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7" s="26">
        <v>26</v>
      </c>
    </row>
    <row r="28" spans="1:30" s="10" customFormat="1">
      <c r="A28" s="34"/>
      <c r="B28" s="37"/>
      <c r="C28" s="38"/>
      <c r="D28" s="38"/>
      <c r="E28" s="38"/>
      <c r="F28" s="38"/>
      <c r="G28" s="38"/>
      <c r="H28" s="38"/>
      <c r="I28" s="38"/>
      <c r="J28" s="38"/>
      <c r="K28" s="38"/>
      <c r="L28" s="38"/>
      <c r="M28" s="38"/>
      <c r="N28" s="38"/>
      <c r="O28" s="38"/>
      <c r="P28" s="38"/>
      <c r="Q28" s="38"/>
      <c r="R28" s="39"/>
      <c r="S28" s="32"/>
      <c r="T28"/>
      <c r="V28" s="66" t="s">
        <v>39</v>
      </c>
      <c r="W28" s="16" t="str">
        <f>IFERROR(VLOOKUP(CLEAN($V28),'All Security Controls'!A:I, 2, FALSE),"---")</f>
        <v>Unsuccessful Login Attempts</v>
      </c>
      <c r="X28" s="14" t="str">
        <f>IFERROR(VLOOKUP(CLEAN($V28),'All Security Controls'!$A:$I, 4, FALSE),"---")</f>
        <v>CRWG Yellow Criticality Control</v>
      </c>
      <c r="Y28" s="14" t="str">
        <f>IFERROR(VLOOKUP(CLEAN($V28),'All Security Controls'!$A:$I,5, FALSE),"---")</f>
        <v>Constantly</v>
      </c>
      <c r="Z28" s="14" t="str">
        <f>IFERROR(VLOOKUP(CLEAN($V28),'All Security Controls'!$A:$I,6, FALSE),"---")</f>
        <v>Automated</v>
      </c>
      <c r="AA28" s="14" t="str">
        <f>IFERROR(VLOOKUP(CLEAN($V28),'All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8" s="14" t="str">
        <f>IFERROR(VLOOKUP(CLEAN($V28),'All Security Controls'!$A:$I,8, FALSE),"---")</f>
        <v>Enterprise Logging Tool</v>
      </c>
      <c r="AC28" s="14" t="str">
        <f>IFERROR(VLOOKUP(CLEAN($V28),'All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8" s="26">
        <v>27</v>
      </c>
    </row>
    <row r="29" spans="1:30" s="10" customFormat="1">
      <c r="A29" s="34"/>
      <c r="B29" s="37"/>
      <c r="C29" s="38"/>
      <c r="D29" s="38"/>
      <c r="E29" s="38"/>
      <c r="F29" s="38"/>
      <c r="G29" s="38"/>
      <c r="H29" s="38"/>
      <c r="I29" s="38"/>
      <c r="J29" s="38"/>
      <c r="K29" s="38"/>
      <c r="L29" s="38"/>
      <c r="M29" s="38"/>
      <c r="N29" s="38"/>
      <c r="O29" s="38"/>
      <c r="P29" s="38"/>
      <c r="Q29" s="38"/>
      <c r="R29" s="39"/>
      <c r="S29" s="32"/>
      <c r="T29"/>
      <c r="V29" s="66" t="s">
        <v>40</v>
      </c>
      <c r="W29" s="16" t="str">
        <f>IFERROR(VLOOKUP(CLEAN($V29),'All Security Controls'!A:I, 2, FALSE),"---")</f>
        <v xml:space="preserve">System Use Notification </v>
      </c>
      <c r="X29" s="14" t="str">
        <f>IFERROR(VLOOKUP(CLEAN($V29),'All Security Controls'!$A:$I, 4, FALSE),"---")</f>
        <v>CRWG White Criticality Control</v>
      </c>
      <c r="Y29" s="14" t="str">
        <f>IFERROR(VLOOKUP(CLEAN($V29),'All Security Controls'!$A:$I,5, FALSE),"---")</f>
        <v>Annually</v>
      </c>
      <c r="Z29" s="14" t="str">
        <f>IFERROR(VLOOKUP(CLEAN($V29),'All Security Controls'!$A:$I,6, FALSE),"---")</f>
        <v>Manual</v>
      </c>
      <c r="AA29" s="14" t="str">
        <f>IFERROR(VLOOKUP(CLEAN($V29),'All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9" s="14" t="str">
        <f>IFERROR(VLOOKUP(CLEAN($V29),'All Security Controls'!$A:$I,8, FALSE),"---")</f>
        <v>POA&amp;M</v>
      </c>
      <c r="AC29" s="14" t="str">
        <f>IFERROR(VLOOKUP(CLEAN($V29),'All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9" s="26">
        <v>28</v>
      </c>
    </row>
    <row r="30" spans="1:30" s="10" customFormat="1">
      <c r="A30" s="34"/>
      <c r="B30" s="37"/>
      <c r="C30" s="38"/>
      <c r="D30" s="38"/>
      <c r="E30" s="38"/>
      <c r="F30" s="38"/>
      <c r="G30" s="38"/>
      <c r="H30" s="38"/>
      <c r="I30" s="38"/>
      <c r="J30" s="38"/>
      <c r="K30" s="38"/>
      <c r="L30" s="38"/>
      <c r="M30" s="38"/>
      <c r="N30" s="38"/>
      <c r="O30" s="38"/>
      <c r="P30" s="38"/>
      <c r="Q30" s="38"/>
      <c r="R30" s="39"/>
      <c r="S30" s="32"/>
      <c r="T30"/>
      <c r="V30" s="66" t="s">
        <v>41</v>
      </c>
      <c r="W30" s="16" t="str">
        <f>IFERROR(VLOOKUP(CLEAN($V30),'All Security Controls'!A:I, 2, FALSE),"---")</f>
        <v>---</v>
      </c>
      <c r="X30" s="14" t="str">
        <f>IFERROR(VLOOKUP(CLEAN($V30),'All Security Controls'!$A:$I, 4, FALSE),"---")</f>
        <v>---</v>
      </c>
      <c r="Y30" s="14" t="str">
        <f>IFERROR(VLOOKUP(CLEAN($V30),'All Security Controls'!$A:$I,5, FALSE),"---")</f>
        <v>---</v>
      </c>
      <c r="Z30" s="14" t="str">
        <f>IFERROR(VLOOKUP(CLEAN($V30),'All Security Controls'!$A:$I,6, FALSE),"---")</f>
        <v>---</v>
      </c>
      <c r="AA30" s="14" t="str">
        <f>IFERROR(VLOOKUP(CLEAN($V30),'All Security Controls'!$A:$I,7, FALSE),"---")</f>
        <v>---</v>
      </c>
      <c r="AB30" s="14" t="str">
        <f>IFERROR(VLOOKUP(CLEAN($V30),'All Security Controls'!$A:$I,8, FALSE),"---")</f>
        <v>---</v>
      </c>
      <c r="AC30" s="14" t="str">
        <f>IFERROR(VLOOKUP(CLEAN($V30),'All Security Controls'!$A:$I,9, FALSE),"---")</f>
        <v>---</v>
      </c>
      <c r="AD30" s="26">
        <v>29</v>
      </c>
    </row>
    <row r="31" spans="1:30" s="10" customFormat="1">
      <c r="A31" s="34"/>
      <c r="B31" s="37"/>
      <c r="C31" s="38"/>
      <c r="D31" s="38"/>
      <c r="E31" s="38"/>
      <c r="F31" s="38"/>
      <c r="G31" s="38"/>
      <c r="H31" s="38"/>
      <c r="I31" s="38"/>
      <c r="J31" s="38"/>
      <c r="K31" s="38"/>
      <c r="L31" s="38"/>
      <c r="M31" s="38"/>
      <c r="N31" s="38"/>
      <c r="O31" s="38"/>
      <c r="P31" s="38"/>
      <c r="Q31" s="38"/>
      <c r="R31" s="39"/>
      <c r="S31" s="32"/>
      <c r="T31"/>
      <c r="V31" s="66" t="s">
        <v>42</v>
      </c>
      <c r="W31" s="16" t="str">
        <f>IFERROR(VLOOKUP(CLEAN($V31),'All Security Controls'!A:I, 2, FALSE),"---")</f>
        <v xml:space="preserve">Concurrent Session Control </v>
      </c>
      <c r="X31" s="14" t="str">
        <f>IFERROR(VLOOKUP(CLEAN($V31),'All Security Controls'!$A:$I, 4, FALSE),"---")</f>
        <v>CRWG White Criticality Control</v>
      </c>
      <c r="Y31" s="14" t="str">
        <f>IFERROR(VLOOKUP(CLEAN($V31),'All Security Controls'!$A:$I,5, FALSE),"---")</f>
        <v>Annually</v>
      </c>
      <c r="Z31" s="14" t="str">
        <f>IFERROR(VLOOKUP(CLEAN($V31),'All Security Controls'!$A:$I,6, FALSE),"---")</f>
        <v>Manual</v>
      </c>
      <c r="AA31" s="14" t="str">
        <f>IFERROR(VLOOKUP(CLEAN($V31),'All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1" s="14" t="str">
        <f>IFERROR(VLOOKUP(CLEAN($V31),'All Security Controls'!$A:$I,8, FALSE),"---")</f>
        <v>POA&amp;M</v>
      </c>
      <c r="AC31" s="14" t="str">
        <f>IFERROR(VLOOKUP(CLEAN($V31),'All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1" s="26">
        <v>30</v>
      </c>
    </row>
    <row r="32" spans="1:30" s="10" customFormat="1">
      <c r="A32" s="34"/>
      <c r="B32" s="37"/>
      <c r="C32" s="38"/>
      <c r="D32" s="38"/>
      <c r="E32" s="38"/>
      <c r="F32" s="38"/>
      <c r="G32" s="38"/>
      <c r="H32" s="38"/>
      <c r="I32" s="38"/>
      <c r="J32" s="38"/>
      <c r="K32" s="38"/>
      <c r="L32" s="38"/>
      <c r="M32" s="38"/>
      <c r="N32" s="38"/>
      <c r="O32" s="38"/>
      <c r="P32" s="38"/>
      <c r="Q32" s="38"/>
      <c r="R32" s="39"/>
      <c r="S32" s="32"/>
      <c r="T32"/>
      <c r="V32" s="66" t="s">
        <v>43</v>
      </c>
      <c r="W32" s="16" t="str">
        <f>IFERROR(VLOOKUP(CLEAN($V32),'All Security Controls'!A:I, 2, FALSE),"---")</f>
        <v xml:space="preserve">Session Lock </v>
      </c>
      <c r="X32" s="14" t="str">
        <f>IFERROR(VLOOKUP(CLEAN($V32),'All Security Controls'!$A:$I, 4, FALSE),"---")</f>
        <v>CRWG White Criticality Control</v>
      </c>
      <c r="Y32" s="14" t="str">
        <f>IFERROR(VLOOKUP(CLEAN($V32),'All Security Controls'!$A:$I,5, FALSE),"---")</f>
        <v>Annually</v>
      </c>
      <c r="Z32" s="14" t="str">
        <f>IFERROR(VLOOKUP(CLEAN($V32),'All Security Controls'!$A:$I,6, FALSE),"---")</f>
        <v>Manual</v>
      </c>
      <c r="AA32" s="14" t="str">
        <f>IFERROR(VLOOKUP(CLEAN($V32),'All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2" s="14" t="str">
        <f>IFERROR(VLOOKUP(CLEAN($V32),'All Security Controls'!$A:$I,8, FALSE),"---")</f>
        <v>POA&amp;M</v>
      </c>
      <c r="AC32" s="14" t="str">
        <f>IFERROR(VLOOKUP(CLEAN($V32),'All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2" s="26">
        <v>31</v>
      </c>
    </row>
    <row r="33" spans="1:30" s="10" customFormat="1">
      <c r="A33" s="34"/>
      <c r="B33" s="37"/>
      <c r="C33" s="46" t="s">
        <v>44</v>
      </c>
      <c r="D33" s="47"/>
      <c r="E33" s="47"/>
      <c r="F33" s="47"/>
      <c r="G33" s="47"/>
      <c r="H33" s="47"/>
      <c r="I33" s="47"/>
      <c r="J33" s="47"/>
      <c r="K33" s="47"/>
      <c r="L33" s="47"/>
      <c r="M33" s="48"/>
      <c r="N33" s="38"/>
      <c r="O33" s="38"/>
      <c r="P33" s="38"/>
      <c r="Q33" s="38"/>
      <c r="R33" s="39"/>
      <c r="S33" s="32"/>
      <c r="T33"/>
      <c r="V33" s="66" t="s">
        <v>45</v>
      </c>
      <c r="W33" s="16" t="str">
        <f>IFERROR(VLOOKUP(CLEAN($V33),'All Security Controls'!A:I, 2, FALSE),"---")</f>
        <v>Session Lock | Pattern-Hiding Displays</v>
      </c>
      <c r="X33" s="14" t="str">
        <f>IFERROR(VLOOKUP(CLEAN($V33),'All Security Controls'!$A:$I, 4, FALSE),"---")</f>
        <v>CRWG White Criticality Control</v>
      </c>
      <c r="Y33" s="14" t="str">
        <f>IFERROR(VLOOKUP(CLEAN($V33),'All Security Controls'!$A:$I,5, FALSE),"---")</f>
        <v>Annually</v>
      </c>
      <c r="Z33" s="14" t="str">
        <f>IFERROR(VLOOKUP(CLEAN($V33),'All Security Controls'!$A:$I,6, FALSE),"---")</f>
        <v>Manual</v>
      </c>
      <c r="AA33" s="14" t="str">
        <f>IFERROR(VLOOKUP(CLEAN($V33),'All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3" s="14" t="str">
        <f>IFERROR(VLOOKUP(CLEAN($V33),'All Security Controls'!$A:$I,8, FALSE),"---")</f>
        <v>POA&amp;M</v>
      </c>
      <c r="AC33" s="14" t="str">
        <f>IFERROR(VLOOKUP(CLEAN($V33),'All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3" s="26">
        <v>32</v>
      </c>
    </row>
    <row r="34" spans="1:30" s="10" customFormat="1">
      <c r="A34" s="34"/>
      <c r="B34" s="37"/>
      <c r="C34" s="49"/>
      <c r="D34" s="50"/>
      <c r="E34" s="50"/>
      <c r="F34" s="50"/>
      <c r="G34" s="50"/>
      <c r="H34" s="50"/>
      <c r="I34" s="50"/>
      <c r="J34" s="50"/>
      <c r="K34" s="50"/>
      <c r="L34" s="50"/>
      <c r="M34" s="51"/>
      <c r="N34" s="38"/>
      <c r="O34" s="38"/>
      <c r="P34" s="38"/>
      <c r="Q34" s="38"/>
      <c r="R34" s="39"/>
      <c r="S34" s="32"/>
      <c r="T34"/>
      <c r="V34" s="66" t="s">
        <v>46</v>
      </c>
      <c r="W34" s="16" t="str">
        <f>IFERROR(VLOOKUP(CLEAN($V34),'All Security Controls'!A:I, 2, FALSE),"---")</f>
        <v xml:space="preserve">Session Termination </v>
      </c>
      <c r="X34" s="14" t="str">
        <f>IFERROR(VLOOKUP(CLEAN($V34),'All Security Controls'!$A:$I, 4, FALSE),"---")</f>
        <v>CRWG Yellow Criticality Control</v>
      </c>
      <c r="Y34" s="14" t="str">
        <f>IFERROR(VLOOKUP(CLEAN($V34),'All Security Controls'!$A:$I,5, FALSE),"---")</f>
        <v>Annually</v>
      </c>
      <c r="Z34" s="14" t="str">
        <f>IFERROR(VLOOKUP(CLEAN($V34),'All Security Controls'!$A:$I,6, FALSE),"---")</f>
        <v>Manual</v>
      </c>
      <c r="AA34" s="14" t="str">
        <f>IFERROR(VLOOKUP(CLEAN($V34),'All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4" s="14" t="str">
        <f>IFERROR(VLOOKUP(CLEAN($V34),'All Security Controls'!$A:$I,8, FALSE),"---")</f>
        <v>POA&amp;M</v>
      </c>
      <c r="AC34" s="14" t="str">
        <f>IFERROR(VLOOKUP(CLEAN($V34),'All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4" s="26">
        <v>33</v>
      </c>
    </row>
    <row r="35" spans="1:30" s="10" customFormat="1">
      <c r="A35" s="34"/>
      <c r="B35" s="37"/>
      <c r="C35" s="52"/>
      <c r="D35" s="53"/>
      <c r="E35" s="53"/>
      <c r="F35" s="53"/>
      <c r="G35" s="53"/>
      <c r="H35" s="53"/>
      <c r="I35" s="53"/>
      <c r="J35" s="53"/>
      <c r="K35" s="53"/>
      <c r="L35" s="53"/>
      <c r="M35" s="54"/>
      <c r="N35" s="38"/>
      <c r="O35" s="38"/>
      <c r="P35" s="38"/>
      <c r="Q35" s="38"/>
      <c r="R35" s="39"/>
      <c r="S35" s="32"/>
      <c r="T35"/>
      <c r="V35" s="66" t="s">
        <v>47</v>
      </c>
      <c r="W35" s="16" t="str">
        <f>IFERROR(VLOOKUP(CLEAN($V35),'All Security Controls'!A:I, 2, FALSE),"---")</f>
        <v xml:space="preserve">Session Termination |User-Initiated Logouts/ Message Displays </v>
      </c>
      <c r="X35" s="14" t="str">
        <f>IFERROR(VLOOKUP(CLEAN($V35),'All Security Controls'!$A:$I, 4, FALSE),"---")</f>
        <v>CRWG Yellow Criticality Control</v>
      </c>
      <c r="Y35" s="14" t="str">
        <f>IFERROR(VLOOKUP(CLEAN($V35),'All Security Controls'!$A:$I,5, FALSE),"---")</f>
        <v>Annually</v>
      </c>
      <c r="Z35" s="14" t="str">
        <f>IFERROR(VLOOKUP(CLEAN($V35),'All Security Controls'!$A:$I,6, FALSE),"---")</f>
        <v>Manual</v>
      </c>
      <c r="AA35" s="14" t="str">
        <f>IFERROR(VLOOKUP(CLEAN($V35),'All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5" s="14" t="str">
        <f>IFERROR(VLOOKUP(CLEAN($V35),'All Security Controls'!$A:$I,8, FALSE),"---")</f>
        <v>POA&amp;M</v>
      </c>
      <c r="AC35" s="14" t="str">
        <f>IFERROR(VLOOKUP(CLEAN($V35),'All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5" s="26">
        <v>34</v>
      </c>
    </row>
    <row r="36" spans="1:30" s="10" customFormat="1">
      <c r="A36" s="34"/>
      <c r="B36" s="37"/>
      <c r="C36" s="38"/>
      <c r="D36" s="38"/>
      <c r="E36" s="38"/>
      <c r="F36" s="38"/>
      <c r="G36" s="38"/>
      <c r="H36" s="38"/>
      <c r="I36" s="38"/>
      <c r="J36" s="38"/>
      <c r="K36" s="38"/>
      <c r="L36" s="38"/>
      <c r="M36" s="38"/>
      <c r="N36" s="38"/>
      <c r="O36" s="38"/>
      <c r="P36" s="38"/>
      <c r="Q36" s="38"/>
      <c r="R36" s="39"/>
      <c r="S36" s="32"/>
      <c r="T36"/>
      <c r="V36" s="66" t="s">
        <v>48</v>
      </c>
      <c r="W36" s="16" t="str">
        <f>IFERROR(VLOOKUP(CLEAN($V36),'All Security Controls'!A:I, 2, FALSE),"---")</f>
        <v xml:space="preserve">Permitted Actions Without Identification Or Authentication </v>
      </c>
      <c r="X36" s="14" t="str">
        <f>IFERROR(VLOOKUP(CLEAN($V36),'All Security Controls'!$A:$I, 4, FALSE),"---")</f>
        <v>CRWG White Criticality Control</v>
      </c>
      <c r="Y36" s="14" t="str">
        <f>IFERROR(VLOOKUP(CLEAN($V36),'All Security Controls'!$A:$I,5, FALSE),"---")</f>
        <v>Annually</v>
      </c>
      <c r="Z36" s="14" t="str">
        <f>IFERROR(VLOOKUP(CLEAN($V36),'All Security Controls'!$A:$I,6, FALSE),"---")</f>
        <v>Manual</v>
      </c>
      <c r="AA36" s="14" t="str">
        <f>IFERROR(VLOOKUP(CLEAN($V36),'All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6" s="14" t="str">
        <f>IFERROR(VLOOKUP(CLEAN($V36),'All Security Controls'!$A:$I,8, FALSE),"---")</f>
        <v>POA&amp;M</v>
      </c>
      <c r="AC36" s="14" t="str">
        <f>IFERROR(VLOOKUP(CLEAN($V36),'All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6" s="26">
        <v>35</v>
      </c>
    </row>
    <row r="37" spans="1:30" s="10" customFormat="1" ht="15" customHeight="1">
      <c r="A37" s="34"/>
      <c r="B37" s="37"/>
      <c r="C37" s="46" t="s">
        <v>49</v>
      </c>
      <c r="D37" s="47"/>
      <c r="E37" s="47"/>
      <c r="F37" s="47"/>
      <c r="G37" s="47"/>
      <c r="H37" s="47"/>
      <c r="I37" s="47"/>
      <c r="J37" s="47"/>
      <c r="K37" s="47"/>
      <c r="L37" s="47"/>
      <c r="M37" s="48"/>
      <c r="N37" s="38"/>
      <c r="O37" s="38"/>
      <c r="P37" s="38"/>
      <c r="Q37" s="38"/>
      <c r="R37" s="39"/>
      <c r="S37" s="32"/>
      <c r="T37"/>
      <c r="V37" s="66" t="s">
        <v>50</v>
      </c>
      <c r="W37" s="16" t="str">
        <f>IFERROR(VLOOKUP(CLEAN($V37),'All Security Controls'!A:I, 2, FALSE),"---")</f>
        <v xml:space="preserve">Security Attributes </v>
      </c>
      <c r="X37" s="14" t="str">
        <f>IFERROR(VLOOKUP(CLEAN($V37),'All Security Controls'!$A:$I, 4, FALSE),"---")</f>
        <v>CRWG White Criticality Control</v>
      </c>
      <c r="Y37" s="14" t="str">
        <f>IFERROR(VLOOKUP(CLEAN($V37),'All Security Controls'!$A:$I,5, FALSE),"---")</f>
        <v>Annually</v>
      </c>
      <c r="Z37" s="14" t="str">
        <f>IFERROR(VLOOKUP(CLEAN($V37),'All Security Controls'!$A:$I,6, FALSE),"---")</f>
        <v>Manual</v>
      </c>
      <c r="AA37" s="14" t="str">
        <f>IFERROR(VLOOKUP(CLEAN($V37),'All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7" s="14" t="str">
        <f>IFERROR(VLOOKUP(CLEAN($V37),'All Security Controls'!$A:$I,8, FALSE),"---")</f>
        <v>POA&amp;M</v>
      </c>
      <c r="AC37" s="14" t="str">
        <f>IFERROR(VLOOKUP(CLEAN($V37),'All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7" s="26">
        <v>36</v>
      </c>
    </row>
    <row r="38" spans="1:30" s="10" customFormat="1" ht="15" customHeight="1">
      <c r="A38" s="34"/>
      <c r="B38" s="37"/>
      <c r="C38" s="49"/>
      <c r="D38" s="50"/>
      <c r="E38" s="50"/>
      <c r="F38" s="50"/>
      <c r="G38" s="50"/>
      <c r="H38" s="50"/>
      <c r="I38" s="50"/>
      <c r="J38" s="50"/>
      <c r="K38" s="50"/>
      <c r="L38" s="50"/>
      <c r="M38" s="51"/>
      <c r="N38" s="38"/>
      <c r="O38" s="38"/>
      <c r="P38" s="38"/>
      <c r="Q38" s="38"/>
      <c r="R38" s="39"/>
      <c r="S38" s="32"/>
      <c r="T38"/>
      <c r="V38" s="66" t="s">
        <v>51</v>
      </c>
      <c r="W38" s="16" t="str">
        <f>IFERROR(VLOOKUP(CLEAN($V38),'All Security Controls'!A:I, 2, FALSE),"---")</f>
        <v>Security Attributes | Maintenance of Attribute Associations by Information System</v>
      </c>
      <c r="X38" s="14" t="str">
        <f>IFERROR(VLOOKUP(CLEAN($V38),'All Security Controls'!$A:$I, 4, FALSE),"---")</f>
        <v>CRWG White Criticality Control</v>
      </c>
      <c r="Y38" s="14" t="str">
        <f>IFERROR(VLOOKUP(CLEAN($V38),'All Security Controls'!$A:$I,5, FALSE),"---")</f>
        <v>Annually</v>
      </c>
      <c r="Z38" s="14" t="str">
        <f>IFERROR(VLOOKUP(CLEAN($V38),'All Security Controls'!$A:$I,6, FALSE),"---")</f>
        <v>Manual</v>
      </c>
      <c r="AA38" s="14" t="str">
        <f>IFERROR(VLOOKUP(CLEAN($V38),'All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8" s="14" t="str">
        <f>IFERROR(VLOOKUP(CLEAN($V38),'All Security Controls'!$A:$I,8, FALSE),"---")</f>
        <v>POA&amp;M</v>
      </c>
      <c r="AC38" s="14" t="str">
        <f>IFERROR(VLOOKUP(CLEAN($V38),'All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8" s="26">
        <v>37</v>
      </c>
    </row>
    <row r="39" spans="1:30" s="10" customFormat="1">
      <c r="A39" s="34"/>
      <c r="B39" s="37"/>
      <c r="C39" s="52"/>
      <c r="D39" s="53"/>
      <c r="E39" s="53"/>
      <c r="F39" s="53"/>
      <c r="G39" s="53"/>
      <c r="H39" s="53"/>
      <c r="I39" s="53"/>
      <c r="J39" s="53"/>
      <c r="K39" s="53"/>
      <c r="L39" s="53"/>
      <c r="M39" s="54"/>
      <c r="N39" s="38"/>
      <c r="O39" s="38"/>
      <c r="P39" s="38"/>
      <c r="Q39" s="38"/>
      <c r="R39" s="39"/>
      <c r="S39" s="32"/>
      <c r="T39"/>
      <c r="V39" s="66" t="s">
        <v>52</v>
      </c>
      <c r="W39" s="16" t="str">
        <f>IFERROR(VLOOKUP(CLEAN($V39),'All Security Controls'!A:I, 2, FALSE),"---")</f>
        <v>Security Attributes | Maintenance of Attribute Associations by Organization</v>
      </c>
      <c r="X39" s="14" t="str">
        <f>IFERROR(VLOOKUP(CLEAN($V39),'All Security Controls'!$A:$I, 4, FALSE),"---")</f>
        <v>CRWG White Criticality Control</v>
      </c>
      <c r="Y39" s="14" t="str">
        <f>IFERROR(VLOOKUP(CLEAN($V39),'All Security Controls'!$A:$I,5, FALSE),"---")</f>
        <v>Annually</v>
      </c>
      <c r="Z39" s="14" t="str">
        <f>IFERROR(VLOOKUP(CLEAN($V39),'All Security Controls'!$A:$I,6, FALSE),"---")</f>
        <v>Manual</v>
      </c>
      <c r="AA39" s="14" t="str">
        <f>IFERROR(VLOOKUP(CLEAN($V39),'All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9" s="14" t="str">
        <f>IFERROR(VLOOKUP(CLEAN($V39),'All Security Controls'!$A:$I,8, FALSE),"---")</f>
        <v>POA&amp;M</v>
      </c>
      <c r="AC39" s="14" t="str">
        <f>IFERROR(VLOOKUP(CLEAN($V39),'All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9" s="26">
        <v>38</v>
      </c>
    </row>
    <row r="40" spans="1:30" s="10" customFormat="1">
      <c r="A40" s="34"/>
      <c r="B40" s="37"/>
      <c r="C40" s="38"/>
      <c r="D40" s="38"/>
      <c r="E40" s="38"/>
      <c r="F40" s="38"/>
      <c r="G40" s="38"/>
      <c r="H40" s="38"/>
      <c r="I40" s="38"/>
      <c r="J40" s="38"/>
      <c r="K40" s="38"/>
      <c r="L40" s="38"/>
      <c r="M40" s="38"/>
      <c r="N40" s="38"/>
      <c r="O40" s="38"/>
      <c r="P40" s="38"/>
      <c r="Q40" s="38"/>
      <c r="R40" s="39"/>
      <c r="S40" s="32"/>
      <c r="T40"/>
      <c r="V40" s="66" t="s">
        <v>53</v>
      </c>
      <c r="W40" s="16" t="str">
        <f>IFERROR(VLOOKUP(CLEAN($V40),'All Security Controls'!A:I, 2, FALSE),"---")</f>
        <v xml:space="preserve">Remote Access  </v>
      </c>
      <c r="X40" s="14" t="str">
        <f>IFERROR(VLOOKUP(CLEAN($V40),'All Security Controls'!$A:$I, 4, FALSE),"---")</f>
        <v>CRWG White Criticality Control</v>
      </c>
      <c r="Y40" s="14" t="str">
        <f>IFERROR(VLOOKUP(CLEAN($V40),'All Security Controls'!$A:$I,5, FALSE),"---")</f>
        <v>Annually</v>
      </c>
      <c r="Z40" s="14" t="str">
        <f>IFERROR(VLOOKUP(CLEAN($V40),'All Security Controls'!$A:$I,6, FALSE),"---")</f>
        <v>Manual</v>
      </c>
      <c r="AA40" s="14" t="str">
        <f>IFERROR(VLOOKUP(CLEAN($V40),'All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0" s="14" t="str">
        <f>IFERROR(VLOOKUP(CLEAN($V40),'All Security Controls'!$A:$I,8, FALSE),"---")</f>
        <v>POA&amp;M</v>
      </c>
      <c r="AC40" s="14" t="str">
        <f>IFERROR(VLOOKUP(CLEAN($V40),'All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0" s="26">
        <v>39</v>
      </c>
    </row>
    <row r="41" spans="1:30" s="10" customFormat="1">
      <c r="A41" s="34"/>
      <c r="B41" s="37"/>
      <c r="C41" s="46" t="s">
        <v>54</v>
      </c>
      <c r="D41" s="47"/>
      <c r="E41" s="47"/>
      <c r="F41" s="47"/>
      <c r="G41" s="47"/>
      <c r="H41" s="47"/>
      <c r="I41" s="47"/>
      <c r="J41" s="47"/>
      <c r="K41" s="47"/>
      <c r="L41" s="47"/>
      <c r="M41" s="48"/>
      <c r="N41" s="38"/>
      <c r="O41" s="38"/>
      <c r="P41" s="38"/>
      <c r="Q41" s="38"/>
      <c r="R41" s="39"/>
      <c r="S41" s="32"/>
      <c r="T41"/>
      <c r="V41" s="66" t="s">
        <v>55</v>
      </c>
      <c r="W41" s="16" t="str">
        <f>IFERROR(VLOOKUP(CLEAN($V41),'All Security Controls'!A:I, 2, FALSE),"---")</f>
        <v>Remote Access | Automated Monitoring/ Control</v>
      </c>
      <c r="X41" s="14" t="str">
        <f>IFERROR(VLOOKUP(CLEAN($V41),'All Security Controls'!$A:$I, 4, FALSE),"---")</f>
        <v>CRWG Yellow Criticality Control</v>
      </c>
      <c r="Y41" s="14" t="str">
        <f>IFERROR(VLOOKUP(CLEAN($V41),'All Security Controls'!$A:$I,5, FALSE),"---")</f>
        <v>Constantly</v>
      </c>
      <c r="Z41" s="14" t="str">
        <f>IFERROR(VLOOKUP(CLEAN($V41),'All Security Controls'!$A:$I,6, FALSE),"---")</f>
        <v>Automated</v>
      </c>
      <c r="AA41" s="14" t="str">
        <f>IFERROR(VLOOKUP(CLEAN($V41),'All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1" s="14" t="str">
        <f>IFERROR(VLOOKUP(CLEAN($V41),'All Security Controls'!$A:$I,8, FALSE),"---")</f>
        <v>Enterprise Logging Tool</v>
      </c>
      <c r="AC41" s="14" t="str">
        <f>IFERROR(VLOOKUP(CLEAN($V41),'All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1" s="26">
        <v>40</v>
      </c>
    </row>
    <row r="42" spans="1:30" s="10" customFormat="1" ht="15" customHeight="1">
      <c r="A42" s="34"/>
      <c r="B42" s="37"/>
      <c r="C42" s="49"/>
      <c r="D42" s="50"/>
      <c r="E42" s="50"/>
      <c r="F42" s="50"/>
      <c r="G42" s="50"/>
      <c r="H42" s="50"/>
      <c r="I42" s="50"/>
      <c r="J42" s="50"/>
      <c r="K42" s="50"/>
      <c r="L42" s="50"/>
      <c r="M42" s="51"/>
      <c r="N42" s="38"/>
      <c r="O42" s="38"/>
      <c r="P42" s="38"/>
      <c r="Q42" s="38"/>
      <c r="R42" s="39"/>
      <c r="S42" s="32"/>
      <c r="T42"/>
      <c r="V42" s="66" t="s">
        <v>56</v>
      </c>
      <c r="W42" s="16" t="str">
        <f>IFERROR(VLOOKUP(CLEAN($V42),'All Security Controls'!A:I, 2, FALSE),"---")</f>
        <v xml:space="preserve">Remote Access | Protection of Confidentiality/ Integrity Using Encryption </v>
      </c>
      <c r="X42" s="14" t="str">
        <f>IFERROR(VLOOKUP(CLEAN($V42),'All Security Controls'!$A:$I, 4, FALSE),"---")</f>
        <v>CRWG Yellow Criticality Control</v>
      </c>
      <c r="Y42" s="14" t="str">
        <f>IFERROR(VLOOKUP(CLEAN($V42),'All Security Controls'!$A:$I,5, FALSE),"---")</f>
        <v>Annually</v>
      </c>
      <c r="Z42" s="14" t="str">
        <f>IFERROR(VLOOKUP(CLEAN($V42),'All Security Controls'!$A:$I,6, FALSE),"---")</f>
        <v>Manual</v>
      </c>
      <c r="AA42" s="14" t="str">
        <f>IFERROR(VLOOKUP(CLEAN($V42),'All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2" s="14" t="str">
        <f>IFERROR(VLOOKUP(CLEAN($V42),'All Security Controls'!$A:$I,8, FALSE),"---")</f>
        <v>POA&amp;M</v>
      </c>
      <c r="AC42" s="14" t="str">
        <f>IFERROR(VLOOKUP(CLEAN($V42),'All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2" s="26">
        <v>41</v>
      </c>
    </row>
    <row r="43" spans="1:30" s="10" customFormat="1">
      <c r="A43" s="34"/>
      <c r="B43" s="37"/>
      <c r="C43" s="52"/>
      <c r="D43" s="53"/>
      <c r="E43" s="53"/>
      <c r="F43" s="53"/>
      <c r="G43" s="53"/>
      <c r="H43" s="53"/>
      <c r="I43" s="53"/>
      <c r="J43" s="53"/>
      <c r="K43" s="53"/>
      <c r="L43" s="53"/>
      <c r="M43" s="54"/>
      <c r="N43" s="38"/>
      <c r="O43" s="38"/>
      <c r="P43" s="38"/>
      <c r="Q43" s="38"/>
      <c r="R43" s="39"/>
      <c r="S43" s="32"/>
      <c r="T43"/>
      <c r="V43" s="66" t="s">
        <v>57</v>
      </c>
      <c r="W43" s="16" t="str">
        <f>IFERROR(VLOOKUP(CLEAN($V43),'All Security Controls'!A:I, 2, FALSE),"---")</f>
        <v>Remote Access | Managed Access Control Points</v>
      </c>
      <c r="X43" s="14" t="str">
        <f>IFERROR(VLOOKUP(CLEAN($V43),'All Security Controls'!$A:$I, 4, FALSE),"---")</f>
        <v>CRWG Yellow Criticality Control</v>
      </c>
      <c r="Y43" s="14" t="str">
        <f>IFERROR(VLOOKUP(CLEAN($V43),'All Security Controls'!$A:$I,5, FALSE),"---")</f>
        <v>Annually</v>
      </c>
      <c r="Z43" s="14" t="str">
        <f>IFERROR(VLOOKUP(CLEAN($V43),'All Security Controls'!$A:$I,6, FALSE),"---")</f>
        <v>Manual</v>
      </c>
      <c r="AA43" s="14" t="str">
        <f>IFERROR(VLOOKUP(CLEAN($V43),'All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3" s="14" t="str">
        <f>IFERROR(VLOOKUP(CLEAN($V43),'All Security Controls'!$A:$I,8, FALSE),"---")</f>
        <v>POA&amp;M</v>
      </c>
      <c r="AC43" s="14" t="str">
        <f>IFERROR(VLOOKUP(CLEAN($V43),'All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3" s="26">
        <v>42</v>
      </c>
    </row>
    <row r="44" spans="1:30" s="10" customFormat="1">
      <c r="A44" s="34"/>
      <c r="B44" s="37"/>
      <c r="C44" s="38"/>
      <c r="D44" s="38"/>
      <c r="E44" s="38"/>
      <c r="F44" s="38"/>
      <c r="G44" s="38"/>
      <c r="H44" s="38"/>
      <c r="I44" s="38"/>
      <c r="J44" s="38"/>
      <c r="K44" s="38"/>
      <c r="L44" s="38"/>
      <c r="M44" s="38"/>
      <c r="N44" s="38"/>
      <c r="O44" s="38"/>
      <c r="P44" s="38"/>
      <c r="Q44" s="38"/>
      <c r="R44" s="39"/>
      <c r="S44" s="32"/>
      <c r="T44"/>
      <c r="V44" s="66" t="s">
        <v>58</v>
      </c>
      <c r="W44" s="16" t="str">
        <f>IFERROR(VLOOKUP(CLEAN($V44),'All Security Controls'!A:I, 2, FALSE),"---")</f>
        <v>Remote Access  | Privileged Commands/ Access</v>
      </c>
      <c r="X44" s="14" t="str">
        <f>IFERROR(VLOOKUP(CLEAN($V44),'All Security Controls'!$A:$I, 4, FALSE),"---")</f>
        <v>CRWG Yellow Criticality Control</v>
      </c>
      <c r="Y44" s="14" t="str">
        <f>IFERROR(VLOOKUP(CLEAN($V44),'All Security Controls'!$A:$I,5, FALSE),"---")</f>
        <v>Annually</v>
      </c>
      <c r="Z44" s="14" t="str">
        <f>IFERROR(VLOOKUP(CLEAN($V44),'All Security Controls'!$A:$I,6, FALSE),"---")</f>
        <v>Manual</v>
      </c>
      <c r="AA44" s="14" t="str">
        <f>IFERROR(VLOOKUP(CLEAN($V44),'All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4" s="14" t="str">
        <f>IFERROR(VLOOKUP(CLEAN($V44),'All Security Controls'!$A:$I,8, FALSE),"---")</f>
        <v>POA&amp;M</v>
      </c>
      <c r="AC44" s="14" t="str">
        <f>IFERROR(VLOOKUP(CLEAN($V44),'All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4" s="26">
        <v>43</v>
      </c>
    </row>
    <row r="45" spans="1:30" s="10" customFormat="1">
      <c r="A45" s="34"/>
      <c r="B45" s="37"/>
      <c r="C45" s="38"/>
      <c r="D45" s="38"/>
      <c r="E45" s="38"/>
      <c r="F45" s="38"/>
      <c r="G45" s="38"/>
      <c r="H45" s="38"/>
      <c r="I45" s="30"/>
      <c r="J45" s="30"/>
      <c r="K45" s="30"/>
      <c r="L45" s="38"/>
      <c r="M45" s="38"/>
      <c r="N45" s="38"/>
      <c r="O45" s="38"/>
      <c r="P45" s="38"/>
      <c r="Q45" s="38"/>
      <c r="R45" s="39"/>
      <c r="S45" s="32"/>
      <c r="T45"/>
      <c r="V45" s="66" t="s">
        <v>59</v>
      </c>
      <c r="W45" s="16" t="str">
        <f>IFERROR(VLOOKUP(CLEAN($V45),'All Security Controls'!A:I, 2, FALSE),"---")</f>
        <v>Remote Access | Protection of Information</v>
      </c>
      <c r="X45" s="14" t="str">
        <f>IFERROR(VLOOKUP(CLEAN($V45),'All Security Controls'!$A:$I, 4, FALSE),"---")</f>
        <v>CRWG Yellow Criticality Control</v>
      </c>
      <c r="Y45" s="14" t="str">
        <f>IFERROR(VLOOKUP(CLEAN($V45),'All Security Controls'!$A:$I,5, FALSE),"---")</f>
        <v>Annually</v>
      </c>
      <c r="Z45" s="14" t="str">
        <f>IFERROR(VLOOKUP(CLEAN($V45),'All Security Controls'!$A:$I,6, FALSE),"---")</f>
        <v>Manual</v>
      </c>
      <c r="AA45" s="14" t="str">
        <f>IFERROR(VLOOKUP(CLEAN($V45),'All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5" s="14" t="str">
        <f>IFERROR(VLOOKUP(CLEAN($V45),'All Security Controls'!$A:$I,8, FALSE),"---")</f>
        <v>POA&amp;M</v>
      </c>
      <c r="AC45" s="14" t="str">
        <f>IFERROR(VLOOKUP(CLEAN($V45),'All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5" s="26">
        <v>44</v>
      </c>
    </row>
    <row r="46" spans="1:30" s="10" customFormat="1">
      <c r="A46" s="34"/>
      <c r="B46" s="37"/>
      <c r="C46" s="38"/>
      <c r="D46" s="38"/>
      <c r="E46" s="38"/>
      <c r="F46" s="38"/>
      <c r="G46" s="38"/>
      <c r="H46" s="38"/>
      <c r="I46" s="30"/>
      <c r="J46" s="30"/>
      <c r="K46" s="30"/>
      <c r="L46" s="38"/>
      <c r="M46" s="38"/>
      <c r="N46" s="38"/>
      <c r="O46" s="38"/>
      <c r="P46" s="38"/>
      <c r="Q46" s="38"/>
      <c r="R46" s="39"/>
      <c r="S46" s="32"/>
      <c r="T46"/>
      <c r="V46" s="66" t="s">
        <v>60</v>
      </c>
      <c r="W46" s="16" t="str">
        <f>IFERROR(VLOOKUP(CLEAN($V46),'All Security Controls'!A:I, 2, FALSE),"---")</f>
        <v>Remote Access  | Disconnect/ Disable Access</v>
      </c>
      <c r="X46" s="14" t="str">
        <f>IFERROR(VLOOKUP(CLEAN($V46),'All Security Controls'!$A:$I, 4, FALSE),"---")</f>
        <v>CRWG White Criticality Control</v>
      </c>
      <c r="Y46" s="14" t="str">
        <f>IFERROR(VLOOKUP(CLEAN($V46),'All Security Controls'!$A:$I,5, FALSE),"---")</f>
        <v>Annually</v>
      </c>
      <c r="Z46" s="14" t="str">
        <f>IFERROR(VLOOKUP(CLEAN($V46),'All Security Controls'!$A:$I,6, FALSE),"---")</f>
        <v>Manual</v>
      </c>
      <c r="AA46" s="14" t="str">
        <f>IFERROR(VLOOKUP(CLEAN($V46),'All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6" s="14" t="str">
        <f>IFERROR(VLOOKUP(CLEAN($V46),'All Security Controls'!$A:$I,8, FALSE),"---")</f>
        <v>POA&amp;M</v>
      </c>
      <c r="AC46" s="14" t="str">
        <f>IFERROR(VLOOKUP(CLEAN($V46),'All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6" s="26">
        <v>45</v>
      </c>
    </row>
    <row r="47" spans="1:30" s="10" customFormat="1">
      <c r="A47" s="34"/>
      <c r="B47" s="37"/>
      <c r="C47" s="38"/>
      <c r="D47" s="38"/>
      <c r="E47" s="38"/>
      <c r="F47" s="38"/>
      <c r="G47" s="38"/>
      <c r="H47" s="38"/>
      <c r="I47" s="30"/>
      <c r="J47" s="30"/>
      <c r="K47" s="30"/>
      <c r="L47" s="38"/>
      <c r="M47" s="38"/>
      <c r="N47" s="38"/>
      <c r="O47" s="38"/>
      <c r="P47" s="38"/>
      <c r="Q47" s="38"/>
      <c r="R47" s="39"/>
      <c r="S47" s="32"/>
      <c r="T47"/>
      <c r="V47" s="66" t="s">
        <v>61</v>
      </c>
      <c r="W47" s="16" t="str">
        <f>IFERROR(VLOOKUP(CLEAN($V47),'All Security Controls'!A:I, 2, FALSE),"---")</f>
        <v xml:space="preserve">Wireless Access Restrictions  </v>
      </c>
      <c r="X47" s="14" t="str">
        <f>IFERROR(VLOOKUP(CLEAN($V47),'All Security Controls'!$A:$I, 4, FALSE),"---")</f>
        <v>CRWG White Criticality Control</v>
      </c>
      <c r="Y47" s="14" t="str">
        <f>IFERROR(VLOOKUP(CLEAN($V47),'All Security Controls'!$A:$I,5, FALSE),"---")</f>
        <v>Annually</v>
      </c>
      <c r="Z47" s="14" t="str">
        <f>IFERROR(VLOOKUP(CLEAN($V47),'All Security Controls'!$A:$I,6, FALSE),"---")</f>
        <v>Manual</v>
      </c>
      <c r="AA47" s="14" t="str">
        <f>IFERROR(VLOOKUP(CLEAN($V47),'All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7" s="14" t="str">
        <f>IFERROR(VLOOKUP(CLEAN($V47),'All Security Controls'!$A:$I,8, FALSE),"---")</f>
        <v>POA&amp;M</v>
      </c>
      <c r="AC47" s="14" t="str">
        <f>IFERROR(VLOOKUP(CLEAN($V47),'All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7" s="26">
        <v>46</v>
      </c>
    </row>
    <row r="48" spans="1:30" s="10" customFormat="1">
      <c r="A48" s="34"/>
      <c r="B48" s="37"/>
      <c r="C48" s="38"/>
      <c r="D48" s="38"/>
      <c r="E48" s="38"/>
      <c r="F48" s="38"/>
      <c r="G48" s="38"/>
      <c r="H48" s="38"/>
      <c r="I48" s="30"/>
      <c r="J48" s="30"/>
      <c r="K48" s="30"/>
      <c r="L48" s="38"/>
      <c r="M48" s="38"/>
      <c r="N48" s="38"/>
      <c r="O48" s="38"/>
      <c r="P48" s="38"/>
      <c r="Q48" s="38"/>
      <c r="R48" s="39"/>
      <c r="S48" s="32"/>
      <c r="T48"/>
      <c r="V48" s="66" t="s">
        <v>62</v>
      </c>
      <c r="W48" s="16" t="str">
        <f>IFERROR(VLOOKUP(CLEAN($V48),'All Security Controls'!A:I, 2, FALSE),"---")</f>
        <v>Wireless Access Restrictions | Authentication and Encryption</v>
      </c>
      <c r="X48" s="14" t="str">
        <f>IFERROR(VLOOKUP(CLEAN($V48),'All Security Controls'!$A:$I, 4, FALSE),"---")</f>
        <v>CRWG Yellow Criticality Control</v>
      </c>
      <c r="Y48" s="14" t="str">
        <f>IFERROR(VLOOKUP(CLEAN($V48),'All Security Controls'!$A:$I,5, FALSE),"---")</f>
        <v>Quarterly</v>
      </c>
      <c r="Z48" s="14" t="str">
        <f>IFERROR(VLOOKUP(CLEAN($V48),'All Security Controls'!$A:$I,6, FALSE),"---")</f>
        <v>Manual</v>
      </c>
      <c r="AA48" s="14" t="str">
        <f>IFERROR(VLOOKUP(CLEAN($V48),'All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8" s="14" t="str">
        <f>IFERROR(VLOOKUP(CLEAN($V48),'All Security Controls'!$A:$I,8, FALSE),"---")</f>
        <v>POA&amp;M</v>
      </c>
      <c r="AC48" s="14" t="str">
        <f>IFERROR(VLOOKUP(CLEAN($V48),'All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8" s="26">
        <v>47</v>
      </c>
    </row>
    <row r="49" spans="1:30" s="10" customFormat="1">
      <c r="A49" s="34"/>
      <c r="B49" s="40"/>
      <c r="C49" s="41"/>
      <c r="D49" s="41"/>
      <c r="E49" s="41"/>
      <c r="F49" s="41"/>
      <c r="G49" s="41"/>
      <c r="H49" s="41"/>
      <c r="I49" s="41"/>
      <c r="J49" s="41"/>
      <c r="K49" s="41"/>
      <c r="L49" s="41"/>
      <c r="M49" s="41"/>
      <c r="N49" s="41"/>
      <c r="O49" s="41"/>
      <c r="P49" s="41"/>
      <c r="Q49" s="41"/>
      <c r="R49" s="42"/>
      <c r="S49" s="32"/>
      <c r="T49"/>
      <c r="V49" s="66" t="s">
        <v>63</v>
      </c>
      <c r="W49" s="16" t="str">
        <f>IFERROR(VLOOKUP(CLEAN($V49),'All Security Controls'!A:I, 2, FALSE),"---")</f>
        <v>Wireless Access Restrictions | Disable Wireless Networking</v>
      </c>
      <c r="X49" s="14" t="str">
        <f>IFERROR(VLOOKUP(CLEAN($V49),'All Security Controls'!$A:$I, 4, FALSE),"---")</f>
        <v>CRWG Yellow Criticality Control</v>
      </c>
      <c r="Y49" s="14" t="str">
        <f>IFERROR(VLOOKUP(CLEAN($V49),'All Security Controls'!$A:$I,5, FALSE),"---")</f>
        <v>Annually</v>
      </c>
      <c r="Z49" s="14" t="str">
        <f>IFERROR(VLOOKUP(CLEAN($V49),'All Security Controls'!$A:$I,6, FALSE),"---")</f>
        <v>Manual</v>
      </c>
      <c r="AA49" s="14" t="str">
        <f>IFERROR(VLOOKUP(CLEAN($V49),'All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9" s="14" t="str">
        <f>IFERROR(VLOOKUP(CLEAN($V49),'All Security Controls'!$A:$I,8, FALSE),"---")</f>
        <v>POA&amp;M</v>
      </c>
      <c r="AC49" s="14" t="str">
        <f>IFERROR(VLOOKUP(CLEAN($V49),'All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9" s="26">
        <v>48</v>
      </c>
    </row>
    <row r="50" spans="1:30" s="10" customFormat="1">
      <c r="A50" s="35"/>
      <c r="B50" s="36"/>
      <c r="C50" s="36"/>
      <c r="D50" s="36"/>
      <c r="E50" s="36"/>
      <c r="F50" s="36"/>
      <c r="G50" s="36"/>
      <c r="H50" s="36"/>
      <c r="I50" s="36"/>
      <c r="J50" s="36"/>
      <c r="K50" s="36"/>
      <c r="L50" s="36"/>
      <c r="M50" s="36"/>
      <c r="N50" s="36"/>
      <c r="O50" s="36"/>
      <c r="P50" s="36"/>
      <c r="Q50" s="36"/>
      <c r="R50" s="36"/>
      <c r="S50" s="33"/>
      <c r="T50"/>
      <c r="V50" s="66" t="s">
        <v>64</v>
      </c>
      <c r="W50" s="16" t="str">
        <f>IFERROR(VLOOKUP(CLEAN($V50),'All Security Controls'!A:I, 2, FALSE),"---")</f>
        <v>Wireless Access Restrictions  | Restrict Configurations by Users</v>
      </c>
      <c r="X50" s="14" t="str">
        <f>IFERROR(VLOOKUP(CLEAN($V50),'All Security Controls'!$A:$I, 4, FALSE),"---")</f>
        <v>CRWG Yellow Criticality Control</v>
      </c>
      <c r="Y50" s="14" t="str">
        <f>IFERROR(VLOOKUP(CLEAN($V50),'All Security Controls'!$A:$I,5, FALSE),"---")</f>
        <v>Annually</v>
      </c>
      <c r="Z50" s="14" t="str">
        <f>IFERROR(VLOOKUP(CLEAN($V50),'All Security Controls'!$A:$I,6, FALSE),"---")</f>
        <v>Manual</v>
      </c>
      <c r="AA50" s="14" t="str">
        <f>IFERROR(VLOOKUP(CLEAN($V50),'All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50" s="14" t="str">
        <f>IFERROR(VLOOKUP(CLEAN($V50),'All Security Controls'!$A:$I,8, FALSE),"---")</f>
        <v>POA&amp;M</v>
      </c>
      <c r="AC50" s="14" t="str">
        <f>IFERROR(VLOOKUP(CLEAN($V50),'All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50" s="26">
        <v>49</v>
      </c>
    </row>
    <row r="51" spans="1:30" s="10" customFormat="1">
      <c r="A51"/>
      <c r="B51"/>
      <c r="C51"/>
      <c r="D51"/>
      <c r="E51"/>
      <c r="F51"/>
      <c r="G51"/>
      <c r="H51"/>
      <c r="I51"/>
      <c r="J51"/>
      <c r="K51"/>
      <c r="L51"/>
      <c r="M51"/>
      <c r="N51"/>
      <c r="O51"/>
      <c r="P51"/>
      <c r="Q51"/>
      <c r="R51"/>
      <c r="S51"/>
      <c r="T51"/>
      <c r="V51" s="66" t="s">
        <v>65</v>
      </c>
      <c r="W51" s="16" t="str">
        <f>IFERROR(VLOOKUP(CLEAN($V51),'All Security Controls'!A:I, 2, FALSE),"---")</f>
        <v>Wireless Access Restrictions  | Antennas/ Transmission Power Levels</v>
      </c>
      <c r="X51" s="14" t="str">
        <f>IFERROR(VLOOKUP(CLEAN($V51),'All Security Controls'!$A:$I, 4, FALSE),"---")</f>
        <v>CRWG Yellow Criticality Control</v>
      </c>
      <c r="Y51" s="14" t="str">
        <f>IFERROR(VLOOKUP(CLEAN($V51),'All Security Controls'!$A:$I,5, FALSE),"---")</f>
        <v>Quarterly</v>
      </c>
      <c r="Z51" s="14" t="str">
        <f>IFERROR(VLOOKUP(CLEAN($V51),'All Security Controls'!$A:$I,6, FALSE),"---")</f>
        <v>Manual</v>
      </c>
      <c r="AA51" s="14" t="str">
        <f>IFERROR(VLOOKUP(CLEAN($V51),'All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51" s="14" t="str">
        <f>IFERROR(VLOOKUP(CLEAN($V51),'All Security Controls'!$A:$I,8, FALSE),"---")</f>
        <v>POA&amp;M</v>
      </c>
      <c r="AC51" s="14" t="str">
        <f>IFERROR(VLOOKUP(CLEAN($V51),'All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51" s="26">
        <v>50</v>
      </c>
    </row>
    <row r="52" spans="1:30" s="10" customFormat="1">
      <c r="A52"/>
      <c r="B52"/>
      <c r="C52"/>
      <c r="D52"/>
      <c r="E52"/>
      <c r="F52"/>
      <c r="G52"/>
      <c r="H52"/>
      <c r="I52"/>
      <c r="J52"/>
      <c r="K52"/>
      <c r="L52"/>
      <c r="M52"/>
      <c r="N52"/>
      <c r="O52"/>
      <c r="P52"/>
      <c r="Q52"/>
      <c r="R52"/>
      <c r="S52"/>
      <c r="T52"/>
      <c r="V52" s="66" t="s">
        <v>66</v>
      </c>
      <c r="W52" s="16" t="str">
        <f>IFERROR(VLOOKUP(CLEAN($V52),'All Security Controls'!A:I, 2, FALSE),"---")</f>
        <v xml:space="preserve">Access Control For Mobile Devices  </v>
      </c>
      <c r="X52" s="14" t="str">
        <f>IFERROR(VLOOKUP(CLEAN($V52),'All Security Controls'!$A:$I, 4, FALSE),"---")</f>
        <v>CRWG Yellow Criticality Control</v>
      </c>
      <c r="Y52" s="14" t="str">
        <f>IFERROR(VLOOKUP(CLEAN($V52),'All Security Controls'!$A:$I,5, FALSE),"---")</f>
        <v>Quarterly</v>
      </c>
      <c r="Z52" s="14" t="str">
        <f>IFERROR(VLOOKUP(CLEAN($V52),'All Security Controls'!$A:$I,6, FALSE),"---")</f>
        <v>Manual</v>
      </c>
      <c r="AA52" s="14" t="str">
        <f>IFERROR(VLOOKUP(CLEAN($V52),'All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52" s="14" t="str">
        <f>IFERROR(VLOOKUP(CLEAN($V52),'All Security Controls'!$A:$I,8, FALSE),"---")</f>
        <v>POA&amp;M</v>
      </c>
      <c r="AC52" s="14" t="str">
        <f>IFERROR(VLOOKUP(CLEAN($V52),'All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52" s="26">
        <v>51</v>
      </c>
    </row>
    <row r="53" spans="1:30" s="10" customFormat="1">
      <c r="A53"/>
      <c r="B53"/>
      <c r="C53"/>
      <c r="D53"/>
      <c r="E53"/>
      <c r="F53"/>
      <c r="G53"/>
      <c r="H53"/>
      <c r="I53"/>
      <c r="J53"/>
      <c r="K53"/>
      <c r="L53"/>
      <c r="M53"/>
      <c r="N53"/>
      <c r="O53"/>
      <c r="P53"/>
      <c r="Q53"/>
      <c r="R53"/>
      <c r="S53"/>
      <c r="T53"/>
      <c r="V53" s="66" t="s">
        <v>67</v>
      </c>
      <c r="W53" s="16" t="str">
        <f>IFERROR(VLOOKUP(CLEAN($V53),'All Security Controls'!A:I, 2, FALSE),"---")</f>
        <v>Access Control For Mobile Devices | Full Device/ Container-Based Encryption</v>
      </c>
      <c r="X53" s="14" t="str">
        <f>IFERROR(VLOOKUP(CLEAN($V53),'All Security Controls'!$A:$I, 4, FALSE),"---")</f>
        <v>CRWG Yellow Criticality Control</v>
      </c>
      <c r="Y53" s="14" t="str">
        <f>IFERROR(VLOOKUP(CLEAN($V53),'All Security Controls'!$A:$I,5, FALSE),"---")</f>
        <v>Quarterly</v>
      </c>
      <c r="Z53" s="14" t="str">
        <f>IFERROR(VLOOKUP(CLEAN($V53),'All Security Controls'!$A:$I,6, FALSE),"---")</f>
        <v>Manual</v>
      </c>
      <c r="AA53" s="14" t="str">
        <f>IFERROR(VLOOKUP(CLEAN($V53),'All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53" s="14" t="str">
        <f>IFERROR(VLOOKUP(CLEAN($V53),'All Security Controls'!$A:$I,8, FALSE),"---")</f>
        <v>POA&amp;M</v>
      </c>
      <c r="AC53" s="14" t="str">
        <f>IFERROR(VLOOKUP(CLEAN($V53),'All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53" s="26">
        <v>52</v>
      </c>
    </row>
    <row r="54" spans="1:30" s="10" customFormat="1">
      <c r="A54"/>
      <c r="B54"/>
      <c r="C54"/>
      <c r="D54"/>
      <c r="E54"/>
      <c r="F54"/>
      <c r="G54"/>
      <c r="H54"/>
      <c r="I54"/>
      <c r="J54"/>
      <c r="K54"/>
      <c r="L54"/>
      <c r="M54"/>
      <c r="N54"/>
      <c r="O54"/>
      <c r="P54"/>
      <c r="Q54"/>
      <c r="R54"/>
      <c r="S54"/>
      <c r="T54"/>
      <c r="V54" s="66" t="s">
        <v>68</v>
      </c>
      <c r="W54" s="16" t="str">
        <f>IFERROR(VLOOKUP(CLEAN($V54),'All Security Controls'!A:I, 2, FALSE),"---")</f>
        <v xml:space="preserve">Use Of External Information Systems  </v>
      </c>
      <c r="X54" s="14" t="str">
        <f>IFERROR(VLOOKUP(CLEAN($V54),'All Security Controls'!$A:$I, 4, FALSE),"---")</f>
        <v>CRWG White Criticality Control</v>
      </c>
      <c r="Y54" s="14" t="str">
        <f>IFERROR(VLOOKUP(CLEAN($V54),'All Security Controls'!$A:$I,5, FALSE),"---")</f>
        <v>Annually</v>
      </c>
      <c r="Z54" s="14" t="str">
        <f>IFERROR(VLOOKUP(CLEAN($V54),'All Security Controls'!$A:$I,6, FALSE),"---")</f>
        <v>Manual</v>
      </c>
      <c r="AA54" s="14" t="str">
        <f>IFERROR(VLOOKUP(CLEAN($V54),'All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54" s="14" t="str">
        <f>IFERROR(VLOOKUP(CLEAN($V54),'All Security Controls'!$A:$I,8, FALSE),"---")</f>
        <v>POA&amp;M</v>
      </c>
      <c r="AC54" s="14" t="str">
        <f>IFERROR(VLOOKUP(CLEAN($V54),'All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54" s="26">
        <v>53</v>
      </c>
    </row>
    <row r="55" spans="1:30" s="10" customFormat="1">
      <c r="A55"/>
      <c r="B55"/>
      <c r="C55"/>
      <c r="D55"/>
      <c r="E55"/>
      <c r="F55"/>
      <c r="G55"/>
      <c r="H55"/>
      <c r="I55"/>
      <c r="J55"/>
      <c r="K55"/>
      <c r="L55"/>
      <c r="M55"/>
      <c r="N55"/>
      <c r="O55"/>
      <c r="P55"/>
      <c r="Q55"/>
      <c r="R55"/>
      <c r="S55"/>
      <c r="T55"/>
      <c r="V55" s="66" t="s">
        <v>69</v>
      </c>
      <c r="W55" s="16" t="str">
        <f>IFERROR(VLOOKUP(CLEAN($V55),'All Security Controls'!A:I, 2, FALSE),"---")</f>
        <v xml:space="preserve">Use Of External Information Systems | Limits on Authorized Use </v>
      </c>
      <c r="X55" s="14" t="str">
        <f>IFERROR(VLOOKUP(CLEAN($V55),'All Security Controls'!$A:$I, 4, FALSE),"---")</f>
        <v>CRWG White Criticality Control</v>
      </c>
      <c r="Y55" s="14" t="str">
        <f>IFERROR(VLOOKUP(CLEAN($V55),'All Security Controls'!$A:$I,5, FALSE),"---")</f>
        <v>Annually</v>
      </c>
      <c r="Z55" s="14" t="str">
        <f>IFERROR(VLOOKUP(CLEAN($V55),'All Security Controls'!$A:$I,6, FALSE),"---")</f>
        <v>Manual</v>
      </c>
      <c r="AA55" s="14" t="str">
        <f>IFERROR(VLOOKUP(CLEAN($V55),'All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55" s="14" t="str">
        <f>IFERROR(VLOOKUP(CLEAN($V55),'All Security Controls'!$A:$I,8, FALSE),"---")</f>
        <v>POA&amp;M</v>
      </c>
      <c r="AC55" s="14" t="str">
        <f>IFERROR(VLOOKUP(CLEAN($V55),'All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55" s="26">
        <v>54</v>
      </c>
    </row>
    <row r="56" spans="1:30" s="10" customFormat="1">
      <c r="A56"/>
      <c r="B56"/>
      <c r="C56"/>
      <c r="D56"/>
      <c r="E56"/>
      <c r="F56"/>
      <c r="G56"/>
      <c r="H56"/>
      <c r="I56"/>
      <c r="J56"/>
      <c r="K56"/>
      <c r="L56"/>
      <c r="M56"/>
      <c r="N56"/>
      <c r="O56"/>
      <c r="P56"/>
      <c r="Q56"/>
      <c r="R56"/>
      <c r="S56"/>
      <c r="T56"/>
      <c r="V56" s="66" t="s">
        <v>70</v>
      </c>
      <c r="W56" s="16" t="str">
        <f>IFERROR(VLOOKUP(CLEAN($V56),'All Security Controls'!A:I, 2, FALSE),"---")</f>
        <v>Use Of External Information Systems | Portable Storage Devices</v>
      </c>
      <c r="X56" s="14" t="str">
        <f>IFERROR(VLOOKUP(CLEAN($V56),'All Security Controls'!$A:$I, 4, FALSE),"---")</f>
        <v>CRWG White Criticality Control</v>
      </c>
      <c r="Y56" s="14" t="str">
        <f>IFERROR(VLOOKUP(CLEAN($V56),'All Security Controls'!$A:$I,5, FALSE),"---")</f>
        <v>Annually</v>
      </c>
      <c r="Z56" s="14" t="str">
        <f>IFERROR(VLOOKUP(CLEAN($V56),'All Security Controls'!$A:$I,6, FALSE),"---")</f>
        <v>Manual</v>
      </c>
      <c r="AA56" s="14" t="str">
        <f>IFERROR(VLOOKUP(CLEAN($V56),'All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56" s="14" t="str">
        <f>IFERROR(VLOOKUP(CLEAN($V56),'All Security Controls'!$A:$I,8, FALSE),"---")</f>
        <v>POA&amp;M</v>
      </c>
      <c r="AC56" s="14" t="str">
        <f>IFERROR(VLOOKUP(CLEAN($V56),'All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56" s="26">
        <v>55</v>
      </c>
    </row>
    <row r="57" spans="1:30" s="10" customFormat="1">
      <c r="A57"/>
      <c r="B57"/>
      <c r="C57"/>
      <c r="D57"/>
      <c r="E57"/>
      <c r="F57"/>
      <c r="G57"/>
      <c r="H57"/>
      <c r="I57"/>
      <c r="J57"/>
      <c r="K57"/>
      <c r="L57"/>
      <c r="M57"/>
      <c r="N57"/>
      <c r="O57"/>
      <c r="P57"/>
      <c r="Q57"/>
      <c r="R57"/>
      <c r="S57"/>
      <c r="T57"/>
      <c r="V57" s="66" t="s">
        <v>71</v>
      </c>
      <c r="W57" s="16" t="str">
        <f>IFERROR(VLOOKUP(CLEAN($V57),'All Security Controls'!A:I, 2, FALSE),"---")</f>
        <v>Use Of External Information Systems | Non-Organizationally Owner Systems / Components / Devices</v>
      </c>
      <c r="X57" s="14" t="str">
        <f>IFERROR(VLOOKUP(CLEAN($V57),'All Security Controls'!$A:$I, 4, FALSE),"---")</f>
        <v>CRWG White Criticality Control</v>
      </c>
      <c r="Y57" s="14" t="str">
        <f>IFERROR(VLOOKUP(CLEAN($V57),'All Security Controls'!$A:$I,5, FALSE),"---")</f>
        <v>Annually</v>
      </c>
      <c r="Z57" s="14" t="str">
        <f>IFERROR(VLOOKUP(CLEAN($V57),'All Security Controls'!$A:$I,6, FALSE),"---")</f>
        <v>Manual</v>
      </c>
      <c r="AA57" s="14" t="str">
        <f>IFERROR(VLOOKUP(CLEAN($V57),'All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57" s="14" t="str">
        <f>IFERROR(VLOOKUP(CLEAN($V57),'All Security Controls'!$A:$I,8, FALSE),"---")</f>
        <v>POA&amp;M</v>
      </c>
      <c r="AC57" s="14" t="str">
        <f>IFERROR(VLOOKUP(CLEAN($V57),'All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57" s="26">
        <v>56</v>
      </c>
    </row>
    <row r="58" spans="1:30" s="10" customFormat="1">
      <c r="A58"/>
      <c r="B58"/>
      <c r="C58"/>
      <c r="D58"/>
      <c r="E58"/>
      <c r="F58"/>
      <c r="G58"/>
      <c r="H58"/>
      <c r="I58"/>
      <c r="J58"/>
      <c r="K58"/>
      <c r="L58"/>
      <c r="M58"/>
      <c r="N58"/>
      <c r="O58"/>
      <c r="P58"/>
      <c r="Q58"/>
      <c r="R58"/>
      <c r="S58"/>
      <c r="T58"/>
      <c r="V58" s="66" t="s">
        <v>72</v>
      </c>
      <c r="W58" s="16" t="str">
        <f>IFERROR(VLOOKUP(CLEAN($V58),'All Security Controls'!A:I, 2, FALSE),"---")</f>
        <v xml:space="preserve">Information Sharing  </v>
      </c>
      <c r="X58" s="14" t="str">
        <f>IFERROR(VLOOKUP(CLEAN($V58),'All Security Controls'!$A:$I, 4, FALSE),"---")</f>
        <v>CRWG White Criticality Control</v>
      </c>
      <c r="Y58" s="14" t="str">
        <f>IFERROR(VLOOKUP(CLEAN($V58),'All Security Controls'!$A:$I,5, FALSE),"---")</f>
        <v>Annually</v>
      </c>
      <c r="Z58" s="14" t="str">
        <f>IFERROR(VLOOKUP(CLEAN($V58),'All Security Controls'!$A:$I,6, FALSE),"---")</f>
        <v>Manual</v>
      </c>
      <c r="AA58" s="14" t="str">
        <f>IFERROR(VLOOKUP(CLEAN($V58),'All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58" s="14" t="str">
        <f>IFERROR(VLOOKUP(CLEAN($V58),'All Security Controls'!$A:$I,8, FALSE),"---")</f>
        <v>POA&amp;M</v>
      </c>
      <c r="AC58" s="14" t="str">
        <f>IFERROR(VLOOKUP(CLEAN($V58),'All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58" s="26">
        <v>57</v>
      </c>
    </row>
    <row r="59" spans="1:30" s="10" customFormat="1">
      <c r="A59"/>
      <c r="B59"/>
      <c r="C59"/>
      <c r="D59"/>
      <c r="E59"/>
      <c r="F59"/>
      <c r="G59"/>
      <c r="H59"/>
      <c r="I59"/>
      <c r="J59"/>
      <c r="K59"/>
      <c r="L59"/>
      <c r="M59"/>
      <c r="N59"/>
      <c r="O59"/>
      <c r="P59"/>
      <c r="Q59"/>
      <c r="R59"/>
      <c r="S59"/>
      <c r="T59"/>
      <c r="V59" s="66" t="s">
        <v>73</v>
      </c>
      <c r="W59" s="16" t="str">
        <f>IFERROR(VLOOKUP(CLEAN($V59),'All Security Controls'!A:I, 2, FALSE),"---")</f>
        <v xml:space="preserve">Publicly Accessible Content  </v>
      </c>
      <c r="X59" s="14" t="str">
        <f>IFERROR(VLOOKUP(CLEAN($V59),'All Security Controls'!$A:$I, 4, FALSE),"---")</f>
        <v>CRWG White Criticality Control</v>
      </c>
      <c r="Y59" s="14" t="str">
        <f>IFERROR(VLOOKUP(CLEAN($V59),'All Security Controls'!$A:$I,5, FALSE),"---")</f>
        <v>Annually</v>
      </c>
      <c r="Z59" s="14" t="str">
        <f>IFERROR(VLOOKUP(CLEAN($V59),'All Security Controls'!$A:$I,6, FALSE),"---")</f>
        <v>Manual</v>
      </c>
      <c r="AA59" s="14" t="str">
        <f>IFERROR(VLOOKUP(CLEAN($V59),'All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59" s="14" t="str">
        <f>IFERROR(VLOOKUP(CLEAN($V59),'All Security Controls'!$A:$I,8, FALSE),"---")</f>
        <v>POA&amp;M</v>
      </c>
      <c r="AC59" s="14" t="str">
        <f>IFERROR(VLOOKUP(CLEAN($V59),'All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59" s="26">
        <v>58</v>
      </c>
    </row>
    <row r="60" spans="1:30" s="10" customFormat="1">
      <c r="A60"/>
      <c r="B60"/>
      <c r="C60"/>
      <c r="D60"/>
      <c r="E60"/>
      <c r="F60"/>
      <c r="G60"/>
      <c r="H60"/>
      <c r="I60"/>
      <c r="J60"/>
      <c r="K60"/>
      <c r="L60"/>
      <c r="M60"/>
      <c r="N60"/>
      <c r="O60"/>
      <c r="P60"/>
      <c r="Q60"/>
      <c r="R60"/>
      <c r="S60"/>
      <c r="T60"/>
      <c r="V60" s="66" t="s">
        <v>74</v>
      </c>
      <c r="W60" s="16" t="str">
        <f>IFERROR(VLOOKUP(CLEAN($V60),'All Security Controls'!A:I, 2, FALSE),"---")</f>
        <v>Data Mining Protection</v>
      </c>
      <c r="X60" s="14" t="str">
        <f>IFERROR(VLOOKUP(CLEAN($V60),'All Security Controls'!$A:$I, 4, FALSE),"---")</f>
        <v>CRWG White Criticality Control</v>
      </c>
      <c r="Y60" s="14" t="str">
        <f>IFERROR(VLOOKUP(CLEAN($V60),'All Security Controls'!$A:$I,5, FALSE),"---")</f>
        <v>Annually</v>
      </c>
      <c r="Z60" s="14" t="str">
        <f>IFERROR(VLOOKUP(CLEAN($V60),'All Security Controls'!$A:$I,6, FALSE),"---")</f>
        <v>Manual</v>
      </c>
      <c r="AA60" s="14" t="str">
        <f>IFERROR(VLOOKUP(CLEAN($V60),'All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60" s="14" t="str">
        <f>IFERROR(VLOOKUP(CLEAN($V60),'All Security Controls'!$A:$I,8, FALSE),"---")</f>
        <v>POA&amp;M</v>
      </c>
      <c r="AC60" s="14" t="str">
        <f>IFERROR(VLOOKUP(CLEAN($V60),'All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60" s="26">
        <v>59</v>
      </c>
    </row>
    <row r="61" spans="1:30" s="10" customFormat="1">
      <c r="A61"/>
      <c r="B61"/>
      <c r="C61"/>
      <c r="D61"/>
      <c r="E61"/>
      <c r="F61"/>
      <c r="G61"/>
      <c r="H61"/>
      <c r="I61"/>
      <c r="J61"/>
      <c r="K61"/>
      <c r="L61"/>
      <c r="M61"/>
      <c r="N61"/>
      <c r="O61"/>
      <c r="P61"/>
      <c r="Q61"/>
      <c r="R61"/>
      <c r="S61"/>
      <c r="T61"/>
      <c r="V61" s="66" t="s">
        <v>75</v>
      </c>
      <c r="W61" s="16" t="str">
        <f>IFERROR(VLOOKUP(CLEAN($V61),'All Security Controls'!A:I, 2, FALSE),"---")</f>
        <v>Authority to Collect</v>
      </c>
      <c r="X61" s="14" t="str">
        <f>IFERROR(VLOOKUP(CLEAN($V61),'All Security Controls'!$A:$I, 4, FALSE),"---")</f>
        <v>CRWG White Criticality Control</v>
      </c>
      <c r="Y61" s="14" t="str">
        <f>IFERROR(VLOOKUP(CLEAN($V61),'All Security Controls'!$A:$I,5, FALSE),"---")</f>
        <v>Annually</v>
      </c>
      <c r="Z61" s="14" t="str">
        <f>IFERROR(VLOOKUP(CLEAN($V61),'All Security Controls'!$A:$I,6, FALSE),"---")</f>
        <v>Manual</v>
      </c>
      <c r="AA61" s="14" t="str">
        <f>IFERROR(VLOOKUP(CLEAN($V61),'All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61" s="14" t="str">
        <f>IFERROR(VLOOKUP(CLEAN($V61),'All Security Controls'!$A:$I,8, FALSE),"---")</f>
        <v>POA&amp;M</v>
      </c>
      <c r="AC61" s="14" t="str">
        <f>IFERROR(VLOOKUP(CLEAN($V61),'All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61" s="26">
        <v>60</v>
      </c>
    </row>
    <row r="62" spans="1:30" s="10" customFormat="1">
      <c r="A62"/>
      <c r="B62"/>
      <c r="C62"/>
      <c r="D62"/>
      <c r="E62"/>
      <c r="F62"/>
      <c r="G62"/>
      <c r="H62"/>
      <c r="I62"/>
      <c r="J62"/>
      <c r="K62"/>
      <c r="L62"/>
      <c r="M62"/>
      <c r="N62"/>
      <c r="O62"/>
      <c r="P62"/>
      <c r="Q62"/>
      <c r="R62"/>
      <c r="S62"/>
      <c r="T62"/>
      <c r="V62" s="66" t="s">
        <v>76</v>
      </c>
      <c r="W62" s="16" t="str">
        <f>IFERROR(VLOOKUP(CLEAN($V62),'All Security Controls'!A:I, 2, FALSE),"---")</f>
        <v>Purpose Specification</v>
      </c>
      <c r="X62" s="14" t="str">
        <f>IFERROR(VLOOKUP(CLEAN($V62),'All Security Controls'!$A:$I, 4, FALSE),"---")</f>
        <v>CRWG White Criticality Control</v>
      </c>
      <c r="Y62" s="14" t="str">
        <f>IFERROR(VLOOKUP(CLEAN($V62),'All Security Controls'!$A:$I,5, FALSE),"---")</f>
        <v>Annually</v>
      </c>
      <c r="Z62" s="14" t="str">
        <f>IFERROR(VLOOKUP(CLEAN($V62),'All Security Controls'!$A:$I,6, FALSE),"---")</f>
        <v>Manual</v>
      </c>
      <c r="AA62" s="14" t="str">
        <f>IFERROR(VLOOKUP(CLEAN($V62),'All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62" s="14" t="str">
        <f>IFERROR(VLOOKUP(CLEAN($V62),'All Security Controls'!$A:$I,8, FALSE),"---")</f>
        <v>POA&amp;M</v>
      </c>
      <c r="AC62" s="14" t="str">
        <f>IFERROR(VLOOKUP(CLEAN($V62),'All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62" s="26">
        <v>61</v>
      </c>
    </row>
    <row r="63" spans="1:30" s="10" customFormat="1">
      <c r="A63"/>
      <c r="B63"/>
      <c r="C63"/>
      <c r="D63"/>
      <c r="E63"/>
      <c r="F63"/>
      <c r="G63"/>
      <c r="H63"/>
      <c r="I63"/>
      <c r="J63"/>
      <c r="K63"/>
      <c r="L63"/>
      <c r="M63"/>
      <c r="N63"/>
      <c r="O63"/>
      <c r="P63"/>
      <c r="Q63"/>
      <c r="R63"/>
      <c r="S63"/>
      <c r="T63"/>
      <c r="V63" s="66" t="s">
        <v>77</v>
      </c>
      <c r="W63" s="16" t="str">
        <f>IFERROR(VLOOKUP(CLEAN($V63),'All Security Controls'!A:I, 2, FALSE),"---")</f>
        <v>Governance and Privacy Program</v>
      </c>
      <c r="X63" s="14" t="str">
        <f>IFERROR(VLOOKUP(CLEAN($V63),'All Security Controls'!$A:$I, 4, FALSE),"---")</f>
        <v>CRWG White Criticality Control</v>
      </c>
      <c r="Y63" s="14" t="str">
        <f>IFERROR(VLOOKUP(CLEAN($V63),'All Security Controls'!$A:$I,5, FALSE),"---")</f>
        <v>Annually</v>
      </c>
      <c r="Z63" s="14" t="str">
        <f>IFERROR(VLOOKUP(CLEAN($V63),'All Security Controls'!$A:$I,6, FALSE),"---")</f>
        <v>Manual</v>
      </c>
      <c r="AA63" s="14" t="str">
        <f>IFERROR(VLOOKUP(CLEAN($V63),'All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63" s="14" t="str">
        <f>IFERROR(VLOOKUP(CLEAN($V63),'All Security Controls'!$A:$I,8, FALSE),"---")</f>
        <v>POA&amp;M</v>
      </c>
      <c r="AC63" s="14" t="str">
        <f>IFERROR(VLOOKUP(CLEAN($V63),'All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63" s="26">
        <v>62</v>
      </c>
    </row>
    <row r="64" spans="1:30" s="10" customFormat="1">
      <c r="A64"/>
      <c r="B64"/>
      <c r="C64"/>
      <c r="D64"/>
      <c r="E64"/>
      <c r="F64"/>
      <c r="G64"/>
      <c r="H64"/>
      <c r="I64"/>
      <c r="J64"/>
      <c r="K64"/>
      <c r="L64"/>
      <c r="M64"/>
      <c r="N64"/>
      <c r="O64"/>
      <c r="P64"/>
      <c r="Q64"/>
      <c r="R64"/>
      <c r="S64"/>
      <c r="T64"/>
      <c r="V64" s="66" t="s">
        <v>78</v>
      </c>
      <c r="W64" s="16" t="str">
        <f>IFERROR(VLOOKUP(CLEAN($V64),'All Security Controls'!A:I, 2, FALSE),"---")</f>
        <v>Privacy Impact and Risk Assessment</v>
      </c>
      <c r="X64" s="14" t="str">
        <f>IFERROR(VLOOKUP(CLEAN($V64),'All Security Controls'!$A:$I, 4, FALSE),"---")</f>
        <v>CRWG White Criticality Control</v>
      </c>
      <c r="Y64" s="14" t="str">
        <f>IFERROR(VLOOKUP(CLEAN($V64),'All Security Controls'!$A:$I,5, FALSE),"---")</f>
        <v>Annually</v>
      </c>
      <c r="Z64" s="14" t="str">
        <f>IFERROR(VLOOKUP(CLEAN($V64),'All Security Controls'!$A:$I,6, FALSE),"---")</f>
        <v>Manual</v>
      </c>
      <c r="AA64" s="14" t="str">
        <f>IFERROR(VLOOKUP(CLEAN($V64),'All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64" s="14" t="str">
        <f>IFERROR(VLOOKUP(CLEAN($V64),'All Security Controls'!$A:$I,8, FALSE),"---")</f>
        <v>POA&amp;M</v>
      </c>
      <c r="AC64" s="14" t="str">
        <f>IFERROR(VLOOKUP(CLEAN($V64),'All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64" s="26">
        <v>63</v>
      </c>
    </row>
    <row r="65" spans="1:30" s="10" customFormat="1">
      <c r="A65"/>
      <c r="B65"/>
      <c r="C65"/>
      <c r="D65"/>
      <c r="E65"/>
      <c r="F65"/>
      <c r="G65"/>
      <c r="H65"/>
      <c r="I65"/>
      <c r="J65"/>
      <c r="K65"/>
      <c r="L65"/>
      <c r="M65"/>
      <c r="N65"/>
      <c r="O65"/>
      <c r="P65"/>
      <c r="Q65"/>
      <c r="R65"/>
      <c r="S65"/>
      <c r="T65"/>
      <c r="V65" s="66" t="s">
        <v>79</v>
      </c>
      <c r="W65" s="16" t="str">
        <f>IFERROR(VLOOKUP(CLEAN($V65),'All Security Controls'!A:I, 2, FALSE),"---")</f>
        <v>Privacy Requirements for Contractors and Service Providers</v>
      </c>
      <c r="X65" s="14" t="str">
        <f>IFERROR(VLOOKUP(CLEAN($V65),'All Security Controls'!$A:$I, 4, FALSE),"---")</f>
        <v>CRWG White Criticality Control</v>
      </c>
      <c r="Y65" s="14" t="str">
        <f>IFERROR(VLOOKUP(CLEAN($V65),'All Security Controls'!$A:$I,5, FALSE),"---")</f>
        <v>Annually</v>
      </c>
      <c r="Z65" s="14" t="str">
        <f>IFERROR(VLOOKUP(CLEAN($V65),'All Security Controls'!$A:$I,6, FALSE),"---")</f>
        <v>Manual</v>
      </c>
      <c r="AA65" s="14" t="str">
        <f>IFERROR(VLOOKUP(CLEAN($V65),'All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65" s="14" t="str">
        <f>IFERROR(VLOOKUP(CLEAN($V65),'All Security Controls'!$A:$I,8, FALSE),"---")</f>
        <v>POA&amp;M</v>
      </c>
      <c r="AC65" s="14" t="str">
        <f>IFERROR(VLOOKUP(CLEAN($V65),'All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65" s="26">
        <v>64</v>
      </c>
    </row>
    <row r="66" spans="1:30" s="10" customFormat="1">
      <c r="A66"/>
      <c r="B66"/>
      <c r="C66"/>
      <c r="D66"/>
      <c r="E66"/>
      <c r="F66"/>
      <c r="G66"/>
      <c r="H66"/>
      <c r="I66"/>
      <c r="J66"/>
      <c r="K66"/>
      <c r="L66"/>
      <c r="M66"/>
      <c r="N66"/>
      <c r="O66"/>
      <c r="P66"/>
      <c r="Q66"/>
      <c r="R66"/>
      <c r="S66"/>
      <c r="T66"/>
      <c r="V66" s="66" t="s">
        <v>80</v>
      </c>
      <c r="W66" s="16" t="str">
        <f>IFERROR(VLOOKUP(CLEAN($V66),'All Security Controls'!A:I, 2, FALSE),"---")</f>
        <v>Privacy Monitoring and Auditing</v>
      </c>
      <c r="X66" s="14" t="str">
        <f>IFERROR(VLOOKUP(CLEAN($V66),'All Security Controls'!$A:$I, 4, FALSE),"---")</f>
        <v>CRWG White Criticality Control</v>
      </c>
      <c r="Y66" s="14" t="str">
        <f>IFERROR(VLOOKUP(CLEAN($V66),'All Security Controls'!$A:$I,5, FALSE),"---")</f>
        <v>Annually</v>
      </c>
      <c r="Z66" s="14" t="str">
        <f>IFERROR(VLOOKUP(CLEAN($V66),'All Security Controls'!$A:$I,6, FALSE),"---")</f>
        <v>Manual</v>
      </c>
      <c r="AA66" s="14" t="str">
        <f>IFERROR(VLOOKUP(CLEAN($V66),'All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66" s="14" t="str">
        <f>IFERROR(VLOOKUP(CLEAN($V66),'All Security Controls'!$A:$I,8, FALSE),"---")</f>
        <v>POA&amp;M</v>
      </c>
      <c r="AC66" s="14" t="str">
        <f>IFERROR(VLOOKUP(CLEAN($V66),'All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66" s="26">
        <v>65</v>
      </c>
    </row>
    <row r="67" spans="1:30" s="10" customFormat="1">
      <c r="A67"/>
      <c r="B67"/>
      <c r="C67"/>
      <c r="D67"/>
      <c r="E67"/>
      <c r="F67"/>
      <c r="G67"/>
      <c r="H67"/>
      <c r="I67"/>
      <c r="J67"/>
      <c r="K67"/>
      <c r="L67"/>
      <c r="M67"/>
      <c r="N67"/>
      <c r="O67"/>
      <c r="P67"/>
      <c r="Q67"/>
      <c r="R67"/>
      <c r="S67"/>
      <c r="T67"/>
      <c r="V67" s="66" t="s">
        <v>81</v>
      </c>
      <c r="W67" s="16" t="str">
        <f>IFERROR(VLOOKUP(CLEAN($V67),'All Security Controls'!A:I, 2, FALSE),"---")</f>
        <v>Privacy Awareness and Training</v>
      </c>
      <c r="X67" s="14" t="str">
        <f>IFERROR(VLOOKUP(CLEAN($V67),'All Security Controls'!$A:$I, 4, FALSE),"---")</f>
        <v>CRWG White Criticality Control</v>
      </c>
      <c r="Y67" s="14" t="str">
        <f>IFERROR(VLOOKUP(CLEAN($V67),'All Security Controls'!$A:$I,5, FALSE),"---")</f>
        <v>Annually</v>
      </c>
      <c r="Z67" s="14" t="str">
        <f>IFERROR(VLOOKUP(CLEAN($V67),'All Security Controls'!$A:$I,6, FALSE),"---")</f>
        <v>Manual</v>
      </c>
      <c r="AA67" s="14" t="str">
        <f>IFERROR(VLOOKUP(CLEAN($V67),'All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67" s="14" t="str">
        <f>IFERROR(VLOOKUP(CLEAN($V67),'All Security Controls'!$A:$I,8, FALSE),"---")</f>
        <v>POA&amp;M</v>
      </c>
      <c r="AC67" s="14" t="str">
        <f>IFERROR(VLOOKUP(CLEAN($V67),'All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67" s="26">
        <v>66</v>
      </c>
    </row>
    <row r="68" spans="1:30" s="10" customFormat="1">
      <c r="A68"/>
      <c r="B68"/>
      <c r="C68"/>
      <c r="D68"/>
      <c r="E68"/>
      <c r="F68"/>
      <c r="G68"/>
      <c r="H68"/>
      <c r="I68"/>
      <c r="J68"/>
      <c r="K68"/>
      <c r="L68"/>
      <c r="M68"/>
      <c r="N68"/>
      <c r="O68"/>
      <c r="P68"/>
      <c r="Q68"/>
      <c r="R68"/>
      <c r="S68"/>
      <c r="T68"/>
      <c r="V68" s="66" t="s">
        <v>82</v>
      </c>
      <c r="W68" s="16" t="str">
        <f>IFERROR(VLOOKUP(CLEAN($V68),'All Security Controls'!A:I, 2, FALSE),"---")</f>
        <v>Privacy Reporting</v>
      </c>
      <c r="X68" s="14" t="str">
        <f>IFERROR(VLOOKUP(CLEAN($V68),'All Security Controls'!$A:$I, 4, FALSE),"---")</f>
        <v>CRWG White Criticality Control</v>
      </c>
      <c r="Y68" s="14" t="str">
        <f>IFERROR(VLOOKUP(CLEAN($V68),'All Security Controls'!$A:$I,5, FALSE),"---")</f>
        <v>Annually</v>
      </c>
      <c r="Z68" s="14" t="str">
        <f>IFERROR(VLOOKUP(CLEAN($V68),'All Security Controls'!$A:$I,6, FALSE),"---")</f>
        <v>Manual</v>
      </c>
      <c r="AA68" s="14" t="str">
        <f>IFERROR(VLOOKUP(CLEAN($V68),'All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68" s="14" t="str">
        <f>IFERROR(VLOOKUP(CLEAN($V68),'All Security Controls'!$A:$I,8, FALSE),"---")</f>
        <v>POA&amp;M</v>
      </c>
      <c r="AC68" s="14" t="str">
        <f>IFERROR(VLOOKUP(CLEAN($V68),'All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68" s="26">
        <v>67</v>
      </c>
    </row>
    <row r="69" spans="1:30" s="10" customFormat="1">
      <c r="A69"/>
      <c r="B69"/>
      <c r="C69"/>
      <c r="D69"/>
      <c r="E69"/>
      <c r="F69"/>
      <c r="G69"/>
      <c r="H69"/>
      <c r="I69"/>
      <c r="J69"/>
      <c r="K69"/>
      <c r="L69"/>
      <c r="M69"/>
      <c r="N69"/>
      <c r="O69"/>
      <c r="P69"/>
      <c r="Q69"/>
      <c r="R69"/>
      <c r="S69"/>
      <c r="T69"/>
      <c r="V69" s="66" t="s">
        <v>83</v>
      </c>
      <c r="W69" s="16" t="str">
        <f>IFERROR(VLOOKUP(CLEAN($V69),'All Security Controls'!A:I, 2, FALSE),"---")</f>
        <v>Privacy-Enhanced System Design and Development</v>
      </c>
      <c r="X69" s="14" t="str">
        <f>IFERROR(VLOOKUP(CLEAN($V69),'All Security Controls'!$A:$I, 4, FALSE),"---")</f>
        <v>CRWG White Criticality Control</v>
      </c>
      <c r="Y69" s="14" t="str">
        <f>IFERROR(VLOOKUP(CLEAN($V69),'All Security Controls'!$A:$I,5, FALSE),"---")</f>
        <v>Annually</v>
      </c>
      <c r="Z69" s="14" t="str">
        <f>IFERROR(VLOOKUP(CLEAN($V69),'All Security Controls'!$A:$I,6, FALSE),"---")</f>
        <v>Manual</v>
      </c>
      <c r="AA69" s="14" t="str">
        <f>IFERROR(VLOOKUP(CLEAN($V69),'All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69" s="14" t="str">
        <f>IFERROR(VLOOKUP(CLEAN($V69),'All Security Controls'!$A:$I,8, FALSE),"---")</f>
        <v>POA&amp;M</v>
      </c>
      <c r="AC69" s="14" t="str">
        <f>IFERROR(VLOOKUP(CLEAN($V69),'All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69" s="26">
        <v>68</v>
      </c>
    </row>
    <row r="70" spans="1:30" s="10" customFormat="1">
      <c r="A70"/>
      <c r="B70"/>
      <c r="C70"/>
      <c r="D70"/>
      <c r="E70"/>
      <c r="F70"/>
      <c r="G70"/>
      <c r="H70"/>
      <c r="I70"/>
      <c r="J70"/>
      <c r="K70"/>
      <c r="L70"/>
      <c r="M70"/>
      <c r="N70"/>
      <c r="O70"/>
      <c r="P70"/>
      <c r="Q70"/>
      <c r="R70"/>
      <c r="S70"/>
      <c r="T70"/>
      <c r="V70" s="66" t="s">
        <v>84</v>
      </c>
      <c r="W70" s="16" t="str">
        <f>IFERROR(VLOOKUP(CLEAN($V70),'All Security Controls'!A:I, 2, FALSE),"---")</f>
        <v>Accounting of Disclosures</v>
      </c>
      <c r="X70" s="14" t="str">
        <f>IFERROR(VLOOKUP(CLEAN($V70),'All Security Controls'!$A:$I, 4, FALSE),"---")</f>
        <v>CRWG White Criticality Control</v>
      </c>
      <c r="Y70" s="14" t="str">
        <f>IFERROR(VLOOKUP(CLEAN($V70),'All Security Controls'!$A:$I,5, FALSE),"---")</f>
        <v>Annually</v>
      </c>
      <c r="Z70" s="14" t="str">
        <f>IFERROR(VLOOKUP(CLEAN($V70),'All Security Controls'!$A:$I,6, FALSE),"---")</f>
        <v>Manual</v>
      </c>
      <c r="AA70" s="14" t="str">
        <f>IFERROR(VLOOKUP(CLEAN($V70),'All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70" s="14" t="str">
        <f>IFERROR(VLOOKUP(CLEAN($V70),'All Security Controls'!$A:$I,8, FALSE),"---")</f>
        <v>POA&amp;M</v>
      </c>
      <c r="AC70" s="14" t="str">
        <f>IFERROR(VLOOKUP(CLEAN($V70),'All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70" s="26">
        <v>69</v>
      </c>
    </row>
    <row r="71" spans="1:30" s="10" customFormat="1">
      <c r="A71"/>
      <c r="B71"/>
      <c r="C71"/>
      <c r="D71"/>
      <c r="E71"/>
      <c r="F71"/>
      <c r="G71"/>
      <c r="H71"/>
      <c r="I71"/>
      <c r="J71"/>
      <c r="K71"/>
      <c r="L71"/>
      <c r="M71"/>
      <c r="N71"/>
      <c r="O71"/>
      <c r="P71"/>
      <c r="Q71"/>
      <c r="R71"/>
      <c r="S71"/>
      <c r="T71"/>
      <c r="V71" s="66" t="s">
        <v>85</v>
      </c>
      <c r="W71" s="16" t="str">
        <f>IFERROR(VLOOKUP(CLEAN($V71),'All Security Controls'!A:I, 2, FALSE),"---")</f>
        <v xml:space="preserve">Security Awareness And Training Policy And Procedures  </v>
      </c>
      <c r="X71" s="14" t="str">
        <f>IFERROR(VLOOKUP(CLEAN($V71),'All Security Controls'!$A:$I, 4, FALSE),"---")</f>
        <v>CRWG White Criticality Control</v>
      </c>
      <c r="Y71" s="14" t="str">
        <f>IFERROR(VLOOKUP(CLEAN($V71),'All Security Controls'!$A:$I,5, FALSE),"---")</f>
        <v>Annually</v>
      </c>
      <c r="Z71" s="14" t="str">
        <f>IFERROR(VLOOKUP(CLEAN($V71),'All Security Controls'!$A:$I,6, FALSE),"---")</f>
        <v>Manual</v>
      </c>
      <c r="AA71" s="14" t="str">
        <f>IFERROR(VLOOKUP(CLEAN($V71),'All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71" s="14" t="str">
        <f>IFERROR(VLOOKUP(CLEAN($V71),'All Security Controls'!$A:$I,8, FALSE),"---")</f>
        <v>POA&amp;M</v>
      </c>
      <c r="AC71" s="14" t="str">
        <f>IFERROR(VLOOKUP(CLEAN($V71),'All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71" s="26">
        <v>70</v>
      </c>
    </row>
    <row r="72" spans="1:30" s="10" customFormat="1">
      <c r="A72"/>
      <c r="B72"/>
      <c r="C72"/>
      <c r="D72"/>
      <c r="E72"/>
      <c r="F72"/>
      <c r="G72"/>
      <c r="H72"/>
      <c r="I72"/>
      <c r="J72"/>
      <c r="K72"/>
      <c r="L72"/>
      <c r="M72"/>
      <c r="N72"/>
      <c r="O72"/>
      <c r="P72"/>
      <c r="Q72"/>
      <c r="R72"/>
      <c r="S72"/>
      <c r="T72"/>
      <c r="V72" s="66" t="s">
        <v>86</v>
      </c>
      <c r="W72" s="16" t="str">
        <f>IFERROR(VLOOKUP(CLEAN($V72),'All Security Controls'!A:I, 2, FALSE),"---")</f>
        <v>Security Awareness  Training</v>
      </c>
      <c r="X72" s="14" t="str">
        <f>IFERROR(VLOOKUP(CLEAN($V72),'All Security Controls'!$A:$I, 4, FALSE),"---")</f>
        <v>CRWG White Criticality Control</v>
      </c>
      <c r="Y72" s="14" t="str">
        <f>IFERROR(VLOOKUP(CLEAN($V72),'All Security Controls'!$A:$I,5, FALSE),"---")</f>
        <v>Annually</v>
      </c>
      <c r="Z72" s="14" t="str">
        <f>IFERROR(VLOOKUP(CLEAN($V72),'All Security Controls'!$A:$I,6, FALSE),"---")</f>
        <v>Manual</v>
      </c>
      <c r="AA72" s="14" t="str">
        <f>IFERROR(VLOOKUP(CLEAN($V72),'All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72" s="14" t="str">
        <f>IFERROR(VLOOKUP(CLEAN($V72),'All Security Controls'!$A:$I,8, FALSE),"---")</f>
        <v>POA&amp;M</v>
      </c>
      <c r="AC72" s="14" t="str">
        <f>IFERROR(VLOOKUP(CLEAN($V72),'All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72" s="26">
        <v>71</v>
      </c>
    </row>
    <row r="73" spans="1:30" s="10" customFormat="1">
      <c r="A73"/>
      <c r="B73"/>
      <c r="C73"/>
      <c r="D73"/>
      <c r="E73"/>
      <c r="F73"/>
      <c r="G73"/>
      <c r="H73"/>
      <c r="I73"/>
      <c r="J73"/>
      <c r="K73"/>
      <c r="L73"/>
      <c r="M73"/>
      <c r="N73"/>
      <c r="O73"/>
      <c r="P73"/>
      <c r="Q73"/>
      <c r="R73"/>
      <c r="S73"/>
      <c r="T73"/>
      <c r="V73" s="66" t="s">
        <v>87</v>
      </c>
      <c r="W73" s="16" t="str">
        <f>IFERROR(VLOOKUP(CLEAN($V73),'All Security Controls'!A:I, 2, FALSE),"---")</f>
        <v>Security Awareness  Training | Insider Threat</v>
      </c>
      <c r="X73" s="14" t="str">
        <f>IFERROR(VLOOKUP(CLEAN($V73),'All Security Controls'!$A:$I, 4, FALSE),"---")</f>
        <v>CRWG White Criticality Control</v>
      </c>
      <c r="Y73" s="14" t="str">
        <f>IFERROR(VLOOKUP(CLEAN($V73),'All Security Controls'!$A:$I,5, FALSE),"---")</f>
        <v>Annually</v>
      </c>
      <c r="Z73" s="14" t="str">
        <f>IFERROR(VLOOKUP(CLEAN($V73),'All Security Controls'!$A:$I,6, FALSE),"---")</f>
        <v>Manual</v>
      </c>
      <c r="AA73" s="14" t="str">
        <f>IFERROR(VLOOKUP(CLEAN($V73),'All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73" s="14" t="str">
        <f>IFERROR(VLOOKUP(CLEAN($V73),'All Security Controls'!$A:$I,8, FALSE),"---")</f>
        <v>POA&amp;M</v>
      </c>
      <c r="AC73" s="14" t="str">
        <f>IFERROR(VLOOKUP(CLEAN($V73),'All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73" s="26">
        <v>72</v>
      </c>
    </row>
    <row r="74" spans="1:30" s="10" customFormat="1">
      <c r="A74"/>
      <c r="B74"/>
      <c r="C74"/>
      <c r="D74"/>
      <c r="E74"/>
      <c r="F74"/>
      <c r="G74"/>
      <c r="H74"/>
      <c r="I74"/>
      <c r="J74"/>
      <c r="K74"/>
      <c r="L74"/>
      <c r="M74"/>
      <c r="N74"/>
      <c r="O74"/>
      <c r="P74"/>
      <c r="Q74"/>
      <c r="R74"/>
      <c r="S74"/>
      <c r="T74"/>
      <c r="V74" s="66" t="s">
        <v>88</v>
      </c>
      <c r="W74" s="16" t="str">
        <f>IFERROR(VLOOKUP(CLEAN($V74),'All Security Controls'!A:I, 2, FALSE),"---")</f>
        <v xml:space="preserve">Role-Based Security Training  </v>
      </c>
      <c r="X74" s="14" t="str">
        <f>IFERROR(VLOOKUP(CLEAN($V74),'All Security Controls'!$A:$I, 4, FALSE),"---")</f>
        <v>CRWG White Criticality Control</v>
      </c>
      <c r="Y74" s="14" t="str">
        <f>IFERROR(VLOOKUP(CLEAN($V74),'All Security Controls'!$A:$I,5, FALSE),"---")</f>
        <v>Annually</v>
      </c>
      <c r="Z74" s="14" t="str">
        <f>IFERROR(VLOOKUP(CLEAN($V74),'All Security Controls'!$A:$I,6, FALSE),"---")</f>
        <v>Manual</v>
      </c>
      <c r="AA74" s="14" t="str">
        <f>IFERROR(VLOOKUP(CLEAN($V74),'All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74" s="14" t="str">
        <f>IFERROR(VLOOKUP(CLEAN($V74),'All Security Controls'!$A:$I,8, FALSE),"---")</f>
        <v>POA&amp;M</v>
      </c>
      <c r="AC74" s="14" t="str">
        <f>IFERROR(VLOOKUP(CLEAN($V74),'All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74" s="26">
        <v>73</v>
      </c>
    </row>
    <row r="75" spans="1:30" s="10" customFormat="1">
      <c r="A75"/>
      <c r="B75"/>
      <c r="C75"/>
      <c r="D75"/>
      <c r="E75"/>
      <c r="F75"/>
      <c r="G75"/>
      <c r="H75"/>
      <c r="I75"/>
      <c r="J75"/>
      <c r="K75"/>
      <c r="L75"/>
      <c r="M75"/>
      <c r="N75"/>
      <c r="O75"/>
      <c r="P75"/>
      <c r="Q75"/>
      <c r="R75"/>
      <c r="S75"/>
      <c r="T75"/>
      <c r="V75" s="66" t="s">
        <v>89</v>
      </c>
      <c r="W75" s="16" t="str">
        <f>IFERROR(VLOOKUP(CLEAN($V75),'All Security Controls'!A:I, 2, FALSE),"---")</f>
        <v>Security Training | Physical Security Controls</v>
      </c>
      <c r="X75" s="14" t="str">
        <f>IFERROR(VLOOKUP(CLEAN($V75),'All Security Controls'!$A:$I, 4, FALSE),"---")</f>
        <v>CRWG White Criticality Control</v>
      </c>
      <c r="Y75" s="14" t="str">
        <f>IFERROR(VLOOKUP(CLEAN($V75),'All Security Controls'!$A:$I,5, FALSE),"---")</f>
        <v>Annually</v>
      </c>
      <c r="Z75" s="14" t="str">
        <f>IFERROR(VLOOKUP(CLEAN($V75),'All Security Controls'!$A:$I,6, FALSE),"---")</f>
        <v>Manual</v>
      </c>
      <c r="AA75" s="14" t="str">
        <f>IFERROR(VLOOKUP(CLEAN($V75),'All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75" s="14" t="str">
        <f>IFERROR(VLOOKUP(CLEAN($V75),'All Security Controls'!$A:$I,8, FALSE),"---")</f>
        <v>POA&amp;M</v>
      </c>
      <c r="AC75" s="14" t="str">
        <f>IFERROR(VLOOKUP(CLEAN($V75),'All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75" s="26">
        <v>74</v>
      </c>
    </row>
    <row r="76" spans="1:30" s="10" customFormat="1">
      <c r="A76"/>
      <c r="B76"/>
      <c r="C76"/>
      <c r="D76"/>
      <c r="E76"/>
      <c r="F76"/>
      <c r="G76"/>
      <c r="H76"/>
      <c r="I76"/>
      <c r="J76"/>
      <c r="K76"/>
      <c r="L76"/>
      <c r="M76"/>
      <c r="N76"/>
      <c r="O76"/>
      <c r="P76"/>
      <c r="Q76"/>
      <c r="R76"/>
      <c r="S76"/>
      <c r="T76"/>
      <c r="V76" s="66" t="s">
        <v>90</v>
      </c>
      <c r="W76" s="16" t="str">
        <f>IFERROR(VLOOKUP(CLEAN($V76),'All Security Controls'!A:I, 2, FALSE),"---")</f>
        <v>Security Training | Suspicious Communications and Anomalous System Behavior</v>
      </c>
      <c r="X76" s="14" t="str">
        <f>IFERROR(VLOOKUP(CLEAN($V76),'All Security Controls'!$A:$I, 4, FALSE),"---")</f>
        <v>CRWG White Criticality Control</v>
      </c>
      <c r="Y76" s="14" t="str">
        <f>IFERROR(VLOOKUP(CLEAN($V76),'All Security Controls'!$A:$I,5, FALSE),"---")</f>
        <v>Annually</v>
      </c>
      <c r="Z76" s="14" t="str">
        <f>IFERROR(VLOOKUP(CLEAN($V76),'All Security Controls'!$A:$I,6, FALSE),"---")</f>
        <v>Manual</v>
      </c>
      <c r="AA76" s="14" t="str">
        <f>IFERROR(VLOOKUP(CLEAN($V76),'All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76" s="14" t="str">
        <f>IFERROR(VLOOKUP(CLEAN($V76),'All Security Controls'!$A:$I,8, FALSE),"---")</f>
        <v>POA&amp;M</v>
      </c>
      <c r="AC76" s="14" t="str">
        <f>IFERROR(VLOOKUP(CLEAN($V76),'All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76" s="26">
        <v>75</v>
      </c>
    </row>
    <row r="77" spans="1:30" s="10" customFormat="1">
      <c r="A77"/>
      <c r="B77"/>
      <c r="C77"/>
      <c r="D77"/>
      <c r="E77"/>
      <c r="F77"/>
      <c r="G77"/>
      <c r="H77"/>
      <c r="I77"/>
      <c r="J77"/>
      <c r="K77"/>
      <c r="L77"/>
      <c r="M77"/>
      <c r="N77"/>
      <c r="O77"/>
      <c r="P77"/>
      <c r="Q77"/>
      <c r="R77"/>
      <c r="S77"/>
      <c r="T77"/>
      <c r="V77" s="66" t="s">
        <v>91</v>
      </c>
      <c r="W77" s="16" t="str">
        <f>IFERROR(VLOOKUP(CLEAN($V77),'All Security Controls'!A:I, 2, FALSE),"---")</f>
        <v xml:space="preserve">Security Training Records  </v>
      </c>
      <c r="X77" s="14" t="str">
        <f>IFERROR(VLOOKUP(CLEAN($V77),'All Security Controls'!$A:$I, 4, FALSE),"---")</f>
        <v>CRWG White Criticality Control</v>
      </c>
      <c r="Y77" s="14" t="str">
        <f>IFERROR(VLOOKUP(CLEAN($V77),'All Security Controls'!$A:$I,5, FALSE),"---")</f>
        <v>Annually</v>
      </c>
      <c r="Z77" s="14" t="str">
        <f>IFERROR(VLOOKUP(CLEAN($V77),'All Security Controls'!$A:$I,6, FALSE),"---")</f>
        <v>Manual</v>
      </c>
      <c r="AA77" s="14" t="str">
        <f>IFERROR(VLOOKUP(CLEAN($V77),'All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77" s="14" t="str">
        <f>IFERROR(VLOOKUP(CLEAN($V77),'All Security Controls'!$A:$I,8, FALSE),"---")</f>
        <v>POA&amp;M</v>
      </c>
      <c r="AC77" s="14" t="str">
        <f>IFERROR(VLOOKUP(CLEAN($V77),'All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77" s="26">
        <v>76</v>
      </c>
    </row>
    <row r="78" spans="1:30" s="10" customFormat="1">
      <c r="A78"/>
      <c r="B78"/>
      <c r="C78"/>
      <c r="D78"/>
      <c r="E78"/>
      <c r="F78"/>
      <c r="G78"/>
      <c r="H78"/>
      <c r="I78"/>
      <c r="J78"/>
      <c r="K78"/>
      <c r="L78"/>
      <c r="M78"/>
      <c r="N78"/>
      <c r="O78"/>
      <c r="P78"/>
      <c r="Q78"/>
      <c r="R78"/>
      <c r="S78"/>
      <c r="T78"/>
      <c r="V78" s="66" t="s">
        <v>92</v>
      </c>
      <c r="W78" s="16" t="str">
        <f>IFERROR(VLOOKUP(CLEAN($V78),'All Security Controls'!A:I, 2, FALSE),"---")</f>
        <v xml:space="preserve">Audit And Accountability Policy And Procedures  </v>
      </c>
      <c r="X78" s="14" t="str">
        <f>IFERROR(VLOOKUP(CLEAN($V78),'All Security Controls'!$A:$I, 4, FALSE),"---")</f>
        <v>CRWG White Criticality Control</v>
      </c>
      <c r="Y78" s="14" t="str">
        <f>IFERROR(VLOOKUP(CLEAN($V78),'All Security Controls'!$A:$I,5, FALSE),"---")</f>
        <v>Annually</v>
      </c>
      <c r="Z78" s="14" t="str">
        <f>IFERROR(VLOOKUP(CLEAN($V78),'All Security Controls'!$A:$I,6, FALSE),"---")</f>
        <v>Manual</v>
      </c>
      <c r="AA78" s="14" t="str">
        <f>IFERROR(VLOOKUP(CLEAN($V78),'All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78" s="14" t="str">
        <f>IFERROR(VLOOKUP(CLEAN($V78),'All Security Controls'!$A:$I,8, FALSE),"---")</f>
        <v>POA&amp;M</v>
      </c>
      <c r="AC78" s="14" t="str">
        <f>IFERROR(VLOOKUP(CLEAN($V78),'All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78" s="26">
        <v>77</v>
      </c>
    </row>
    <row r="79" spans="1:30" s="10" customFormat="1">
      <c r="A79"/>
      <c r="B79"/>
      <c r="C79"/>
      <c r="D79"/>
      <c r="E79"/>
      <c r="F79"/>
      <c r="G79"/>
      <c r="H79"/>
      <c r="I79"/>
      <c r="J79"/>
      <c r="K79"/>
      <c r="L79"/>
      <c r="M79"/>
      <c r="N79"/>
      <c r="O79"/>
      <c r="P79"/>
      <c r="Q79"/>
      <c r="R79"/>
      <c r="S79"/>
      <c r="T79"/>
      <c r="V79" s="66" t="s">
        <v>93</v>
      </c>
      <c r="W79" s="16" t="str">
        <f>IFERROR(VLOOKUP(CLEAN($V79),'All Security Controls'!A:I, 2, FALSE),"---")</f>
        <v xml:space="preserve">Auditable Events  </v>
      </c>
      <c r="X79" s="14" t="str">
        <f>IFERROR(VLOOKUP(CLEAN($V79),'All Security Controls'!$A:$I, 4, FALSE),"---")</f>
        <v>CRWG White Criticality Control</v>
      </c>
      <c r="Y79" s="14" t="str">
        <f>IFERROR(VLOOKUP(CLEAN($V79),'All Security Controls'!$A:$I,5, FALSE),"---")</f>
        <v>Annually</v>
      </c>
      <c r="Z79" s="14" t="str">
        <f>IFERROR(VLOOKUP(CLEAN($V79),'All Security Controls'!$A:$I,6, FALSE),"---")</f>
        <v>Manual</v>
      </c>
      <c r="AA79" s="14" t="str">
        <f>IFERROR(VLOOKUP(CLEAN($V79),'All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79" s="14" t="str">
        <f>IFERROR(VLOOKUP(CLEAN($V79),'All Security Controls'!$A:$I,8, FALSE),"---")</f>
        <v>POA&amp;M</v>
      </c>
      <c r="AC79" s="14" t="str">
        <f>IFERROR(VLOOKUP(CLEAN($V79),'All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79" s="26">
        <v>78</v>
      </c>
    </row>
    <row r="80" spans="1:30" s="10" customFormat="1">
      <c r="A80"/>
      <c r="B80"/>
      <c r="C80"/>
      <c r="D80"/>
      <c r="E80"/>
      <c r="F80"/>
      <c r="G80"/>
      <c r="H80"/>
      <c r="I80"/>
      <c r="J80"/>
      <c r="K80"/>
      <c r="L80"/>
      <c r="M80"/>
      <c r="N80"/>
      <c r="O80"/>
      <c r="P80"/>
      <c r="Q80"/>
      <c r="R80"/>
      <c r="S80"/>
      <c r="T80"/>
      <c r="V80" s="66" t="s">
        <v>94</v>
      </c>
      <c r="W80" s="16" t="str">
        <f>IFERROR(VLOOKUP(CLEAN($V80),'All Security Controls'!A:I, 2, FALSE),"---")</f>
        <v>Auditable Events  | Reviews and Updates</v>
      </c>
      <c r="X80" s="14" t="str">
        <f>IFERROR(VLOOKUP(CLEAN($V80),'All Security Controls'!$A:$I, 4, FALSE),"---")</f>
        <v>CRWG White Criticality Control</v>
      </c>
      <c r="Y80" s="14" t="str">
        <f>IFERROR(VLOOKUP(CLEAN($V80),'All Security Controls'!$A:$I,5, FALSE),"---")</f>
        <v>Annually</v>
      </c>
      <c r="Z80" s="14" t="str">
        <f>IFERROR(VLOOKUP(CLEAN($V80),'All Security Controls'!$A:$I,6, FALSE),"---")</f>
        <v>Manual</v>
      </c>
      <c r="AA80" s="14" t="str">
        <f>IFERROR(VLOOKUP(CLEAN($V80),'All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80" s="14" t="str">
        <f>IFERROR(VLOOKUP(CLEAN($V80),'All Security Controls'!$A:$I,8, FALSE),"---")</f>
        <v>POA&amp;M</v>
      </c>
      <c r="AC80" s="14" t="str">
        <f>IFERROR(VLOOKUP(CLEAN($V80),'All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80" s="26">
        <v>79</v>
      </c>
    </row>
    <row r="81" spans="1:30" s="10" customFormat="1">
      <c r="A81"/>
      <c r="B81"/>
      <c r="C81"/>
      <c r="D81"/>
      <c r="E81"/>
      <c r="F81"/>
      <c r="G81"/>
      <c r="H81"/>
      <c r="I81"/>
      <c r="J81"/>
      <c r="K81"/>
      <c r="L81"/>
      <c r="M81"/>
      <c r="N81"/>
      <c r="O81"/>
      <c r="P81"/>
      <c r="Q81"/>
      <c r="R81"/>
      <c r="S81"/>
      <c r="T81"/>
      <c r="V81" s="66" t="s">
        <v>95</v>
      </c>
      <c r="W81" s="16" t="str">
        <f>IFERROR(VLOOKUP(CLEAN($V81),'All Security Controls'!A:I, 2, FALSE),"---")</f>
        <v xml:space="preserve">Content Of Audit Records  </v>
      </c>
      <c r="X81" s="14" t="str">
        <f>IFERROR(VLOOKUP(CLEAN($V81),'All Security Controls'!$A:$I, 4, FALSE),"---")</f>
        <v>CRWG White Criticality Control</v>
      </c>
      <c r="Y81" s="14" t="str">
        <f>IFERROR(VLOOKUP(CLEAN($V81),'All Security Controls'!$A:$I,5, FALSE),"---")</f>
        <v>Annually</v>
      </c>
      <c r="Z81" s="14" t="str">
        <f>IFERROR(VLOOKUP(CLEAN($V81),'All Security Controls'!$A:$I,6, FALSE),"---")</f>
        <v>Manual</v>
      </c>
      <c r="AA81" s="14" t="str">
        <f>IFERROR(VLOOKUP(CLEAN($V81),'All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81" s="14" t="str">
        <f>IFERROR(VLOOKUP(CLEAN($V81),'All Security Controls'!$A:$I,8, FALSE),"---")</f>
        <v>POA&amp;M</v>
      </c>
      <c r="AC81" s="14" t="str">
        <f>IFERROR(VLOOKUP(CLEAN($V81),'All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81" s="26">
        <v>80</v>
      </c>
    </row>
    <row r="82" spans="1:30" s="10" customFormat="1">
      <c r="A82"/>
      <c r="B82"/>
      <c r="C82"/>
      <c r="D82"/>
      <c r="E82"/>
      <c r="F82"/>
      <c r="G82"/>
      <c r="H82"/>
      <c r="I82"/>
      <c r="J82"/>
      <c r="K82"/>
      <c r="L82"/>
      <c r="M82"/>
      <c r="N82"/>
      <c r="O82"/>
      <c r="P82"/>
      <c r="Q82"/>
      <c r="R82"/>
      <c r="S82"/>
      <c r="T82"/>
      <c r="V82" s="66" t="s">
        <v>96</v>
      </c>
      <c r="W82" s="16" t="str">
        <f>IFERROR(VLOOKUP(CLEAN($V82),'All Security Controls'!A:I, 2, FALSE),"---")</f>
        <v>Content Of Audit Records| Additional Audit Information</v>
      </c>
      <c r="X82" s="14" t="str">
        <f>IFERROR(VLOOKUP(CLEAN($V82),'All Security Controls'!$A:$I, 4, FALSE),"---")</f>
        <v>CRWG White Criticality Control</v>
      </c>
      <c r="Y82" s="14" t="str">
        <f>IFERROR(VLOOKUP(CLEAN($V82),'All Security Controls'!$A:$I,5, FALSE),"---")</f>
        <v>Annually</v>
      </c>
      <c r="Z82" s="14" t="str">
        <f>IFERROR(VLOOKUP(CLEAN($V82),'All Security Controls'!$A:$I,6, FALSE),"---")</f>
        <v>Manual</v>
      </c>
      <c r="AA82" s="14" t="str">
        <f>IFERROR(VLOOKUP(CLEAN($V82),'All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82" s="14" t="str">
        <f>IFERROR(VLOOKUP(CLEAN($V82),'All Security Controls'!$A:$I,8, FALSE),"---")</f>
        <v>POA&amp;M</v>
      </c>
      <c r="AC82" s="14" t="str">
        <f>IFERROR(VLOOKUP(CLEAN($V82),'All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82" s="26">
        <v>81</v>
      </c>
    </row>
    <row r="83" spans="1:30" s="10" customFormat="1">
      <c r="A83"/>
      <c r="B83"/>
      <c r="C83"/>
      <c r="D83"/>
      <c r="E83"/>
      <c r="F83"/>
      <c r="G83"/>
      <c r="H83"/>
      <c r="I83"/>
      <c r="J83"/>
      <c r="K83"/>
      <c r="L83"/>
      <c r="M83"/>
      <c r="N83"/>
      <c r="O83"/>
      <c r="P83"/>
      <c r="Q83"/>
      <c r="R83"/>
      <c r="S83"/>
      <c r="T83"/>
      <c r="V83" s="66" t="s">
        <v>97</v>
      </c>
      <c r="W83" s="16" t="str">
        <f>IFERROR(VLOOKUP(CLEAN($V83),'All Security Controls'!A:I, 2, FALSE),"---")</f>
        <v>Content Of Audit Records  | Centralized Management of Planned Audit Record Content</v>
      </c>
      <c r="X83" s="14" t="str">
        <f>IFERROR(VLOOKUP(CLEAN($V83),'All Security Controls'!$A:$I, 4, FALSE),"---")</f>
        <v>CRWG White Criticality Control</v>
      </c>
      <c r="Y83" s="14" t="str">
        <f>IFERROR(VLOOKUP(CLEAN($V83),'All Security Controls'!$A:$I,5, FALSE),"---")</f>
        <v>Annually</v>
      </c>
      <c r="Z83" s="14" t="str">
        <f>IFERROR(VLOOKUP(CLEAN($V83),'All Security Controls'!$A:$I,6, FALSE),"---")</f>
        <v>Manual</v>
      </c>
      <c r="AA83" s="14" t="str">
        <f>IFERROR(VLOOKUP(CLEAN($V83),'All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83" s="14" t="str">
        <f>IFERROR(VLOOKUP(CLEAN($V83),'All Security Controls'!$A:$I,8, FALSE),"---")</f>
        <v>POA&amp;M</v>
      </c>
      <c r="AC83" s="14" t="str">
        <f>IFERROR(VLOOKUP(CLEAN($V83),'All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83" s="26">
        <v>82</v>
      </c>
    </row>
    <row r="84" spans="1:30" s="10" customFormat="1">
      <c r="A84"/>
      <c r="B84"/>
      <c r="C84"/>
      <c r="D84"/>
      <c r="E84"/>
      <c r="F84"/>
      <c r="G84"/>
      <c r="H84"/>
      <c r="I84"/>
      <c r="J84"/>
      <c r="K84"/>
      <c r="L84"/>
      <c r="M84"/>
      <c r="N84"/>
      <c r="O84"/>
      <c r="P84"/>
      <c r="Q84"/>
      <c r="R84"/>
      <c r="S84"/>
      <c r="T84"/>
      <c r="V84" s="66" t="s">
        <v>98</v>
      </c>
      <c r="W84" s="16" t="str">
        <f>IFERROR(VLOOKUP(CLEAN($V84),'All Security Controls'!A:I, 2, FALSE),"---")</f>
        <v xml:space="preserve">Audit Storage Capacity  </v>
      </c>
      <c r="X84" s="14" t="str">
        <f>IFERROR(VLOOKUP(CLEAN($V84),'All Security Controls'!$A:$I, 4, FALSE),"---")</f>
        <v>CRWG White Criticality Control</v>
      </c>
      <c r="Y84" s="14" t="str">
        <f>IFERROR(VLOOKUP(CLEAN($V84),'All Security Controls'!$A:$I,5, FALSE),"---")</f>
        <v>Annually</v>
      </c>
      <c r="Z84" s="14" t="str">
        <f>IFERROR(VLOOKUP(CLEAN($V84),'All Security Controls'!$A:$I,6, FALSE),"---")</f>
        <v>Manual</v>
      </c>
      <c r="AA84" s="14" t="str">
        <f>IFERROR(VLOOKUP(CLEAN($V84),'All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84" s="14" t="str">
        <f>IFERROR(VLOOKUP(CLEAN($V84),'All Security Controls'!$A:$I,8, FALSE),"---")</f>
        <v>POA&amp;M</v>
      </c>
      <c r="AC84" s="14" t="str">
        <f>IFERROR(VLOOKUP(CLEAN($V84),'All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84" s="26">
        <v>83</v>
      </c>
    </row>
    <row r="85" spans="1:30" s="10" customFormat="1">
      <c r="A85"/>
      <c r="B85"/>
      <c r="C85"/>
      <c r="D85"/>
      <c r="E85"/>
      <c r="F85"/>
      <c r="G85"/>
      <c r="H85"/>
      <c r="I85"/>
      <c r="J85"/>
      <c r="K85"/>
      <c r="L85"/>
      <c r="M85"/>
      <c r="N85"/>
      <c r="O85"/>
      <c r="P85"/>
      <c r="Q85"/>
      <c r="R85"/>
      <c r="S85"/>
      <c r="T85"/>
      <c r="V85" s="66" t="s">
        <v>99</v>
      </c>
      <c r="W85" s="16" t="str">
        <f>IFERROR(VLOOKUP(CLEAN($V85),'All Security Controls'!A:I, 2, FALSE),"---")</f>
        <v>Audit Storage Capacity | Transfer to Alternate Storage</v>
      </c>
      <c r="X85" s="14" t="str">
        <f>IFERROR(VLOOKUP(CLEAN($V85),'All Security Controls'!$A:$I, 4, FALSE),"---")</f>
        <v>CRWG White Criticality Control</v>
      </c>
      <c r="Y85" s="14" t="str">
        <f>IFERROR(VLOOKUP(CLEAN($V85),'All Security Controls'!$A:$I,5, FALSE),"---")</f>
        <v>Annually</v>
      </c>
      <c r="Z85" s="14" t="str">
        <f>IFERROR(VLOOKUP(CLEAN($V85),'All Security Controls'!$A:$I,6, FALSE),"---")</f>
        <v>Manual</v>
      </c>
      <c r="AA85" s="14" t="str">
        <f>IFERROR(VLOOKUP(CLEAN($V85),'All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85" s="14" t="str">
        <f>IFERROR(VLOOKUP(CLEAN($V85),'All Security Controls'!$A:$I,8, FALSE),"---")</f>
        <v>POA&amp;M</v>
      </c>
      <c r="AC85" s="14" t="str">
        <f>IFERROR(VLOOKUP(CLEAN($V85),'All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85" s="26">
        <v>84</v>
      </c>
    </row>
    <row r="86" spans="1:30" s="10" customFormat="1">
      <c r="A86"/>
      <c r="B86"/>
      <c r="C86"/>
      <c r="D86"/>
      <c r="E86"/>
      <c r="F86"/>
      <c r="G86"/>
      <c r="H86"/>
      <c r="I86"/>
      <c r="J86"/>
      <c r="K86"/>
      <c r="L86"/>
      <c r="M86"/>
      <c r="N86"/>
      <c r="O86"/>
      <c r="P86"/>
      <c r="Q86"/>
      <c r="R86"/>
      <c r="S86"/>
      <c r="T86"/>
      <c r="V86" s="66" t="s">
        <v>100</v>
      </c>
      <c r="W86" s="16" t="str">
        <f>IFERROR(VLOOKUP(CLEAN($V86),'All Security Controls'!A:I, 2, FALSE),"---")</f>
        <v xml:space="preserve">Response To Audit Processing Failures  </v>
      </c>
      <c r="X86" s="14" t="str">
        <f>IFERROR(VLOOKUP(CLEAN($V86),'All Security Controls'!$A:$I, 4, FALSE),"---")</f>
        <v>CRWG Yellow Criticality Control</v>
      </c>
      <c r="Y86" s="14" t="str">
        <f>IFERROR(VLOOKUP(CLEAN($V86),'All Security Controls'!$A:$I,5, FALSE),"---")</f>
        <v>Monthly</v>
      </c>
      <c r="Z86" s="14" t="str">
        <f>IFERROR(VLOOKUP(CLEAN($V86),'All Security Controls'!$A:$I,6, FALSE),"---")</f>
        <v>Manual</v>
      </c>
      <c r="AA86" s="14" t="str">
        <f>IFERROR(VLOOKUP(CLEAN($V86),'All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86" s="14" t="str">
        <f>IFERROR(VLOOKUP(CLEAN($V86),'All Security Controls'!$A:$I,8, FALSE),"---")</f>
        <v>POA&amp;M</v>
      </c>
      <c r="AC86" s="14" t="str">
        <f>IFERROR(VLOOKUP(CLEAN($V86),'All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86" s="26">
        <v>85</v>
      </c>
    </row>
    <row r="87" spans="1:30" s="10" customFormat="1">
      <c r="A87"/>
      <c r="B87"/>
      <c r="C87"/>
      <c r="D87"/>
      <c r="E87"/>
      <c r="F87"/>
      <c r="G87"/>
      <c r="H87"/>
      <c r="I87"/>
      <c r="J87"/>
      <c r="K87"/>
      <c r="L87"/>
      <c r="M87"/>
      <c r="N87"/>
      <c r="O87"/>
      <c r="P87"/>
      <c r="Q87"/>
      <c r="R87"/>
      <c r="S87"/>
      <c r="T87"/>
      <c r="V87" s="66" t="s">
        <v>101</v>
      </c>
      <c r="W87" s="16" t="str">
        <f>IFERROR(VLOOKUP(CLEAN($V87),'All Security Controls'!A:I, 2, FALSE),"---")</f>
        <v xml:space="preserve">Response To Audit Processing Failures | Audit Storage Capacity  </v>
      </c>
      <c r="X87" s="14" t="str">
        <f>IFERROR(VLOOKUP(CLEAN($V87),'All Security Controls'!$A:$I, 4, FALSE),"---")</f>
        <v>CRWG Yellow Criticality Control</v>
      </c>
      <c r="Y87" s="14" t="str">
        <f>IFERROR(VLOOKUP(CLEAN($V87),'All Security Controls'!$A:$I,5, FALSE),"---")</f>
        <v>Monthly</v>
      </c>
      <c r="Z87" s="14" t="str">
        <f>IFERROR(VLOOKUP(CLEAN($V87),'All Security Controls'!$A:$I,6, FALSE),"---")</f>
        <v>Manual</v>
      </c>
      <c r="AA87" s="14" t="str">
        <f>IFERROR(VLOOKUP(CLEAN($V87),'All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87" s="14" t="str">
        <f>IFERROR(VLOOKUP(CLEAN($V87),'All Security Controls'!$A:$I,8, FALSE),"---")</f>
        <v>POA&amp;M</v>
      </c>
      <c r="AC87" s="14" t="str">
        <f>IFERROR(VLOOKUP(CLEAN($V87),'All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87" s="26">
        <v>86</v>
      </c>
    </row>
    <row r="88" spans="1:30" s="10" customFormat="1">
      <c r="A88"/>
      <c r="B88"/>
      <c r="C88"/>
      <c r="D88"/>
      <c r="E88"/>
      <c r="F88"/>
      <c r="G88"/>
      <c r="H88"/>
      <c r="I88"/>
      <c r="J88"/>
      <c r="K88"/>
      <c r="L88"/>
      <c r="M88"/>
      <c r="N88"/>
      <c r="O88"/>
      <c r="P88"/>
      <c r="Q88"/>
      <c r="R88"/>
      <c r="S88"/>
      <c r="T88"/>
      <c r="V88" s="66" t="s">
        <v>102</v>
      </c>
      <c r="W88" s="16" t="str">
        <f>IFERROR(VLOOKUP(CLEAN($V88),'All Security Controls'!A:I, 2, FALSE),"---")</f>
        <v xml:space="preserve">Audit Review, Analysis, And Reporting  </v>
      </c>
      <c r="X88" s="14" t="str">
        <f>IFERROR(VLOOKUP(CLEAN($V88),'All Security Controls'!$A:$I, 4, FALSE),"---")</f>
        <v>CRWG White Criticality Control</v>
      </c>
      <c r="Y88" s="14" t="str">
        <f>IFERROR(VLOOKUP(CLEAN($V88),'All Security Controls'!$A:$I,5, FALSE),"---")</f>
        <v>Annually</v>
      </c>
      <c r="Z88" s="14" t="str">
        <f>IFERROR(VLOOKUP(CLEAN($V88),'All Security Controls'!$A:$I,6, FALSE),"---")</f>
        <v>Manual</v>
      </c>
      <c r="AA88" s="14" t="str">
        <f>IFERROR(VLOOKUP(CLEAN($V88),'All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88" s="14" t="str">
        <f>IFERROR(VLOOKUP(CLEAN($V88),'All Security Controls'!$A:$I,8, FALSE),"---")</f>
        <v>POA&amp;M</v>
      </c>
      <c r="AC88" s="14" t="str">
        <f>IFERROR(VLOOKUP(CLEAN($V88),'All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88" s="26">
        <v>87</v>
      </c>
    </row>
    <row r="89" spans="1:30" s="10" customFormat="1">
      <c r="A89"/>
      <c r="B89"/>
      <c r="C89"/>
      <c r="D89"/>
      <c r="E89"/>
      <c r="F89"/>
      <c r="G89"/>
      <c r="H89"/>
      <c r="I89"/>
      <c r="J89"/>
      <c r="K89"/>
      <c r="L89"/>
      <c r="M89"/>
      <c r="N89"/>
      <c r="O89"/>
      <c r="P89"/>
      <c r="Q89"/>
      <c r="R89"/>
      <c r="S89"/>
      <c r="T89"/>
      <c r="V89" s="66" t="s">
        <v>103</v>
      </c>
      <c r="W89" s="16" t="str">
        <f>IFERROR(VLOOKUP(CLEAN($V89),'All Security Controls'!A:I, 2, FALSE),"---")</f>
        <v>Audit Review, Analysis, And Reporting | Process Integration</v>
      </c>
      <c r="X89" s="14" t="str">
        <f>IFERROR(VLOOKUP(CLEAN($V89),'All Security Controls'!$A:$I, 4, FALSE),"---")</f>
        <v>CRWG Yellow Criticality Control</v>
      </c>
      <c r="Y89" s="14" t="str">
        <f>IFERROR(VLOOKUP(CLEAN($V89),'All Security Controls'!$A:$I,5, FALSE),"---")</f>
        <v>Constantly</v>
      </c>
      <c r="Z89" s="14" t="str">
        <f>IFERROR(VLOOKUP(CLEAN($V89),'All Security Controls'!$A:$I,6, FALSE),"---")</f>
        <v>Automated</v>
      </c>
      <c r="AA89" s="14" t="str">
        <f>IFERROR(VLOOKUP(CLEAN($V89),'All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89" s="14" t="str">
        <f>IFERROR(VLOOKUP(CLEAN($V89),'All Security Controls'!$A:$I,8, FALSE),"---")</f>
        <v>Enterprise Logging Tool</v>
      </c>
      <c r="AC89" s="14" t="str">
        <f>IFERROR(VLOOKUP(CLEAN($V89),'All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89" s="26">
        <v>88</v>
      </c>
    </row>
    <row r="90" spans="1:30" s="10" customFormat="1">
      <c r="A90"/>
      <c r="B90"/>
      <c r="C90"/>
      <c r="D90"/>
      <c r="E90"/>
      <c r="F90"/>
      <c r="G90"/>
      <c r="H90"/>
      <c r="I90"/>
      <c r="J90"/>
      <c r="K90"/>
      <c r="L90"/>
      <c r="M90"/>
      <c r="N90"/>
      <c r="O90"/>
      <c r="P90"/>
      <c r="Q90"/>
      <c r="R90"/>
      <c r="S90"/>
      <c r="T90"/>
      <c r="V90" s="66" t="s">
        <v>104</v>
      </c>
      <c r="W90" s="16" t="str">
        <f>IFERROR(VLOOKUP(CLEAN($V90),'All Security Controls'!A:I, 2, FALSE),"---")</f>
        <v xml:space="preserve">Audit Review, Analysis, And Reporting | Correlate Audit Repositories </v>
      </c>
      <c r="X90" s="14" t="str">
        <f>IFERROR(VLOOKUP(CLEAN($V90),'All Security Controls'!$A:$I, 4, FALSE),"---")</f>
        <v>CRWG Yellow Criticality Control</v>
      </c>
      <c r="Y90" s="14" t="str">
        <f>IFERROR(VLOOKUP(CLEAN($V90),'All Security Controls'!$A:$I,5, FALSE),"---")</f>
        <v>Quarterly</v>
      </c>
      <c r="Z90" s="14" t="str">
        <f>IFERROR(VLOOKUP(CLEAN($V90),'All Security Controls'!$A:$I,6, FALSE),"---")</f>
        <v>Manual</v>
      </c>
      <c r="AA90" s="14" t="str">
        <f>IFERROR(VLOOKUP(CLEAN($V90),'All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90" s="14" t="str">
        <f>IFERROR(VLOOKUP(CLEAN($V90),'All Security Controls'!$A:$I,8, FALSE),"---")</f>
        <v>POA&amp;M</v>
      </c>
      <c r="AC90" s="14" t="str">
        <f>IFERROR(VLOOKUP(CLEAN($V90),'All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90" s="26">
        <v>89</v>
      </c>
    </row>
    <row r="91" spans="1:30" s="10" customFormat="1">
      <c r="A91"/>
      <c r="B91"/>
      <c r="C91"/>
      <c r="D91"/>
      <c r="E91"/>
      <c r="F91"/>
      <c r="G91"/>
      <c r="H91"/>
      <c r="I91"/>
      <c r="J91"/>
      <c r="K91"/>
      <c r="L91"/>
      <c r="M91"/>
      <c r="N91"/>
      <c r="O91"/>
      <c r="P91"/>
      <c r="Q91"/>
      <c r="R91"/>
      <c r="S91"/>
      <c r="T91"/>
      <c r="V91" s="66" t="s">
        <v>105</v>
      </c>
      <c r="W91" s="16" t="str">
        <f>IFERROR(VLOOKUP(CLEAN($V91),'All Security Controls'!A:I, 2, FALSE),"---")</f>
        <v>Audit Review, Analysis, And Reporting | Central Review and Analysis</v>
      </c>
      <c r="X91" s="14" t="str">
        <f>IFERROR(VLOOKUP(CLEAN($V91),'All Security Controls'!$A:$I, 4, FALSE),"---")</f>
        <v>CRWG White Criticality Control</v>
      </c>
      <c r="Y91" s="14" t="str">
        <f>IFERROR(VLOOKUP(CLEAN($V91),'All Security Controls'!$A:$I,5, FALSE),"---")</f>
        <v>Annually</v>
      </c>
      <c r="Z91" s="14" t="str">
        <f>IFERROR(VLOOKUP(CLEAN($V91),'All Security Controls'!$A:$I,6, FALSE),"---")</f>
        <v>Manual</v>
      </c>
      <c r="AA91" s="14" t="str">
        <f>IFERROR(VLOOKUP(CLEAN($V91),'All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91" s="14" t="str">
        <f>IFERROR(VLOOKUP(CLEAN($V91),'All Security Controls'!$A:$I,8, FALSE),"---")</f>
        <v>POA&amp;M</v>
      </c>
      <c r="AC91" s="14" t="str">
        <f>IFERROR(VLOOKUP(CLEAN($V91),'All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91" s="26">
        <v>90</v>
      </c>
    </row>
    <row r="92" spans="1:30" s="10" customFormat="1">
      <c r="A92"/>
      <c r="B92"/>
      <c r="C92"/>
      <c r="D92"/>
      <c r="E92"/>
      <c r="F92"/>
      <c r="G92"/>
      <c r="H92"/>
      <c r="I92"/>
      <c r="J92"/>
      <c r="K92"/>
      <c r="L92"/>
      <c r="M92"/>
      <c r="N92"/>
      <c r="O92"/>
      <c r="P92"/>
      <c r="Q92"/>
      <c r="R92"/>
      <c r="S92"/>
      <c r="T92"/>
      <c r="V92" s="66" t="s">
        <v>106</v>
      </c>
      <c r="W92" s="16" t="str">
        <f>IFERROR(VLOOKUP(CLEAN($V92),'All Security Controls'!A:I, 2, FALSE),"---")</f>
        <v>Audit Review, Analysis, And Reporting  | Integration/ Scanning and Monitoring Capabilities</v>
      </c>
      <c r="X92" s="14" t="str">
        <f>IFERROR(VLOOKUP(CLEAN($V92),'All Security Controls'!$A:$I, 4, FALSE),"---")</f>
        <v>CRWG White Criticality Control</v>
      </c>
      <c r="Y92" s="14" t="str">
        <f>IFERROR(VLOOKUP(CLEAN($V92),'All Security Controls'!$A:$I,5, FALSE),"---")</f>
        <v>Annually</v>
      </c>
      <c r="Z92" s="14" t="str">
        <f>IFERROR(VLOOKUP(CLEAN($V92),'All Security Controls'!$A:$I,6, FALSE),"---")</f>
        <v>Manual</v>
      </c>
      <c r="AA92" s="14" t="str">
        <f>IFERROR(VLOOKUP(CLEAN($V92),'All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92" s="14" t="str">
        <f>IFERROR(VLOOKUP(CLEAN($V92),'All Security Controls'!$A:$I,8, FALSE),"---")</f>
        <v>POA&amp;M</v>
      </c>
      <c r="AC92" s="14" t="str">
        <f>IFERROR(VLOOKUP(CLEAN($V92),'All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92" s="26">
        <v>91</v>
      </c>
    </row>
    <row r="93" spans="1:30" s="10" customFormat="1">
      <c r="A93"/>
      <c r="B93"/>
      <c r="C93"/>
      <c r="D93"/>
      <c r="E93"/>
      <c r="F93"/>
      <c r="G93"/>
      <c r="H93"/>
      <c r="I93"/>
      <c r="J93"/>
      <c r="K93"/>
      <c r="L93"/>
      <c r="M93"/>
      <c r="N93"/>
      <c r="O93"/>
      <c r="P93"/>
      <c r="Q93"/>
      <c r="R93"/>
      <c r="S93"/>
      <c r="T93"/>
      <c r="V93" s="66" t="s">
        <v>107</v>
      </c>
      <c r="W93" s="16" t="str">
        <f>IFERROR(VLOOKUP(CLEAN($V93),'All Security Controls'!A:I, 2, FALSE),"---")</f>
        <v xml:space="preserve">Audit Review, Analysis, And Reporting | Correlation With Physical Monitoring </v>
      </c>
      <c r="X93" s="14" t="str">
        <f>IFERROR(VLOOKUP(CLEAN($V93),'All Security Controls'!$A:$I, 4, FALSE),"---")</f>
        <v>CRWG White Criticality Control</v>
      </c>
      <c r="Y93" s="14" t="str">
        <f>IFERROR(VLOOKUP(CLEAN($V93),'All Security Controls'!$A:$I,5, FALSE),"---")</f>
        <v>Annually</v>
      </c>
      <c r="Z93" s="14" t="str">
        <f>IFERROR(VLOOKUP(CLEAN($V93),'All Security Controls'!$A:$I,6, FALSE),"---")</f>
        <v>Manual</v>
      </c>
      <c r="AA93" s="14" t="str">
        <f>IFERROR(VLOOKUP(CLEAN($V93),'All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93" s="14" t="str">
        <f>IFERROR(VLOOKUP(CLEAN($V93),'All Security Controls'!$A:$I,8, FALSE),"---")</f>
        <v>POA&amp;M</v>
      </c>
      <c r="AC93" s="14" t="str">
        <f>IFERROR(VLOOKUP(CLEAN($V93),'All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93" s="26">
        <v>92</v>
      </c>
    </row>
    <row r="94" spans="1:30" s="10" customFormat="1">
      <c r="A94"/>
      <c r="B94"/>
      <c r="C94"/>
      <c r="D94"/>
      <c r="E94"/>
      <c r="F94"/>
      <c r="G94"/>
      <c r="H94"/>
      <c r="I94"/>
      <c r="J94"/>
      <c r="K94"/>
      <c r="L94"/>
      <c r="M94"/>
      <c r="N94"/>
      <c r="O94"/>
      <c r="P94"/>
      <c r="Q94"/>
      <c r="R94"/>
      <c r="S94"/>
      <c r="T94"/>
      <c r="V94" s="66" t="s">
        <v>108</v>
      </c>
      <c r="W94" s="16" t="str">
        <f>IFERROR(VLOOKUP(CLEAN($V94),'All Security Controls'!A:I, 2, FALSE),"---")</f>
        <v>Audit Review, Analysis, And Reporting | Audit Level Adjustment</v>
      </c>
      <c r="X94" s="14" t="str">
        <f>IFERROR(VLOOKUP(CLEAN($V94),'All Security Controls'!$A:$I, 4, FALSE),"---")</f>
        <v>CRWG Yellow Criticality Control</v>
      </c>
      <c r="Y94" s="14" t="str">
        <f>IFERROR(VLOOKUP(CLEAN($V94),'All Security Controls'!$A:$I,5, FALSE),"---")</f>
        <v>Quarterly</v>
      </c>
      <c r="Z94" s="14" t="str">
        <f>IFERROR(VLOOKUP(CLEAN($V94),'All Security Controls'!$A:$I,6, FALSE),"---")</f>
        <v>Manual</v>
      </c>
      <c r="AA94" s="14" t="str">
        <f>IFERROR(VLOOKUP(CLEAN($V94),'All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94" s="14" t="str">
        <f>IFERROR(VLOOKUP(CLEAN($V94),'All Security Controls'!$A:$I,8, FALSE),"---")</f>
        <v>POA&amp;M</v>
      </c>
      <c r="AC94" s="14" t="str">
        <f>IFERROR(VLOOKUP(CLEAN($V94),'All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94" s="26">
        <v>93</v>
      </c>
    </row>
    <row r="95" spans="1:30" s="10" customFormat="1">
      <c r="A95"/>
      <c r="B95"/>
      <c r="C95"/>
      <c r="D95"/>
      <c r="E95"/>
      <c r="F95"/>
      <c r="G95"/>
      <c r="H95"/>
      <c r="I95"/>
      <c r="J95"/>
      <c r="K95"/>
      <c r="L95"/>
      <c r="M95"/>
      <c r="N95"/>
      <c r="O95"/>
      <c r="P95"/>
      <c r="Q95"/>
      <c r="R95"/>
      <c r="S95"/>
      <c r="T95"/>
      <c r="V95" s="66" t="s">
        <v>109</v>
      </c>
      <c r="W95" s="16" t="str">
        <f>IFERROR(VLOOKUP(CLEAN($V95),'All Security Controls'!A:I, 2, FALSE),"---")</f>
        <v xml:space="preserve">Audit Reduction And Report Generation  </v>
      </c>
      <c r="X95" s="14" t="str">
        <f>IFERROR(VLOOKUP(CLEAN($V95),'All Security Controls'!$A:$I, 4, FALSE),"---")</f>
        <v>CRWG White Criticality Control</v>
      </c>
      <c r="Y95" s="14" t="str">
        <f>IFERROR(VLOOKUP(CLEAN($V95),'All Security Controls'!$A:$I,5, FALSE),"---")</f>
        <v>Annually</v>
      </c>
      <c r="Z95" s="14" t="str">
        <f>IFERROR(VLOOKUP(CLEAN($V95),'All Security Controls'!$A:$I,6, FALSE),"---")</f>
        <v>Manual</v>
      </c>
      <c r="AA95" s="14" t="str">
        <f>IFERROR(VLOOKUP(CLEAN($V95),'All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95" s="14" t="str">
        <f>IFERROR(VLOOKUP(CLEAN($V95),'All Security Controls'!$A:$I,8, FALSE),"---")</f>
        <v>POA&amp;M</v>
      </c>
      <c r="AC95" s="14" t="str">
        <f>IFERROR(VLOOKUP(CLEAN($V95),'All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95" s="26">
        <v>94</v>
      </c>
    </row>
    <row r="96" spans="1:30" s="10" customFormat="1">
      <c r="A96"/>
      <c r="B96"/>
      <c r="C96"/>
      <c r="D96"/>
      <c r="E96"/>
      <c r="F96"/>
      <c r="G96"/>
      <c r="H96"/>
      <c r="I96"/>
      <c r="J96"/>
      <c r="K96"/>
      <c r="L96"/>
      <c r="M96"/>
      <c r="N96"/>
      <c r="O96"/>
      <c r="P96"/>
      <c r="Q96"/>
      <c r="R96"/>
      <c r="S96"/>
      <c r="T96"/>
      <c r="V96" s="66" t="s">
        <v>110</v>
      </c>
      <c r="W96" s="16" t="str">
        <f>IFERROR(VLOOKUP(CLEAN($V96),'All Security Controls'!A:I, 2, FALSE),"---")</f>
        <v>Audit Reduction And Report Generation | Automatic Processing</v>
      </c>
      <c r="X96" s="14" t="str">
        <f>IFERROR(VLOOKUP(CLEAN($V96),'All Security Controls'!$A:$I, 4, FALSE),"---")</f>
        <v>CRWG White Criticality Control</v>
      </c>
      <c r="Y96" s="14" t="str">
        <f>IFERROR(VLOOKUP(CLEAN($V96),'All Security Controls'!$A:$I,5, FALSE),"---")</f>
        <v>Annually</v>
      </c>
      <c r="Z96" s="14" t="str">
        <f>IFERROR(VLOOKUP(CLEAN($V96),'All Security Controls'!$A:$I,6, FALSE),"---")</f>
        <v>Manual</v>
      </c>
      <c r="AA96" s="14" t="str">
        <f>IFERROR(VLOOKUP(CLEAN($V96),'All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96" s="14" t="str">
        <f>IFERROR(VLOOKUP(CLEAN($V96),'All Security Controls'!$A:$I,8, FALSE),"---")</f>
        <v>POA&amp;M</v>
      </c>
      <c r="AC96" s="14" t="str">
        <f>IFERROR(VLOOKUP(CLEAN($V96),'All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96" s="26">
        <v>95</v>
      </c>
    </row>
    <row r="97" spans="1:30" s="10" customFormat="1">
      <c r="A97"/>
      <c r="B97"/>
      <c r="C97"/>
      <c r="D97"/>
      <c r="E97"/>
      <c r="F97"/>
      <c r="G97"/>
      <c r="H97"/>
      <c r="I97"/>
      <c r="J97"/>
      <c r="K97"/>
      <c r="L97"/>
      <c r="M97"/>
      <c r="N97"/>
      <c r="O97"/>
      <c r="P97"/>
      <c r="Q97"/>
      <c r="R97"/>
      <c r="S97"/>
      <c r="T97"/>
      <c r="V97" s="66" t="s">
        <v>111</v>
      </c>
      <c r="W97" s="16" t="str">
        <f>IFERROR(VLOOKUP(CLEAN($V97),'All Security Controls'!A:I, 2, FALSE),"---")</f>
        <v>Time Stamps</v>
      </c>
      <c r="X97" s="14" t="str">
        <f>IFERROR(VLOOKUP(CLEAN($V97),'All Security Controls'!$A:$I, 4, FALSE),"---")</f>
        <v>CRWG White Criticality Control</v>
      </c>
      <c r="Y97" s="14" t="str">
        <f>IFERROR(VLOOKUP(CLEAN($V97),'All Security Controls'!$A:$I,5, FALSE),"---")</f>
        <v>Annually</v>
      </c>
      <c r="Z97" s="14" t="str">
        <f>IFERROR(VLOOKUP(CLEAN($V97),'All Security Controls'!$A:$I,6, FALSE),"---")</f>
        <v>Manual</v>
      </c>
      <c r="AA97" s="14" t="str">
        <f>IFERROR(VLOOKUP(CLEAN($V97),'All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97" s="14" t="str">
        <f>IFERROR(VLOOKUP(CLEAN($V97),'All Security Controls'!$A:$I,8, FALSE),"---")</f>
        <v>POA&amp;M</v>
      </c>
      <c r="AC97" s="14" t="str">
        <f>IFERROR(VLOOKUP(CLEAN($V97),'All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97" s="26">
        <v>96</v>
      </c>
    </row>
    <row r="98" spans="1:30" s="10" customFormat="1">
      <c r="A98"/>
      <c r="B98"/>
      <c r="C98"/>
      <c r="D98"/>
      <c r="E98"/>
      <c r="F98"/>
      <c r="G98"/>
      <c r="H98"/>
      <c r="I98"/>
      <c r="J98"/>
      <c r="K98"/>
      <c r="L98"/>
      <c r="M98"/>
      <c r="N98"/>
      <c r="O98"/>
      <c r="P98"/>
      <c r="Q98"/>
      <c r="R98"/>
      <c r="S98"/>
      <c r="T98"/>
      <c r="V98" s="66" t="s">
        <v>112</v>
      </c>
      <c r="W98" s="16" t="str">
        <f>IFERROR(VLOOKUP(CLEAN($V98),'All Security Controls'!A:I, 2, FALSE),"---")</f>
        <v>Time Stamps | Synchronization with Authoritative Time Source</v>
      </c>
      <c r="X98" s="14" t="str">
        <f>IFERROR(VLOOKUP(CLEAN($V98),'All Security Controls'!$A:$I, 4, FALSE),"---")</f>
        <v>CRWG White Criticality Control</v>
      </c>
      <c r="Y98" s="14" t="str">
        <f>IFERROR(VLOOKUP(CLEAN($V98),'All Security Controls'!$A:$I,5, FALSE),"---")</f>
        <v>Annually</v>
      </c>
      <c r="Z98" s="14" t="str">
        <f>IFERROR(VLOOKUP(CLEAN($V98),'All Security Controls'!$A:$I,6, FALSE),"---")</f>
        <v>Manual</v>
      </c>
      <c r="AA98" s="14" t="str">
        <f>IFERROR(VLOOKUP(CLEAN($V98),'All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98" s="14" t="str">
        <f>IFERROR(VLOOKUP(CLEAN($V98),'All Security Controls'!$A:$I,8, FALSE),"---")</f>
        <v>POA&amp;M</v>
      </c>
      <c r="AC98" s="14" t="str">
        <f>IFERROR(VLOOKUP(CLEAN($V98),'All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98" s="26">
        <v>97</v>
      </c>
    </row>
    <row r="99" spans="1:30" s="10" customFormat="1">
      <c r="A99"/>
      <c r="B99"/>
      <c r="C99"/>
      <c r="D99"/>
      <c r="E99"/>
      <c r="F99"/>
      <c r="G99"/>
      <c r="H99"/>
      <c r="I99"/>
      <c r="J99"/>
      <c r="K99"/>
      <c r="L99"/>
      <c r="M99"/>
      <c r="N99"/>
      <c r="O99"/>
      <c r="P99"/>
      <c r="Q99"/>
      <c r="R99"/>
      <c r="S99"/>
      <c r="T99"/>
      <c r="V99" s="66" t="s">
        <v>113</v>
      </c>
      <c r="W99" s="16" t="str">
        <f>IFERROR(VLOOKUP(CLEAN($V99),'All Security Controls'!A:I, 2, FALSE),"---")</f>
        <v xml:space="preserve">Protection Of Audit Information  </v>
      </c>
      <c r="X99" s="14" t="str">
        <f>IFERROR(VLOOKUP(CLEAN($V99),'All Security Controls'!$A:$I, 4, FALSE),"---")</f>
        <v>CRWG Yellow Criticality Control</v>
      </c>
      <c r="Y99" s="14" t="str">
        <f>IFERROR(VLOOKUP(CLEAN($V99),'All Security Controls'!$A:$I,5, FALSE),"---")</f>
        <v>Quarterly</v>
      </c>
      <c r="Z99" s="14" t="str">
        <f>IFERROR(VLOOKUP(CLEAN($V99),'All Security Controls'!$A:$I,6, FALSE),"---")</f>
        <v>Manual</v>
      </c>
      <c r="AA99" s="14" t="str">
        <f>IFERROR(VLOOKUP(CLEAN($V99),'All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99" s="14" t="str">
        <f>IFERROR(VLOOKUP(CLEAN($V99),'All Security Controls'!$A:$I,8, FALSE),"---")</f>
        <v>POA&amp;M</v>
      </c>
      <c r="AC99" s="14" t="str">
        <f>IFERROR(VLOOKUP(CLEAN($V99),'All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99" s="26">
        <v>98</v>
      </c>
    </row>
    <row r="100" spans="1:30" s="10" customFormat="1">
      <c r="A100"/>
      <c r="B100"/>
      <c r="C100"/>
      <c r="D100"/>
      <c r="E100"/>
      <c r="F100"/>
      <c r="G100"/>
      <c r="H100"/>
      <c r="I100"/>
      <c r="J100"/>
      <c r="K100"/>
      <c r="L100"/>
      <c r="M100"/>
      <c r="N100"/>
      <c r="O100"/>
      <c r="P100"/>
      <c r="Q100"/>
      <c r="R100"/>
      <c r="S100"/>
      <c r="T100"/>
      <c r="V100" s="66" t="s">
        <v>114</v>
      </c>
      <c r="W100" s="16" t="str">
        <f>IFERROR(VLOOKUP(CLEAN($V100),'All Security Controls'!A:I, 2, FALSE),"---")</f>
        <v>Protection Of Audit Information | Cryptographic Protection</v>
      </c>
      <c r="X100" s="14" t="str">
        <f>IFERROR(VLOOKUP(CLEAN($V100),'All Security Controls'!$A:$I, 4, FALSE),"---")</f>
        <v>CRWG White Criticality Control</v>
      </c>
      <c r="Y100" s="14" t="str">
        <f>IFERROR(VLOOKUP(CLEAN($V100),'All Security Controls'!$A:$I,5, FALSE),"---")</f>
        <v>Annually</v>
      </c>
      <c r="Z100" s="14" t="str">
        <f>IFERROR(VLOOKUP(CLEAN($V100),'All Security Controls'!$A:$I,6, FALSE),"---")</f>
        <v>Manual</v>
      </c>
      <c r="AA100" s="14" t="str">
        <f>IFERROR(VLOOKUP(CLEAN($V100),'All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00" s="14" t="str">
        <f>IFERROR(VLOOKUP(CLEAN($V100),'All Security Controls'!$A:$I,8, FALSE),"---")</f>
        <v>POA&amp;M</v>
      </c>
      <c r="AC100" s="14" t="str">
        <f>IFERROR(VLOOKUP(CLEAN($V100),'All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00" s="26">
        <v>99</v>
      </c>
    </row>
    <row r="101" spans="1:30" s="10" customFormat="1">
      <c r="A101"/>
      <c r="B101"/>
      <c r="C101"/>
      <c r="D101"/>
      <c r="E101"/>
      <c r="F101"/>
      <c r="G101"/>
      <c r="H101"/>
      <c r="I101"/>
      <c r="J101"/>
      <c r="K101"/>
      <c r="L101"/>
      <c r="M101"/>
      <c r="N101"/>
      <c r="O101"/>
      <c r="P101"/>
      <c r="Q101"/>
      <c r="R101"/>
      <c r="S101"/>
      <c r="T101"/>
      <c r="V101" s="66" t="s">
        <v>115</v>
      </c>
      <c r="W101" s="16" t="str">
        <f>IFERROR(VLOOKUP(CLEAN($V101),'All Security Controls'!A:I, 2, FALSE),"---")</f>
        <v>Protection Of Audit Information | Access by Subset of Privileged Users</v>
      </c>
      <c r="X101" s="14" t="str">
        <f>IFERROR(VLOOKUP(CLEAN($V101),'All Security Controls'!$A:$I, 4, FALSE),"---")</f>
        <v>CRWG White Criticality Control</v>
      </c>
      <c r="Y101" s="14" t="str">
        <f>IFERROR(VLOOKUP(CLEAN($V101),'All Security Controls'!$A:$I,5, FALSE),"---")</f>
        <v>Annually</v>
      </c>
      <c r="Z101" s="14" t="str">
        <f>IFERROR(VLOOKUP(CLEAN($V101),'All Security Controls'!$A:$I,6, FALSE),"---")</f>
        <v>Manual</v>
      </c>
      <c r="AA101" s="14" t="str">
        <f>IFERROR(VLOOKUP(CLEAN($V101),'All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01" s="14" t="str">
        <f>IFERROR(VLOOKUP(CLEAN($V101),'All Security Controls'!$A:$I,8, FALSE),"---")</f>
        <v>POA&amp;M</v>
      </c>
      <c r="AC101" s="14" t="str">
        <f>IFERROR(VLOOKUP(CLEAN($V101),'All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01" s="26">
        <v>100</v>
      </c>
    </row>
    <row r="102" spans="1:30" s="10" customFormat="1">
      <c r="A102"/>
      <c r="B102"/>
      <c r="C102"/>
      <c r="D102"/>
      <c r="E102"/>
      <c r="F102"/>
      <c r="G102"/>
      <c r="H102"/>
      <c r="I102"/>
      <c r="J102"/>
      <c r="K102"/>
      <c r="L102"/>
      <c r="M102"/>
      <c r="N102"/>
      <c r="O102"/>
      <c r="P102"/>
      <c r="Q102"/>
      <c r="R102"/>
      <c r="S102"/>
      <c r="T102"/>
      <c r="V102" s="66" t="s">
        <v>116</v>
      </c>
      <c r="W102" s="16" t="str">
        <f>IFERROR(VLOOKUP(CLEAN($V102),'All Security Controls'!A:I, 2, FALSE),"---")</f>
        <v xml:space="preserve">Non-Repudiation  </v>
      </c>
      <c r="X102" s="14" t="str">
        <f>IFERROR(VLOOKUP(CLEAN($V102),'All Security Controls'!$A:$I, 4, FALSE),"---")</f>
        <v>CRWG Yellow Criticality Control</v>
      </c>
      <c r="Y102" s="14" t="str">
        <f>IFERROR(VLOOKUP(CLEAN($V102),'All Security Controls'!$A:$I,5, FALSE),"---")</f>
        <v>Quarterly</v>
      </c>
      <c r="Z102" s="14" t="str">
        <f>IFERROR(VLOOKUP(CLEAN($V102),'All Security Controls'!$A:$I,6, FALSE),"---")</f>
        <v>Manual</v>
      </c>
      <c r="AA102" s="14" t="str">
        <f>IFERROR(VLOOKUP(CLEAN($V102),'All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02" s="14" t="str">
        <f>IFERROR(VLOOKUP(CLEAN($V102),'All Security Controls'!$A:$I,8, FALSE),"---")</f>
        <v>POA&amp;M</v>
      </c>
      <c r="AC102" s="14" t="str">
        <f>IFERROR(VLOOKUP(CLEAN($V102),'All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02" s="26">
        <v>101</v>
      </c>
    </row>
    <row r="103" spans="1:30" s="10" customFormat="1">
      <c r="A103"/>
      <c r="B103"/>
      <c r="C103"/>
      <c r="D103"/>
      <c r="E103"/>
      <c r="F103"/>
      <c r="G103"/>
      <c r="H103"/>
      <c r="I103"/>
      <c r="J103"/>
      <c r="K103"/>
      <c r="L103"/>
      <c r="M103"/>
      <c r="N103"/>
      <c r="O103"/>
      <c r="P103"/>
      <c r="Q103"/>
      <c r="R103"/>
      <c r="S103"/>
      <c r="T103"/>
      <c r="V103" s="66" t="s">
        <v>117</v>
      </c>
      <c r="W103" s="16" t="str">
        <f>IFERROR(VLOOKUP(CLEAN($V103),'All Security Controls'!A:I, 2, FALSE),"---")</f>
        <v xml:space="preserve">Audit Record Retention  </v>
      </c>
      <c r="X103" s="14" t="str">
        <f>IFERROR(VLOOKUP(CLEAN($V103),'All Security Controls'!$A:$I, 4, FALSE),"---")</f>
        <v>CRWG White Criticality Control</v>
      </c>
      <c r="Y103" s="14" t="str">
        <f>IFERROR(VLOOKUP(CLEAN($V103),'All Security Controls'!$A:$I,5, FALSE),"---")</f>
        <v>Annually</v>
      </c>
      <c r="Z103" s="14" t="str">
        <f>IFERROR(VLOOKUP(CLEAN($V103),'All Security Controls'!$A:$I,6, FALSE),"---")</f>
        <v>Manual</v>
      </c>
      <c r="AA103" s="14" t="str">
        <f>IFERROR(VLOOKUP(CLEAN($V103),'All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03" s="14" t="str">
        <f>IFERROR(VLOOKUP(CLEAN($V103),'All Security Controls'!$A:$I,8, FALSE),"---")</f>
        <v>POA&amp;M</v>
      </c>
      <c r="AC103" s="14" t="str">
        <f>IFERROR(VLOOKUP(CLEAN($V103),'All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03" s="26">
        <v>102</v>
      </c>
    </row>
    <row r="104" spans="1:30" s="10" customFormat="1">
      <c r="A104"/>
      <c r="B104"/>
      <c r="C104"/>
      <c r="D104"/>
      <c r="E104"/>
      <c r="F104"/>
      <c r="G104"/>
      <c r="H104"/>
      <c r="I104"/>
      <c r="J104"/>
      <c r="K104"/>
      <c r="L104"/>
      <c r="M104"/>
      <c r="N104"/>
      <c r="O104"/>
      <c r="P104"/>
      <c r="Q104"/>
      <c r="R104"/>
      <c r="S104"/>
      <c r="T104"/>
      <c r="V104" s="66" t="s">
        <v>118</v>
      </c>
      <c r="W104" s="16" t="str">
        <f>IFERROR(VLOOKUP(CLEAN($V104),'All Security Controls'!A:I, 2, FALSE),"---")</f>
        <v xml:space="preserve">Audit Record Retention | Long-Term Retrieval Capability </v>
      </c>
      <c r="X104" s="14" t="str">
        <f>IFERROR(VLOOKUP(CLEAN($V104),'All Security Controls'!$A:$I, 4, FALSE),"---")</f>
        <v>CRWG White Criticality Control</v>
      </c>
      <c r="Y104" s="14" t="str">
        <f>IFERROR(VLOOKUP(CLEAN($V104),'All Security Controls'!$A:$I,5, FALSE),"---")</f>
        <v>Annually</v>
      </c>
      <c r="Z104" s="14" t="str">
        <f>IFERROR(VLOOKUP(CLEAN($V104),'All Security Controls'!$A:$I,6, FALSE),"---")</f>
        <v>Manual</v>
      </c>
      <c r="AA104" s="14" t="str">
        <f>IFERROR(VLOOKUP(CLEAN($V104),'All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04" s="14" t="str">
        <f>IFERROR(VLOOKUP(CLEAN($V104),'All Security Controls'!$A:$I,8, FALSE),"---")</f>
        <v>POA&amp;M</v>
      </c>
      <c r="AC104" s="14" t="str">
        <f>IFERROR(VLOOKUP(CLEAN($V104),'All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04" s="26">
        <v>103</v>
      </c>
    </row>
    <row r="105" spans="1:30" s="10" customFormat="1">
      <c r="A105"/>
      <c r="B105"/>
      <c r="C105"/>
      <c r="D105"/>
      <c r="E105"/>
      <c r="F105"/>
      <c r="G105"/>
      <c r="H105"/>
      <c r="I105"/>
      <c r="J105"/>
      <c r="K105"/>
      <c r="L105"/>
      <c r="M105"/>
      <c r="N105"/>
      <c r="O105"/>
      <c r="P105"/>
      <c r="Q105"/>
      <c r="R105"/>
      <c r="S105"/>
      <c r="T105"/>
      <c r="V105" s="66" t="s">
        <v>119</v>
      </c>
      <c r="W105" s="16" t="str">
        <f>IFERROR(VLOOKUP(CLEAN($V105),'All Security Controls'!A:I, 2, FALSE),"---")</f>
        <v xml:space="preserve">Audit Generation  </v>
      </c>
      <c r="X105" s="14" t="str">
        <f>IFERROR(VLOOKUP(CLEAN($V105),'All Security Controls'!$A:$I, 4, FALSE),"---")</f>
        <v>CRWG Yellow Criticality Control</v>
      </c>
      <c r="Y105" s="14" t="str">
        <f>IFERROR(VLOOKUP(CLEAN($V105),'All Security Controls'!$A:$I,5, FALSE),"---")</f>
        <v>Constantly</v>
      </c>
      <c r="Z105" s="14" t="str">
        <f>IFERROR(VLOOKUP(CLEAN($V105),'All Security Controls'!$A:$I,6, FALSE),"---")</f>
        <v>Automated</v>
      </c>
      <c r="AA105" s="14" t="str">
        <f>IFERROR(VLOOKUP(CLEAN($V105),'All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05" s="14" t="str">
        <f>IFERROR(VLOOKUP(CLEAN($V105),'All Security Controls'!$A:$I,8, FALSE),"---")</f>
        <v>Enterprise Logging Tool</v>
      </c>
      <c r="AC105" s="14" t="str">
        <f>IFERROR(VLOOKUP(CLEAN($V105),'All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05" s="26">
        <v>104</v>
      </c>
    </row>
    <row r="106" spans="1:30" s="10" customFormat="1">
      <c r="A106"/>
      <c r="B106"/>
      <c r="C106"/>
      <c r="D106"/>
      <c r="E106"/>
      <c r="F106"/>
      <c r="G106"/>
      <c r="H106"/>
      <c r="I106"/>
      <c r="J106"/>
      <c r="K106"/>
      <c r="L106"/>
      <c r="M106"/>
      <c r="N106"/>
      <c r="O106"/>
      <c r="P106"/>
      <c r="Q106"/>
      <c r="R106"/>
      <c r="S106"/>
      <c r="T106"/>
      <c r="V106" s="66" t="s">
        <v>120</v>
      </c>
      <c r="W106" s="16" t="str">
        <f>IFERROR(VLOOKUP(CLEAN($V106),'All Security Controls'!A:I, 2, FALSE),"---")</f>
        <v>Audit Generation | System-Wide/ Time-Correlated Audit Trail</v>
      </c>
      <c r="X106" s="14" t="str">
        <f>IFERROR(VLOOKUP(CLEAN($V106),'All Security Controls'!$A:$I, 4, FALSE),"---")</f>
        <v>CRWG White Criticality Control</v>
      </c>
      <c r="Y106" s="14" t="str">
        <f>IFERROR(VLOOKUP(CLEAN($V106),'All Security Controls'!$A:$I,5, FALSE),"---")</f>
        <v>Annually</v>
      </c>
      <c r="Z106" s="14" t="str">
        <f>IFERROR(VLOOKUP(CLEAN($V106),'All Security Controls'!$A:$I,6, FALSE),"---")</f>
        <v>Manual</v>
      </c>
      <c r="AA106" s="14" t="str">
        <f>IFERROR(VLOOKUP(CLEAN($V106),'All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06" s="14" t="str">
        <f>IFERROR(VLOOKUP(CLEAN($V106),'All Security Controls'!$A:$I,8, FALSE),"---")</f>
        <v>POA&amp;M</v>
      </c>
      <c r="AC106" s="14" t="str">
        <f>IFERROR(VLOOKUP(CLEAN($V106),'All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06" s="26">
        <v>105</v>
      </c>
    </row>
    <row r="107" spans="1:30" s="10" customFormat="1">
      <c r="A107"/>
      <c r="B107"/>
      <c r="C107"/>
      <c r="D107"/>
      <c r="E107"/>
      <c r="F107"/>
      <c r="G107"/>
      <c r="H107"/>
      <c r="I107"/>
      <c r="J107"/>
      <c r="K107"/>
      <c r="L107"/>
      <c r="M107"/>
      <c r="N107"/>
      <c r="O107"/>
      <c r="P107"/>
      <c r="Q107"/>
      <c r="R107"/>
      <c r="S107"/>
      <c r="T107"/>
      <c r="V107" s="66" t="s">
        <v>121</v>
      </c>
      <c r="W107" s="16" t="str">
        <f>IFERROR(VLOOKUP(CLEAN($V107),'All Security Controls'!A:I, 2, FALSE),"---")</f>
        <v>Audit Generation  | Changes by Authorized Individuals</v>
      </c>
      <c r="X107" s="14" t="str">
        <f>IFERROR(VLOOKUP(CLEAN($V107),'All Security Controls'!$A:$I, 4, FALSE),"---")</f>
        <v>CRWG Yellow Criticality Control</v>
      </c>
      <c r="Y107" s="14" t="str">
        <f>IFERROR(VLOOKUP(CLEAN($V107),'All Security Controls'!$A:$I,5, FALSE),"---")</f>
        <v>Weekly</v>
      </c>
      <c r="Z107" s="14" t="str">
        <f>IFERROR(VLOOKUP(CLEAN($V107),'All Security Controls'!$A:$I,6, FALSE),"---")</f>
        <v>Manual</v>
      </c>
      <c r="AA107" s="14" t="str">
        <f>IFERROR(VLOOKUP(CLEAN($V107),'All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07" s="14" t="str">
        <f>IFERROR(VLOOKUP(CLEAN($V107),'All Security Controls'!$A:$I,8, FALSE),"---")</f>
        <v>POA&amp;M</v>
      </c>
      <c r="AC107" s="14" t="str">
        <f>IFERROR(VLOOKUP(CLEAN($V107),'All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07" s="26">
        <v>106</v>
      </c>
    </row>
    <row r="108" spans="1:30" s="10" customFormat="1">
      <c r="A108"/>
      <c r="B108"/>
      <c r="C108"/>
      <c r="D108"/>
      <c r="E108"/>
      <c r="F108"/>
      <c r="G108"/>
      <c r="H108"/>
      <c r="I108"/>
      <c r="J108"/>
      <c r="K108"/>
      <c r="L108"/>
      <c r="M108"/>
      <c r="N108"/>
      <c r="O108"/>
      <c r="P108"/>
      <c r="Q108"/>
      <c r="R108"/>
      <c r="S108"/>
      <c r="T108"/>
      <c r="V108" s="66" t="s">
        <v>122</v>
      </c>
      <c r="W108" s="16" t="str">
        <f>IFERROR(VLOOKUP(CLEAN($V108),'All Security Controls'!A:I, 2, FALSE),"---")</f>
        <v xml:space="preserve">Session Audit  </v>
      </c>
      <c r="X108" s="14" t="str">
        <f>IFERROR(VLOOKUP(CLEAN($V108),'All Security Controls'!$A:$I, 4, FALSE),"---")</f>
        <v>CRWG White Criticality Control</v>
      </c>
      <c r="Y108" s="14" t="str">
        <f>IFERROR(VLOOKUP(CLEAN($V108),'All Security Controls'!$A:$I,5, FALSE),"---")</f>
        <v>Annually</v>
      </c>
      <c r="Z108" s="14" t="str">
        <f>IFERROR(VLOOKUP(CLEAN($V108),'All Security Controls'!$A:$I,6, FALSE),"---")</f>
        <v>Manual</v>
      </c>
      <c r="AA108" s="14" t="str">
        <f>IFERROR(VLOOKUP(CLEAN($V108),'All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08" s="14" t="str">
        <f>IFERROR(VLOOKUP(CLEAN($V108),'All Security Controls'!$A:$I,8, FALSE),"---")</f>
        <v>POA&amp;M</v>
      </c>
      <c r="AC108" s="14" t="str">
        <f>IFERROR(VLOOKUP(CLEAN($V108),'All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08" s="26">
        <v>107</v>
      </c>
    </row>
    <row r="109" spans="1:30" s="10" customFormat="1">
      <c r="A109"/>
      <c r="B109"/>
      <c r="C109"/>
      <c r="D109"/>
      <c r="E109"/>
      <c r="F109"/>
      <c r="G109"/>
      <c r="H109"/>
      <c r="I109"/>
      <c r="J109"/>
      <c r="K109"/>
      <c r="L109"/>
      <c r="M109"/>
      <c r="N109"/>
      <c r="O109"/>
      <c r="P109"/>
      <c r="Q109"/>
      <c r="R109"/>
      <c r="S109"/>
      <c r="T109"/>
      <c r="V109" s="66" t="s">
        <v>123</v>
      </c>
      <c r="W109" s="16" t="str">
        <f>IFERROR(VLOOKUP(CLEAN($V109),'All Security Controls'!A:I, 2, FALSE),"---")</f>
        <v>Session Audit | System Start-Up</v>
      </c>
      <c r="X109" s="14" t="str">
        <f>IFERROR(VLOOKUP(CLEAN($V109),'All Security Controls'!$A:$I, 4, FALSE),"---")</f>
        <v>CRWG White Criticality Control</v>
      </c>
      <c r="Y109" s="14" t="str">
        <f>IFERROR(VLOOKUP(CLEAN($V109),'All Security Controls'!$A:$I,5, FALSE),"---")</f>
        <v>Annually</v>
      </c>
      <c r="Z109" s="14" t="str">
        <f>IFERROR(VLOOKUP(CLEAN($V109),'All Security Controls'!$A:$I,6, FALSE),"---")</f>
        <v>Manual</v>
      </c>
      <c r="AA109" s="14" t="str">
        <f>IFERROR(VLOOKUP(CLEAN($V109),'All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09" s="14" t="str">
        <f>IFERROR(VLOOKUP(CLEAN($V109),'All Security Controls'!$A:$I,8, FALSE),"---")</f>
        <v>POA&amp;M</v>
      </c>
      <c r="AC109" s="14" t="str">
        <f>IFERROR(VLOOKUP(CLEAN($V109),'All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09" s="26">
        <v>108</v>
      </c>
    </row>
    <row r="110" spans="1:30" s="10" customFormat="1">
      <c r="A110"/>
      <c r="B110"/>
      <c r="C110"/>
      <c r="D110"/>
      <c r="E110"/>
      <c r="F110"/>
      <c r="G110"/>
      <c r="H110"/>
      <c r="I110"/>
      <c r="J110"/>
      <c r="K110"/>
      <c r="L110"/>
      <c r="M110"/>
      <c r="N110"/>
      <c r="O110"/>
      <c r="P110"/>
      <c r="Q110"/>
      <c r="R110"/>
      <c r="S110"/>
      <c r="T110"/>
      <c r="V110" s="66" t="s">
        <v>124</v>
      </c>
      <c r="W110" s="16" t="str">
        <f>IFERROR(VLOOKUP(CLEAN($V110),'All Security Controls'!A:I, 2, FALSE),"---")</f>
        <v>Session Audit | Capture/Record and Log Content</v>
      </c>
      <c r="X110" s="14" t="str">
        <f>IFERROR(VLOOKUP(CLEAN($V110),'All Security Controls'!$A:$I, 4, FALSE),"---")</f>
        <v>CRWG White Criticality Control</v>
      </c>
      <c r="Y110" s="14" t="str">
        <f>IFERROR(VLOOKUP(CLEAN($V110),'All Security Controls'!$A:$I,5, FALSE),"---")</f>
        <v>Annually</v>
      </c>
      <c r="Z110" s="14" t="str">
        <f>IFERROR(VLOOKUP(CLEAN($V110),'All Security Controls'!$A:$I,6, FALSE),"---")</f>
        <v>Manual</v>
      </c>
      <c r="AA110" s="14" t="str">
        <f>IFERROR(VLOOKUP(CLEAN($V110),'All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10" s="14" t="str">
        <f>IFERROR(VLOOKUP(CLEAN($V110),'All Security Controls'!$A:$I,8, FALSE),"---")</f>
        <v>POA&amp;M</v>
      </c>
      <c r="AC110" s="14" t="str">
        <f>IFERROR(VLOOKUP(CLEAN($V110),'All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10" s="26">
        <v>109</v>
      </c>
    </row>
    <row r="111" spans="1:30" s="10" customFormat="1">
      <c r="A111"/>
      <c r="B111"/>
      <c r="C111"/>
      <c r="D111"/>
      <c r="E111"/>
      <c r="F111"/>
      <c r="G111"/>
      <c r="H111"/>
      <c r="I111"/>
      <c r="J111"/>
      <c r="K111"/>
      <c r="L111"/>
      <c r="M111"/>
      <c r="N111"/>
      <c r="O111"/>
      <c r="P111"/>
      <c r="Q111"/>
      <c r="R111"/>
      <c r="S111"/>
      <c r="T111"/>
      <c r="V111" s="66" t="s">
        <v>125</v>
      </c>
      <c r="W111" s="16" t="str">
        <f>IFERROR(VLOOKUP(CLEAN($V111),'All Security Controls'!A:I, 2, FALSE),"---")</f>
        <v>Session Audit | Remote Viewing/ Listening</v>
      </c>
      <c r="X111" s="14" t="str">
        <f>IFERROR(VLOOKUP(CLEAN($V111),'All Security Controls'!$A:$I, 4, FALSE),"---")</f>
        <v>CRWG White Criticality Control</v>
      </c>
      <c r="Y111" s="14" t="str">
        <f>IFERROR(VLOOKUP(CLEAN($V111),'All Security Controls'!$A:$I,5, FALSE),"---")</f>
        <v>Annually</v>
      </c>
      <c r="Z111" s="14" t="str">
        <f>IFERROR(VLOOKUP(CLEAN($V111),'All Security Controls'!$A:$I,6, FALSE),"---")</f>
        <v>Manual</v>
      </c>
      <c r="AA111" s="14" t="str">
        <f>IFERROR(VLOOKUP(CLEAN($V111),'All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11" s="14" t="str">
        <f>IFERROR(VLOOKUP(CLEAN($V111),'All Security Controls'!$A:$I,8, FALSE),"---")</f>
        <v>POA&amp;M</v>
      </c>
      <c r="AC111" s="14" t="str">
        <f>IFERROR(VLOOKUP(CLEAN($V111),'All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11" s="26">
        <v>110</v>
      </c>
    </row>
    <row r="112" spans="1:30" s="10" customFormat="1">
      <c r="A112"/>
      <c r="B112"/>
      <c r="C112"/>
      <c r="D112"/>
      <c r="E112"/>
      <c r="F112"/>
      <c r="G112"/>
      <c r="H112"/>
      <c r="I112"/>
      <c r="J112"/>
      <c r="K112"/>
      <c r="L112"/>
      <c r="M112"/>
      <c r="N112"/>
      <c r="O112"/>
      <c r="P112"/>
      <c r="Q112"/>
      <c r="R112"/>
      <c r="S112"/>
      <c r="T112"/>
      <c r="V112" s="66" t="s">
        <v>126</v>
      </c>
      <c r="W112" s="16" t="str">
        <f>IFERROR(VLOOKUP(CLEAN($V112),'All Security Controls'!A:I, 2, FALSE),"---")</f>
        <v xml:space="preserve">Security Assessment And Authorization Policies And Procedures  </v>
      </c>
      <c r="X112" s="14" t="str">
        <f>IFERROR(VLOOKUP(CLEAN($V112),'All Security Controls'!$A:$I, 4, FALSE),"---")</f>
        <v>CRWG White Criticality Control</v>
      </c>
      <c r="Y112" s="14" t="str">
        <f>IFERROR(VLOOKUP(CLEAN($V112),'All Security Controls'!$A:$I,5, FALSE),"---")</f>
        <v>Annually</v>
      </c>
      <c r="Z112" s="14" t="str">
        <f>IFERROR(VLOOKUP(CLEAN($V112),'All Security Controls'!$A:$I,6, FALSE),"---")</f>
        <v>Manual</v>
      </c>
      <c r="AA112" s="14" t="str">
        <f>IFERROR(VLOOKUP(CLEAN($V112),'All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12" s="14" t="str">
        <f>IFERROR(VLOOKUP(CLEAN($V112),'All Security Controls'!$A:$I,8, FALSE),"---")</f>
        <v>POA&amp;M</v>
      </c>
      <c r="AC112" s="14" t="str">
        <f>IFERROR(VLOOKUP(CLEAN($V112),'All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12" s="26">
        <v>111</v>
      </c>
    </row>
    <row r="113" spans="1:30" s="10" customFormat="1">
      <c r="A113"/>
      <c r="B113"/>
      <c r="C113"/>
      <c r="D113"/>
      <c r="E113"/>
      <c r="F113"/>
      <c r="G113"/>
      <c r="H113"/>
      <c r="I113"/>
      <c r="J113"/>
      <c r="K113"/>
      <c r="L113"/>
      <c r="M113"/>
      <c r="N113"/>
      <c r="O113"/>
      <c r="P113"/>
      <c r="Q113"/>
      <c r="R113"/>
      <c r="S113"/>
      <c r="T113"/>
      <c r="V113" s="66" t="s">
        <v>127</v>
      </c>
      <c r="W113" s="16" t="str">
        <f>IFERROR(VLOOKUP(CLEAN($V113),'All Security Controls'!A:I, 2, FALSE),"---")</f>
        <v xml:space="preserve">Security Assessments  </v>
      </c>
      <c r="X113" s="14" t="str">
        <f>IFERROR(VLOOKUP(CLEAN($V113),'All Security Controls'!$A:$I, 4, FALSE),"---")</f>
        <v>CRWG White Criticality Control</v>
      </c>
      <c r="Y113" s="14" t="str">
        <f>IFERROR(VLOOKUP(CLEAN($V113),'All Security Controls'!$A:$I,5, FALSE),"---")</f>
        <v>Annually</v>
      </c>
      <c r="Z113" s="14" t="str">
        <f>IFERROR(VLOOKUP(CLEAN($V113),'All Security Controls'!$A:$I,6, FALSE),"---")</f>
        <v>Manual</v>
      </c>
      <c r="AA113" s="14" t="str">
        <f>IFERROR(VLOOKUP(CLEAN($V113),'All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13" s="14" t="str">
        <f>IFERROR(VLOOKUP(CLEAN($V113),'All Security Controls'!$A:$I,8, FALSE),"---")</f>
        <v>POA&amp;M</v>
      </c>
      <c r="AC113" s="14" t="str">
        <f>IFERROR(VLOOKUP(CLEAN($V113),'All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13" s="26">
        <v>112</v>
      </c>
    </row>
    <row r="114" spans="1:30" s="10" customFormat="1">
      <c r="A114"/>
      <c r="B114"/>
      <c r="C114"/>
      <c r="D114"/>
      <c r="E114"/>
      <c r="F114"/>
      <c r="G114"/>
      <c r="H114"/>
      <c r="I114"/>
      <c r="J114"/>
      <c r="K114"/>
      <c r="L114"/>
      <c r="M114"/>
      <c r="N114"/>
      <c r="O114"/>
      <c r="P114"/>
      <c r="Q114"/>
      <c r="R114"/>
      <c r="S114"/>
      <c r="T114"/>
      <c r="V114" s="66" t="s">
        <v>128</v>
      </c>
      <c r="W114" s="16" t="str">
        <f>IFERROR(VLOOKUP(CLEAN($V114),'All Security Controls'!A:I, 2, FALSE),"---")</f>
        <v xml:space="preserve">Security Assessments | Independent Assessors  </v>
      </c>
      <c r="X114" s="14" t="str">
        <f>IFERROR(VLOOKUP(CLEAN($V114),'All Security Controls'!$A:$I, 4, FALSE),"---")</f>
        <v>CRWG White Criticality Control</v>
      </c>
      <c r="Y114" s="14" t="str">
        <f>IFERROR(VLOOKUP(CLEAN($V114),'All Security Controls'!$A:$I,5, FALSE),"---")</f>
        <v>Annually</v>
      </c>
      <c r="Z114" s="14" t="str">
        <f>IFERROR(VLOOKUP(CLEAN($V114),'All Security Controls'!$A:$I,6, FALSE),"---")</f>
        <v>Manual</v>
      </c>
      <c r="AA114" s="14" t="str">
        <f>IFERROR(VLOOKUP(CLEAN($V114),'All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14" s="14" t="str">
        <f>IFERROR(VLOOKUP(CLEAN($V114),'All Security Controls'!$A:$I,8, FALSE),"---")</f>
        <v>POA&amp;M</v>
      </c>
      <c r="AC114" s="14" t="str">
        <f>IFERROR(VLOOKUP(CLEAN($V114),'All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14" s="26">
        <v>113</v>
      </c>
    </row>
    <row r="115" spans="1:30" s="10" customFormat="1">
      <c r="A115"/>
      <c r="B115"/>
      <c r="C115"/>
      <c r="D115"/>
      <c r="E115"/>
      <c r="F115"/>
      <c r="G115"/>
      <c r="H115"/>
      <c r="I115"/>
      <c r="J115"/>
      <c r="K115"/>
      <c r="L115"/>
      <c r="M115"/>
      <c r="N115"/>
      <c r="O115"/>
      <c r="P115"/>
      <c r="Q115"/>
      <c r="R115"/>
      <c r="S115"/>
      <c r="T115"/>
      <c r="V115" s="66" t="s">
        <v>129</v>
      </c>
      <c r="W115" s="16" t="str">
        <f>IFERROR(VLOOKUP(CLEAN($V115),'All Security Controls'!A:I, 2, FALSE),"---")</f>
        <v xml:space="preserve">Security Assessments | Specialized Assessments  </v>
      </c>
      <c r="X115" s="14" t="str">
        <f>IFERROR(VLOOKUP(CLEAN($V115),'All Security Controls'!$A:$I, 4, FALSE),"---")</f>
        <v>CRWG White Criticality Control</v>
      </c>
      <c r="Y115" s="14" t="str">
        <f>IFERROR(VLOOKUP(CLEAN($V115),'All Security Controls'!$A:$I,5, FALSE),"---")</f>
        <v>Annually</v>
      </c>
      <c r="Z115" s="14" t="str">
        <f>IFERROR(VLOOKUP(CLEAN($V115),'All Security Controls'!$A:$I,6, FALSE),"---")</f>
        <v>Manual</v>
      </c>
      <c r="AA115" s="14" t="str">
        <f>IFERROR(VLOOKUP(CLEAN($V115),'All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15" s="14" t="str">
        <f>IFERROR(VLOOKUP(CLEAN($V115),'All Security Controls'!$A:$I,8, FALSE),"---")</f>
        <v>POA&amp;M</v>
      </c>
      <c r="AC115" s="14" t="str">
        <f>IFERROR(VLOOKUP(CLEAN($V115),'All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15" s="26">
        <v>114</v>
      </c>
    </row>
    <row r="116" spans="1:30" s="10" customFormat="1">
      <c r="A116"/>
      <c r="B116"/>
      <c r="C116"/>
      <c r="D116"/>
      <c r="E116"/>
      <c r="F116"/>
      <c r="G116"/>
      <c r="H116"/>
      <c r="I116"/>
      <c r="J116"/>
      <c r="K116"/>
      <c r="L116"/>
      <c r="M116"/>
      <c r="N116"/>
      <c r="O116"/>
      <c r="P116"/>
      <c r="Q116"/>
      <c r="R116"/>
      <c r="S116"/>
      <c r="T116"/>
      <c r="V116" s="66" t="s">
        <v>130</v>
      </c>
      <c r="W116" s="16" t="str">
        <f>IFERROR(VLOOKUP(CLEAN($V116),'All Security Controls'!A:I, 2, FALSE),"---")</f>
        <v xml:space="preserve">System Interconnections  </v>
      </c>
      <c r="X116" s="14" t="str">
        <f>IFERROR(VLOOKUP(CLEAN($V116),'All Security Controls'!$A:$I, 4, FALSE),"---")</f>
        <v>CRWG Yellow Criticality Control</v>
      </c>
      <c r="Y116" s="14" t="str">
        <f>IFERROR(VLOOKUP(CLEAN($V116),'All Security Controls'!$A:$I,5, FALSE),"---")</f>
        <v>Annually</v>
      </c>
      <c r="Z116" s="14" t="str">
        <f>IFERROR(VLOOKUP(CLEAN($V116),'All Security Controls'!$A:$I,6, FALSE),"---")</f>
        <v>Manual</v>
      </c>
      <c r="AA116" s="14" t="str">
        <f>IFERROR(VLOOKUP(CLEAN($V116),'All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16" s="14" t="str">
        <f>IFERROR(VLOOKUP(CLEAN($V116),'All Security Controls'!$A:$I,8, FALSE),"---")</f>
        <v>POA&amp;M</v>
      </c>
      <c r="AC116" s="14" t="str">
        <f>IFERROR(VLOOKUP(CLEAN($V116),'All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16" s="26">
        <v>115</v>
      </c>
    </row>
    <row r="117" spans="1:30" s="10" customFormat="1">
      <c r="A117"/>
      <c r="B117"/>
      <c r="C117"/>
      <c r="D117"/>
      <c r="E117"/>
      <c r="F117"/>
      <c r="G117"/>
      <c r="H117"/>
      <c r="I117"/>
      <c r="J117"/>
      <c r="K117"/>
      <c r="L117"/>
      <c r="M117"/>
      <c r="N117"/>
      <c r="O117"/>
      <c r="P117"/>
      <c r="Q117"/>
      <c r="R117"/>
      <c r="S117"/>
      <c r="T117"/>
      <c r="V117" s="66" t="s">
        <v>131</v>
      </c>
      <c r="W117" s="16" t="str">
        <f>IFERROR(VLOOKUP(CLEAN($V117),'All Security Controls'!A:I, 2, FALSE),"---")</f>
        <v xml:space="preserve">System Interconnections | Unclassified National Security System Connections </v>
      </c>
      <c r="X117" s="14" t="str">
        <f>IFERROR(VLOOKUP(CLEAN($V117),'All Security Controls'!$A:$I, 4, FALSE),"---")</f>
        <v>CRWG Yellow Criticality Control</v>
      </c>
      <c r="Y117" s="14" t="str">
        <f>IFERROR(VLOOKUP(CLEAN($V117),'All Security Controls'!$A:$I,5, FALSE),"---")</f>
        <v>Annually</v>
      </c>
      <c r="Z117" s="14" t="str">
        <f>IFERROR(VLOOKUP(CLEAN($V117),'All Security Controls'!$A:$I,6, FALSE),"---")</f>
        <v>Manual</v>
      </c>
      <c r="AA117" s="14" t="str">
        <f>IFERROR(VLOOKUP(CLEAN($V117),'All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17" s="14" t="str">
        <f>IFERROR(VLOOKUP(CLEAN($V117),'All Security Controls'!$A:$I,8, FALSE),"---")</f>
        <v>POA&amp;M</v>
      </c>
      <c r="AC117" s="14" t="str">
        <f>IFERROR(VLOOKUP(CLEAN($V117),'All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17" s="26">
        <v>116</v>
      </c>
    </row>
    <row r="118" spans="1:30" s="10" customFormat="1">
      <c r="A118"/>
      <c r="B118"/>
      <c r="C118"/>
      <c r="D118"/>
      <c r="E118"/>
      <c r="F118"/>
      <c r="G118"/>
      <c r="H118"/>
      <c r="I118"/>
      <c r="J118"/>
      <c r="K118"/>
      <c r="L118"/>
      <c r="M118"/>
      <c r="N118"/>
      <c r="O118"/>
      <c r="P118"/>
      <c r="Q118"/>
      <c r="R118"/>
      <c r="S118"/>
      <c r="T118"/>
      <c r="V118" s="66" t="s">
        <v>132</v>
      </c>
      <c r="W118" s="16" t="str">
        <f>IFERROR(VLOOKUP(CLEAN($V118),'All Security Controls'!A:I, 2, FALSE),"---")</f>
        <v>System Interconnections | Unclassified Non-National Security System Connections</v>
      </c>
      <c r="X118" s="14" t="str">
        <f>IFERROR(VLOOKUP(CLEAN($V118),'All Security Controls'!$A:$I, 4, FALSE),"---")</f>
        <v>CRWG Yellow Criticality Control</v>
      </c>
      <c r="Y118" s="14" t="str">
        <f>IFERROR(VLOOKUP(CLEAN($V118),'All Security Controls'!$A:$I,5, FALSE),"---")</f>
        <v>Annually</v>
      </c>
      <c r="Z118" s="14" t="str">
        <f>IFERROR(VLOOKUP(CLEAN($V118),'All Security Controls'!$A:$I,6, FALSE),"---")</f>
        <v>Manual</v>
      </c>
      <c r="AA118" s="14" t="str">
        <f>IFERROR(VLOOKUP(CLEAN($V118),'All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18" s="14" t="str">
        <f>IFERROR(VLOOKUP(CLEAN($V118),'All Security Controls'!$A:$I,8, FALSE),"---")</f>
        <v>POA&amp;M</v>
      </c>
      <c r="AC118" s="14" t="str">
        <f>IFERROR(VLOOKUP(CLEAN($V118),'All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18" s="26">
        <v>117</v>
      </c>
    </row>
    <row r="119" spans="1:30" s="10" customFormat="1">
      <c r="A119"/>
      <c r="B119"/>
      <c r="C119"/>
      <c r="D119"/>
      <c r="E119"/>
      <c r="F119"/>
      <c r="G119"/>
      <c r="H119"/>
      <c r="I119"/>
      <c r="J119"/>
      <c r="K119"/>
      <c r="L119"/>
      <c r="M119"/>
      <c r="N119"/>
      <c r="O119"/>
      <c r="P119"/>
      <c r="Q119"/>
      <c r="R119"/>
      <c r="S119"/>
      <c r="T119"/>
      <c r="V119" s="66" t="s">
        <v>133</v>
      </c>
      <c r="W119" s="16" t="str">
        <f>IFERROR(VLOOKUP(CLEAN($V119),'All Security Controls'!A:I, 2, FALSE),"---")</f>
        <v>System Interconnections | Restrictions on External Network Connections</v>
      </c>
      <c r="X119" s="14" t="str">
        <f>IFERROR(VLOOKUP(CLEAN($V119),'All Security Controls'!$A:$I, 4, FALSE),"---")</f>
        <v>CRWG Yellow Criticality Control</v>
      </c>
      <c r="Y119" s="14" t="str">
        <f>IFERROR(VLOOKUP(CLEAN($V119),'All Security Controls'!$A:$I,5, FALSE),"---")</f>
        <v>Annually</v>
      </c>
      <c r="Z119" s="14" t="str">
        <f>IFERROR(VLOOKUP(CLEAN($V119),'All Security Controls'!$A:$I,6, FALSE),"---")</f>
        <v>Manual</v>
      </c>
      <c r="AA119" s="14" t="str">
        <f>IFERROR(VLOOKUP(CLEAN($V119),'All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19" s="14" t="str">
        <f>IFERROR(VLOOKUP(CLEAN($V119),'All Security Controls'!$A:$I,8, FALSE),"---")</f>
        <v>POA&amp;M</v>
      </c>
      <c r="AC119" s="14" t="str">
        <f>IFERROR(VLOOKUP(CLEAN($V119),'All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19" s="26">
        <v>118</v>
      </c>
    </row>
    <row r="120" spans="1:30" s="10" customFormat="1">
      <c r="A120"/>
      <c r="B120"/>
      <c r="C120"/>
      <c r="D120"/>
      <c r="E120"/>
      <c r="F120"/>
      <c r="G120"/>
      <c r="H120"/>
      <c r="I120"/>
      <c r="J120"/>
      <c r="K120"/>
      <c r="L120"/>
      <c r="M120"/>
      <c r="N120"/>
      <c r="O120"/>
      <c r="P120"/>
      <c r="Q120"/>
      <c r="R120"/>
      <c r="S120"/>
      <c r="T120"/>
      <c r="V120" s="66" t="s">
        <v>134</v>
      </c>
      <c r="W120" s="16" t="str">
        <f>IFERROR(VLOOKUP(CLEAN($V120),'All Security Controls'!A:I, 2, FALSE),"---")</f>
        <v xml:space="preserve">Plan Of Action And Milestones  </v>
      </c>
      <c r="X120" s="14" t="str">
        <f>IFERROR(VLOOKUP(CLEAN($V120),'All Security Controls'!$A:$I, 4, FALSE),"---")</f>
        <v>CRWG White Criticality Control</v>
      </c>
      <c r="Y120" s="14" t="str">
        <f>IFERROR(VLOOKUP(CLEAN($V120),'All Security Controls'!$A:$I,5, FALSE),"---")</f>
        <v>Annually</v>
      </c>
      <c r="Z120" s="14" t="str">
        <f>IFERROR(VLOOKUP(CLEAN($V120),'All Security Controls'!$A:$I,6, FALSE),"---")</f>
        <v>Manual</v>
      </c>
      <c r="AA120" s="14" t="str">
        <f>IFERROR(VLOOKUP(CLEAN($V120),'All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20" s="14" t="str">
        <f>IFERROR(VLOOKUP(CLEAN($V120),'All Security Controls'!$A:$I,8, FALSE),"---")</f>
        <v>POA&amp;M</v>
      </c>
      <c r="AC120" s="14" t="str">
        <f>IFERROR(VLOOKUP(CLEAN($V120),'All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20" s="26">
        <v>119</v>
      </c>
    </row>
    <row r="121" spans="1:30" s="10" customFormat="1">
      <c r="A121"/>
      <c r="B121"/>
      <c r="C121"/>
      <c r="D121"/>
      <c r="E121"/>
      <c r="F121"/>
      <c r="G121"/>
      <c r="H121"/>
      <c r="I121"/>
      <c r="J121"/>
      <c r="K121"/>
      <c r="L121"/>
      <c r="M121"/>
      <c r="N121"/>
      <c r="O121"/>
      <c r="P121"/>
      <c r="Q121"/>
      <c r="R121"/>
      <c r="S121"/>
      <c r="T121"/>
      <c r="V121" s="66" t="s">
        <v>135</v>
      </c>
      <c r="W121" s="16" t="str">
        <f>IFERROR(VLOOKUP(CLEAN($V121),'All Security Controls'!A:I, 2, FALSE),"---")</f>
        <v xml:space="preserve">Security Authorization  </v>
      </c>
      <c r="X121" s="14" t="str">
        <f>IFERROR(VLOOKUP(CLEAN($V121),'All Security Controls'!$A:$I, 4, FALSE),"---")</f>
        <v>CRWG Yellow Criticality Control</v>
      </c>
      <c r="Y121" s="14" t="str">
        <f>IFERROR(VLOOKUP(CLEAN($V121),'All Security Controls'!$A:$I,5, FALSE),"---")</f>
        <v>Annually</v>
      </c>
      <c r="Z121" s="14" t="str">
        <f>IFERROR(VLOOKUP(CLEAN($V121),'All Security Controls'!$A:$I,6, FALSE),"---")</f>
        <v>Manual</v>
      </c>
      <c r="AA121" s="14" t="str">
        <f>IFERROR(VLOOKUP(CLEAN($V121),'All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21" s="14" t="str">
        <f>IFERROR(VLOOKUP(CLEAN($V121),'All Security Controls'!$A:$I,8, FALSE),"---")</f>
        <v>POA&amp;M</v>
      </c>
      <c r="AC121" s="14" t="str">
        <f>IFERROR(VLOOKUP(CLEAN($V121),'All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21" s="26">
        <v>120</v>
      </c>
    </row>
    <row r="122" spans="1:30" s="10" customFormat="1">
      <c r="A122"/>
      <c r="B122"/>
      <c r="C122"/>
      <c r="D122"/>
      <c r="E122"/>
      <c r="F122"/>
      <c r="G122"/>
      <c r="H122"/>
      <c r="I122"/>
      <c r="J122"/>
      <c r="K122"/>
      <c r="L122"/>
      <c r="M122"/>
      <c r="N122"/>
      <c r="O122"/>
      <c r="P122"/>
      <c r="Q122"/>
      <c r="R122"/>
      <c r="S122"/>
      <c r="T122"/>
      <c r="V122" s="66" t="s">
        <v>136</v>
      </c>
      <c r="W122" s="16" t="str">
        <f>IFERROR(VLOOKUP(CLEAN($V122),'All Security Controls'!A:I, 2, FALSE),"---")</f>
        <v xml:space="preserve">Continuous Monitoring  </v>
      </c>
      <c r="X122" s="14" t="str">
        <f>IFERROR(VLOOKUP(CLEAN($V122),'All Security Controls'!$A:$I, 4, FALSE),"---")</f>
        <v>CRWG White Criticality Control</v>
      </c>
      <c r="Y122" s="14" t="str">
        <f>IFERROR(VLOOKUP(CLEAN($V122),'All Security Controls'!$A:$I,5, FALSE),"---")</f>
        <v>Annually</v>
      </c>
      <c r="Z122" s="14" t="str">
        <f>IFERROR(VLOOKUP(CLEAN($V122),'All Security Controls'!$A:$I,6, FALSE),"---")</f>
        <v>Manual</v>
      </c>
      <c r="AA122" s="14" t="str">
        <f>IFERROR(VLOOKUP(CLEAN($V122),'All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22" s="14" t="str">
        <f>IFERROR(VLOOKUP(CLEAN($V122),'All Security Controls'!$A:$I,8, FALSE),"---")</f>
        <v>POA&amp;M</v>
      </c>
      <c r="AC122" s="14" t="str">
        <f>IFERROR(VLOOKUP(CLEAN($V122),'All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22" s="26">
        <v>121</v>
      </c>
    </row>
    <row r="123" spans="1:30" s="10" customFormat="1">
      <c r="A123"/>
      <c r="B123"/>
      <c r="C123"/>
      <c r="D123"/>
      <c r="E123"/>
      <c r="F123"/>
      <c r="G123"/>
      <c r="H123"/>
      <c r="I123"/>
      <c r="J123"/>
      <c r="K123"/>
      <c r="L123"/>
      <c r="M123"/>
      <c r="N123"/>
      <c r="O123"/>
      <c r="P123"/>
      <c r="Q123"/>
      <c r="R123"/>
      <c r="S123"/>
      <c r="T123"/>
      <c r="V123" s="66" t="s">
        <v>137</v>
      </c>
      <c r="W123" s="16" t="str">
        <f>IFERROR(VLOOKUP(CLEAN($V123),'All Security Controls'!A:I, 2, FALSE),"---")</f>
        <v>Continuous Monitoring | Independent Assessment</v>
      </c>
      <c r="X123" s="14" t="str">
        <f>IFERROR(VLOOKUP(CLEAN($V123),'All Security Controls'!$A:$I, 4, FALSE),"---")</f>
        <v>CRWG White Criticality Control</v>
      </c>
      <c r="Y123" s="14" t="str">
        <f>IFERROR(VLOOKUP(CLEAN($V123),'All Security Controls'!$A:$I,5, FALSE),"---")</f>
        <v>Annually</v>
      </c>
      <c r="Z123" s="14" t="str">
        <f>IFERROR(VLOOKUP(CLEAN($V123),'All Security Controls'!$A:$I,6, FALSE),"---")</f>
        <v>Manual</v>
      </c>
      <c r="AA123" s="14" t="str">
        <f>IFERROR(VLOOKUP(CLEAN($V123),'All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23" s="14" t="str">
        <f>IFERROR(VLOOKUP(CLEAN($V123),'All Security Controls'!$A:$I,8, FALSE),"---")</f>
        <v>POA&amp;M</v>
      </c>
      <c r="AC123" s="14" t="str">
        <f>IFERROR(VLOOKUP(CLEAN($V123),'All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23" s="26">
        <v>122</v>
      </c>
    </row>
    <row r="124" spans="1:30" s="10" customFormat="1">
      <c r="A124"/>
      <c r="B124"/>
      <c r="C124"/>
      <c r="D124"/>
      <c r="E124"/>
      <c r="F124"/>
      <c r="G124"/>
      <c r="H124"/>
      <c r="I124"/>
      <c r="J124"/>
      <c r="K124"/>
      <c r="L124"/>
      <c r="M124"/>
      <c r="N124"/>
      <c r="O124"/>
      <c r="P124"/>
      <c r="Q124"/>
      <c r="R124"/>
      <c r="S124"/>
      <c r="T124"/>
      <c r="V124" s="66" t="s">
        <v>138</v>
      </c>
      <c r="W124" s="16" t="str">
        <f>IFERROR(VLOOKUP(CLEAN($V124),'All Security Controls'!A:I, 2, FALSE),"---")</f>
        <v>Penetration Testing</v>
      </c>
      <c r="X124" s="14" t="str">
        <f>IFERROR(VLOOKUP(CLEAN($V124),'All Security Controls'!$A:$I, 4, FALSE),"---")</f>
        <v>CRWG White Criticality Control</v>
      </c>
      <c r="Y124" s="14" t="str">
        <f>IFERROR(VLOOKUP(CLEAN($V124),'All Security Controls'!$A:$I,5, FALSE),"---")</f>
        <v>Annually</v>
      </c>
      <c r="Z124" s="14" t="str">
        <f>IFERROR(VLOOKUP(CLEAN($V124),'All Security Controls'!$A:$I,6, FALSE),"---")</f>
        <v>Manual</v>
      </c>
      <c r="AA124" s="14" t="str">
        <f>IFERROR(VLOOKUP(CLEAN($V124),'All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24" s="14" t="str">
        <f>IFERROR(VLOOKUP(CLEAN($V124),'All Security Controls'!$A:$I,8, FALSE),"---")</f>
        <v>POA&amp;M</v>
      </c>
      <c r="AC124" s="14" t="str">
        <f>IFERROR(VLOOKUP(CLEAN($V124),'All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24" s="26">
        <v>123</v>
      </c>
    </row>
    <row r="125" spans="1:30" s="10" customFormat="1">
      <c r="A125"/>
      <c r="B125"/>
      <c r="C125"/>
      <c r="D125"/>
      <c r="E125"/>
      <c r="F125"/>
      <c r="G125"/>
      <c r="H125"/>
      <c r="I125"/>
      <c r="J125"/>
      <c r="K125"/>
      <c r="L125"/>
      <c r="M125"/>
      <c r="N125"/>
      <c r="O125"/>
      <c r="P125"/>
      <c r="Q125"/>
      <c r="R125"/>
      <c r="S125"/>
      <c r="T125"/>
      <c r="V125" s="66" t="s">
        <v>139</v>
      </c>
      <c r="W125" s="16" t="str">
        <f>IFERROR(VLOOKUP(CLEAN($V125),'All Security Controls'!A:I, 2, FALSE),"---")</f>
        <v>Internal System Connections</v>
      </c>
      <c r="X125" s="14" t="str">
        <f>IFERROR(VLOOKUP(CLEAN($V125),'All Security Controls'!$A:$I, 4, FALSE),"---")</f>
        <v>CRWG Yellow Criticality Control</v>
      </c>
      <c r="Y125" s="14" t="str">
        <f>IFERROR(VLOOKUP(CLEAN($V125),'All Security Controls'!$A:$I,5, FALSE),"---")</f>
        <v>Annually</v>
      </c>
      <c r="Z125" s="14" t="str">
        <f>IFERROR(VLOOKUP(CLEAN($V125),'All Security Controls'!$A:$I,6, FALSE),"---")</f>
        <v>Manual</v>
      </c>
      <c r="AA125" s="14" t="str">
        <f>IFERROR(VLOOKUP(CLEAN($V125),'All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25" s="14" t="str">
        <f>IFERROR(VLOOKUP(CLEAN($V125),'All Security Controls'!$A:$I,8, FALSE),"---")</f>
        <v>POA&amp;M</v>
      </c>
      <c r="AC125" s="14" t="str">
        <f>IFERROR(VLOOKUP(CLEAN($V125),'All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25" s="26">
        <v>124</v>
      </c>
    </row>
    <row r="126" spans="1:30" s="10" customFormat="1">
      <c r="A126"/>
      <c r="B126"/>
      <c r="C126"/>
      <c r="D126"/>
      <c r="E126"/>
      <c r="F126"/>
      <c r="G126"/>
      <c r="H126"/>
      <c r="I126"/>
      <c r="J126"/>
      <c r="K126"/>
      <c r="L126"/>
      <c r="M126"/>
      <c r="N126"/>
      <c r="O126"/>
      <c r="P126"/>
      <c r="Q126"/>
      <c r="R126"/>
      <c r="S126"/>
      <c r="T126"/>
      <c r="V126" s="66" t="s">
        <v>140</v>
      </c>
      <c r="W126" s="16" t="str">
        <f>IFERROR(VLOOKUP(CLEAN($V126),'All Security Controls'!A:I, 2, FALSE),"---")</f>
        <v xml:space="preserve">Configuration Management Policy And Procedures  </v>
      </c>
      <c r="X126" s="14" t="str">
        <f>IFERROR(VLOOKUP(CLEAN($V126),'All Security Controls'!$A:$I, 4, FALSE),"---")</f>
        <v>CRWG White Criticality Control</v>
      </c>
      <c r="Y126" s="14" t="str">
        <f>IFERROR(VLOOKUP(CLEAN($V126),'All Security Controls'!$A:$I,5, FALSE),"---")</f>
        <v>Annually</v>
      </c>
      <c r="Z126" s="14" t="str">
        <f>IFERROR(VLOOKUP(CLEAN($V126),'All Security Controls'!$A:$I,6, FALSE),"---")</f>
        <v>Manual</v>
      </c>
      <c r="AA126" s="14" t="str">
        <f>IFERROR(VLOOKUP(CLEAN($V126),'All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26" s="14" t="str">
        <f>IFERROR(VLOOKUP(CLEAN($V126),'All Security Controls'!$A:$I,8, FALSE),"---")</f>
        <v>POA&amp;M</v>
      </c>
      <c r="AC126" s="14" t="str">
        <f>IFERROR(VLOOKUP(CLEAN($V126),'All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26" s="26">
        <v>125</v>
      </c>
    </row>
    <row r="127" spans="1:30" s="10" customFormat="1">
      <c r="A127"/>
      <c r="B127"/>
      <c r="C127"/>
      <c r="D127"/>
      <c r="E127"/>
      <c r="F127"/>
      <c r="G127"/>
      <c r="H127"/>
      <c r="I127"/>
      <c r="J127"/>
      <c r="K127"/>
      <c r="L127"/>
      <c r="M127"/>
      <c r="N127"/>
      <c r="O127"/>
      <c r="P127"/>
      <c r="Q127"/>
      <c r="R127"/>
      <c r="S127"/>
      <c r="T127"/>
      <c r="V127" s="66" t="s">
        <v>141</v>
      </c>
      <c r="W127" s="16" t="str">
        <f>IFERROR(VLOOKUP(CLEAN($V127),'All Security Controls'!A:I, 2, FALSE),"---")</f>
        <v xml:space="preserve">Baseline Configuration  </v>
      </c>
      <c r="X127" s="14" t="str">
        <f>IFERROR(VLOOKUP(CLEAN($V127),'All Security Controls'!$A:$I, 4, FALSE),"---")</f>
        <v>CRWG Yellow Criticality Control</v>
      </c>
      <c r="Y127" s="14" t="str">
        <f>IFERROR(VLOOKUP(CLEAN($V127),'All Security Controls'!$A:$I,5, FALSE),"---")</f>
        <v>Quarterly</v>
      </c>
      <c r="Z127" s="14" t="str">
        <f>IFERROR(VLOOKUP(CLEAN($V127),'All Security Controls'!$A:$I,6, FALSE),"---")</f>
        <v>Manual</v>
      </c>
      <c r="AA127" s="14" t="str">
        <f>IFERROR(VLOOKUP(CLEAN($V127),'All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27" s="14" t="str">
        <f>IFERROR(VLOOKUP(CLEAN($V127),'All Security Controls'!$A:$I,8, FALSE),"---")</f>
        <v>POA&amp;M</v>
      </c>
      <c r="AC127" s="14" t="str">
        <f>IFERROR(VLOOKUP(CLEAN($V127),'All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27" s="26">
        <v>126</v>
      </c>
    </row>
    <row r="128" spans="1:30" s="10" customFormat="1">
      <c r="A128"/>
      <c r="B128"/>
      <c r="C128"/>
      <c r="D128"/>
      <c r="E128"/>
      <c r="F128"/>
      <c r="G128"/>
      <c r="H128"/>
      <c r="I128"/>
      <c r="J128"/>
      <c r="K128"/>
      <c r="L128"/>
      <c r="M128"/>
      <c r="N128"/>
      <c r="O128"/>
      <c r="P128"/>
      <c r="Q128"/>
      <c r="R128"/>
      <c r="S128"/>
      <c r="T128"/>
      <c r="V128" s="66" t="s">
        <v>142</v>
      </c>
      <c r="W128" s="16" t="str">
        <f>IFERROR(VLOOKUP(CLEAN($V128),'All Security Controls'!A:I, 2, FALSE),"---")</f>
        <v xml:space="preserve">Baseline Configuration | Reviews and Updates  </v>
      </c>
      <c r="X128" s="14" t="str">
        <f>IFERROR(VLOOKUP(CLEAN($V128),'All Security Controls'!$A:$I, 4, FALSE),"---")</f>
        <v>CRWG Yellow Criticality Control</v>
      </c>
      <c r="Y128" s="14" t="str">
        <f>IFERROR(VLOOKUP(CLEAN($V128),'All Security Controls'!$A:$I,5, FALSE),"---")</f>
        <v>Quarterly</v>
      </c>
      <c r="Z128" s="14" t="str">
        <f>IFERROR(VLOOKUP(CLEAN($V128),'All Security Controls'!$A:$I,6, FALSE),"---")</f>
        <v>Manual</v>
      </c>
      <c r="AA128" s="14" t="str">
        <f>IFERROR(VLOOKUP(CLEAN($V128),'All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28" s="14" t="str">
        <f>IFERROR(VLOOKUP(CLEAN($V128),'All Security Controls'!$A:$I,8, FALSE),"---")</f>
        <v>POA&amp;M</v>
      </c>
      <c r="AC128" s="14" t="str">
        <f>IFERROR(VLOOKUP(CLEAN($V128),'All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28" s="26">
        <v>127</v>
      </c>
    </row>
    <row r="129" spans="1:30" s="10" customFormat="1">
      <c r="A129"/>
      <c r="B129"/>
      <c r="C129"/>
      <c r="D129"/>
      <c r="E129"/>
      <c r="F129"/>
      <c r="G129"/>
      <c r="H129"/>
      <c r="I129"/>
      <c r="J129"/>
      <c r="K129"/>
      <c r="L129"/>
      <c r="M129"/>
      <c r="N129"/>
      <c r="O129"/>
      <c r="P129"/>
      <c r="Q129"/>
      <c r="R129"/>
      <c r="S129"/>
      <c r="T129"/>
      <c r="V129" s="66" t="s">
        <v>143</v>
      </c>
      <c r="W129" s="16" t="str">
        <f>IFERROR(VLOOKUP(CLEAN($V129),'All Security Controls'!A:I, 2, FALSE),"---")</f>
        <v xml:space="preserve">Baseline Configuration | Automation Support for Accuracy/ Currency  </v>
      </c>
      <c r="X129" s="14" t="str">
        <f>IFERROR(VLOOKUP(CLEAN($V129),'All Security Controls'!$A:$I, 4, FALSE),"---")</f>
        <v>CRWG Yellow Criticality Control</v>
      </c>
      <c r="Y129" s="14" t="str">
        <f>IFERROR(VLOOKUP(CLEAN($V129),'All Security Controls'!$A:$I,5, FALSE),"---")</f>
        <v>Quarterly</v>
      </c>
      <c r="Z129" s="14" t="str">
        <f>IFERROR(VLOOKUP(CLEAN($V129),'All Security Controls'!$A:$I,6, FALSE),"---")</f>
        <v>Manual</v>
      </c>
      <c r="AA129" s="14" t="str">
        <f>IFERROR(VLOOKUP(CLEAN($V129),'All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29" s="14" t="str">
        <f>IFERROR(VLOOKUP(CLEAN($V129),'All Security Controls'!$A:$I,8, FALSE),"---")</f>
        <v>POA&amp;M</v>
      </c>
      <c r="AC129" s="14" t="str">
        <f>IFERROR(VLOOKUP(CLEAN($V129),'All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29" s="26">
        <v>128</v>
      </c>
    </row>
    <row r="130" spans="1:30" s="10" customFormat="1">
      <c r="A130"/>
      <c r="B130"/>
      <c r="C130"/>
      <c r="D130"/>
      <c r="E130"/>
      <c r="F130"/>
      <c r="G130"/>
      <c r="H130"/>
      <c r="I130"/>
      <c r="J130"/>
      <c r="K130"/>
      <c r="L130"/>
      <c r="M130"/>
      <c r="N130"/>
      <c r="O130"/>
      <c r="P130"/>
      <c r="Q130"/>
      <c r="R130"/>
      <c r="S130"/>
      <c r="T130"/>
      <c r="V130" s="66" t="s">
        <v>144</v>
      </c>
      <c r="W130" s="16" t="str">
        <f>IFERROR(VLOOKUP(CLEAN($V130),'All Security Controls'!A:I, 2, FALSE),"---")</f>
        <v xml:space="preserve">Baseline Configuration | Retention of Previous Configurations  </v>
      </c>
      <c r="X130" s="14" t="str">
        <f>IFERROR(VLOOKUP(CLEAN($V130),'All Security Controls'!$A:$I, 4, FALSE),"---")</f>
        <v>CRWG Yellow Criticality Control</v>
      </c>
      <c r="Y130" s="14" t="str">
        <f>IFERROR(VLOOKUP(CLEAN($V130),'All Security Controls'!$A:$I,5, FALSE),"---")</f>
        <v>Quarterly</v>
      </c>
      <c r="Z130" s="14" t="str">
        <f>IFERROR(VLOOKUP(CLEAN($V130),'All Security Controls'!$A:$I,6, FALSE),"---")</f>
        <v>Manual</v>
      </c>
      <c r="AA130" s="14" t="str">
        <f>IFERROR(VLOOKUP(CLEAN($V130),'All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30" s="14" t="str">
        <f>IFERROR(VLOOKUP(CLEAN($V130),'All Security Controls'!$A:$I,8, FALSE),"---")</f>
        <v>POA&amp;M</v>
      </c>
      <c r="AC130" s="14" t="str">
        <f>IFERROR(VLOOKUP(CLEAN($V130),'All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30" s="26">
        <v>129</v>
      </c>
    </row>
    <row r="131" spans="1:30" s="10" customFormat="1">
      <c r="A131"/>
      <c r="B131"/>
      <c r="C131"/>
      <c r="D131"/>
      <c r="E131"/>
      <c r="F131"/>
      <c r="G131"/>
      <c r="H131"/>
      <c r="I131"/>
      <c r="J131"/>
      <c r="K131"/>
      <c r="L131"/>
      <c r="M131"/>
      <c r="N131"/>
      <c r="O131"/>
      <c r="P131"/>
      <c r="Q131"/>
      <c r="R131"/>
      <c r="S131"/>
      <c r="T131"/>
      <c r="V131" s="66" t="s">
        <v>145</v>
      </c>
      <c r="W131" s="16" t="str">
        <f>IFERROR(VLOOKUP(CLEAN($V131),'All Security Controls'!A:I, 2, FALSE),"---")</f>
        <v>Baseline Configuration | Configure Systems, Components, or Devices for High-Risk Areas</v>
      </c>
      <c r="X131" s="14" t="str">
        <f>IFERROR(VLOOKUP(CLEAN($V131),'All Security Controls'!$A:$I, 4, FALSE),"---")</f>
        <v>CRWG Yellow Criticality Control</v>
      </c>
      <c r="Y131" s="14" t="str">
        <f>IFERROR(VLOOKUP(CLEAN($V131),'All Security Controls'!$A:$I,5, FALSE),"---")</f>
        <v>Quarterly</v>
      </c>
      <c r="Z131" s="14" t="str">
        <f>IFERROR(VLOOKUP(CLEAN($V131),'All Security Controls'!$A:$I,6, FALSE),"---")</f>
        <v>Manual</v>
      </c>
      <c r="AA131" s="14" t="str">
        <f>IFERROR(VLOOKUP(CLEAN($V131),'All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31" s="14" t="str">
        <f>IFERROR(VLOOKUP(CLEAN($V131),'All Security Controls'!$A:$I,8, FALSE),"---")</f>
        <v>POA&amp;M</v>
      </c>
      <c r="AC131" s="14" t="str">
        <f>IFERROR(VLOOKUP(CLEAN($V131),'All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31" s="26">
        <v>130</v>
      </c>
    </row>
    <row r="132" spans="1:30" s="10" customFormat="1">
      <c r="A132"/>
      <c r="B132"/>
      <c r="C132"/>
      <c r="D132"/>
      <c r="E132"/>
      <c r="F132"/>
      <c r="G132"/>
      <c r="H132"/>
      <c r="I132"/>
      <c r="J132"/>
      <c r="K132"/>
      <c r="L132"/>
      <c r="M132"/>
      <c r="N132"/>
      <c r="O132"/>
      <c r="P132"/>
      <c r="Q132"/>
      <c r="R132"/>
      <c r="S132"/>
      <c r="T132"/>
      <c r="V132" s="66" t="s">
        <v>146</v>
      </c>
      <c r="W132" s="16" t="str">
        <f>IFERROR(VLOOKUP(CLEAN($V132),'All Security Controls'!A:I, 2, FALSE),"---")</f>
        <v xml:space="preserve">Configuration Change Control  </v>
      </c>
      <c r="X132" s="14" t="str">
        <f>IFERROR(VLOOKUP(CLEAN($V132),'All Security Controls'!$A:$I, 4, FALSE),"---")</f>
        <v>CRWG Yellow Criticality Control</v>
      </c>
      <c r="Y132" s="14" t="str">
        <f>IFERROR(VLOOKUP(CLEAN($V132),'All Security Controls'!$A:$I,5, FALSE),"---")</f>
        <v>Quarterly</v>
      </c>
      <c r="Z132" s="14" t="str">
        <f>IFERROR(VLOOKUP(CLEAN($V132),'All Security Controls'!$A:$I,6, FALSE),"---")</f>
        <v>Manual</v>
      </c>
      <c r="AA132" s="14" t="str">
        <f>IFERROR(VLOOKUP(CLEAN($V132),'All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32" s="14" t="str">
        <f>IFERROR(VLOOKUP(CLEAN($V132),'All Security Controls'!$A:$I,8, FALSE),"---")</f>
        <v>POA&amp;M</v>
      </c>
      <c r="AC132" s="14" t="str">
        <f>IFERROR(VLOOKUP(CLEAN($V132),'All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32" s="26">
        <v>131</v>
      </c>
    </row>
    <row r="133" spans="1:30" s="10" customFormat="1">
      <c r="A133"/>
      <c r="B133"/>
      <c r="C133"/>
      <c r="D133"/>
      <c r="E133"/>
      <c r="F133"/>
      <c r="G133"/>
      <c r="H133"/>
      <c r="I133"/>
      <c r="J133"/>
      <c r="K133"/>
      <c r="L133"/>
      <c r="M133"/>
      <c r="N133"/>
      <c r="O133"/>
      <c r="P133"/>
      <c r="Q133"/>
      <c r="R133"/>
      <c r="S133"/>
      <c r="T133"/>
      <c r="V133" s="66" t="s">
        <v>147</v>
      </c>
      <c r="W133" s="16" t="str">
        <f>IFERROR(VLOOKUP(CLEAN($V133),'All Security Controls'!A:I, 2, FALSE),"---")</f>
        <v>Configuration Change Control | Automated Document/ Notification/ Prohibition of Changes</v>
      </c>
      <c r="X133" s="14" t="str">
        <f>IFERROR(VLOOKUP(CLEAN($V133),'All Security Controls'!$A:$I, 4, FALSE),"---")</f>
        <v>CRWG Yellow Criticality Control</v>
      </c>
      <c r="Y133" s="14" t="str">
        <f>IFERROR(VLOOKUP(CLEAN($V133),'All Security Controls'!$A:$I,5, FALSE),"---")</f>
        <v>Quarterly</v>
      </c>
      <c r="Z133" s="14" t="str">
        <f>IFERROR(VLOOKUP(CLEAN($V133),'All Security Controls'!$A:$I,6, FALSE),"---")</f>
        <v>Manual</v>
      </c>
      <c r="AA133" s="14" t="str">
        <f>IFERROR(VLOOKUP(CLEAN($V133),'All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33" s="14" t="str">
        <f>IFERROR(VLOOKUP(CLEAN($V133),'All Security Controls'!$A:$I,8, FALSE),"---")</f>
        <v>POA&amp;M</v>
      </c>
      <c r="AC133" s="14" t="str">
        <f>IFERROR(VLOOKUP(CLEAN($V133),'All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33" s="26">
        <v>132</v>
      </c>
    </row>
    <row r="134" spans="1:30" s="10" customFormat="1">
      <c r="A134"/>
      <c r="B134"/>
      <c r="C134"/>
      <c r="D134"/>
      <c r="E134"/>
      <c r="F134"/>
      <c r="G134"/>
      <c r="H134"/>
      <c r="I134"/>
      <c r="J134"/>
      <c r="K134"/>
      <c r="L134"/>
      <c r="M134"/>
      <c r="N134"/>
      <c r="O134"/>
      <c r="P134"/>
      <c r="Q134"/>
      <c r="R134"/>
      <c r="S134"/>
      <c r="T134"/>
      <c r="V134" s="66" t="s">
        <v>148</v>
      </c>
      <c r="W134" s="16" t="str">
        <f>IFERROR(VLOOKUP(CLEAN($V134),'All Security Controls'!A:I, 2, FALSE),"---")</f>
        <v>Configuration Change Control | Test/ Validate/ Document Changes</v>
      </c>
      <c r="X134" s="14" t="str">
        <f>IFERROR(VLOOKUP(CLEAN($V134),'All Security Controls'!$A:$I, 4, FALSE),"---")</f>
        <v>CRWG Yellow Criticality Control</v>
      </c>
      <c r="Y134" s="14" t="str">
        <f>IFERROR(VLOOKUP(CLEAN($V134),'All Security Controls'!$A:$I,5, FALSE),"---")</f>
        <v>Quarterly</v>
      </c>
      <c r="Z134" s="14" t="str">
        <f>IFERROR(VLOOKUP(CLEAN($V134),'All Security Controls'!$A:$I,6, FALSE),"---")</f>
        <v>Manual</v>
      </c>
      <c r="AA134" s="14" t="str">
        <f>IFERROR(VLOOKUP(CLEAN($V134),'All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34" s="14" t="str">
        <f>IFERROR(VLOOKUP(CLEAN($V134),'All Security Controls'!$A:$I,8, FALSE),"---")</f>
        <v>POA&amp;M</v>
      </c>
      <c r="AC134" s="14" t="str">
        <f>IFERROR(VLOOKUP(CLEAN($V134),'All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34" s="26">
        <v>133</v>
      </c>
    </row>
    <row r="135" spans="1:30" s="10" customFormat="1">
      <c r="A135"/>
      <c r="B135"/>
      <c r="C135"/>
      <c r="D135"/>
      <c r="E135"/>
      <c r="F135"/>
      <c r="G135"/>
      <c r="H135"/>
      <c r="I135"/>
      <c r="J135"/>
      <c r="K135"/>
      <c r="L135"/>
      <c r="M135"/>
      <c r="N135"/>
      <c r="O135"/>
      <c r="P135"/>
      <c r="Q135"/>
      <c r="R135"/>
      <c r="S135"/>
      <c r="T135"/>
      <c r="V135" s="66" t="s">
        <v>149</v>
      </c>
      <c r="W135" s="16" t="str">
        <f>IFERROR(VLOOKUP(CLEAN($V135),'All Security Controls'!A:I, 2, FALSE),"---")</f>
        <v>Configuration Change Control | Security Representative</v>
      </c>
      <c r="X135" s="14" t="str">
        <f>IFERROR(VLOOKUP(CLEAN($V135),'All Security Controls'!$A:$I, 4, FALSE),"---")</f>
        <v>CRWG Yellow Criticality Control</v>
      </c>
      <c r="Y135" s="14" t="str">
        <f>IFERROR(VLOOKUP(CLEAN($V135),'All Security Controls'!$A:$I,5, FALSE),"---")</f>
        <v>Quarterly</v>
      </c>
      <c r="Z135" s="14" t="str">
        <f>IFERROR(VLOOKUP(CLEAN($V135),'All Security Controls'!$A:$I,6, FALSE),"---")</f>
        <v>Manual</v>
      </c>
      <c r="AA135" s="14" t="str">
        <f>IFERROR(VLOOKUP(CLEAN($V135),'All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35" s="14" t="str">
        <f>IFERROR(VLOOKUP(CLEAN($V135),'All Security Controls'!$A:$I,8, FALSE),"---")</f>
        <v>POA&amp;M</v>
      </c>
      <c r="AC135" s="14" t="str">
        <f>IFERROR(VLOOKUP(CLEAN($V135),'All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35" s="26">
        <v>134</v>
      </c>
    </row>
    <row r="136" spans="1:30" s="10" customFormat="1">
      <c r="A136"/>
      <c r="B136"/>
      <c r="C136"/>
      <c r="D136"/>
      <c r="E136"/>
      <c r="F136"/>
      <c r="G136"/>
      <c r="H136"/>
      <c r="I136"/>
      <c r="J136"/>
      <c r="K136"/>
      <c r="L136"/>
      <c r="M136"/>
      <c r="N136"/>
      <c r="O136"/>
      <c r="P136"/>
      <c r="Q136"/>
      <c r="R136"/>
      <c r="S136"/>
      <c r="T136"/>
      <c r="V136" s="66" t="s">
        <v>150</v>
      </c>
      <c r="W136" s="16" t="str">
        <f>IFERROR(VLOOKUP(CLEAN($V136),'All Security Controls'!A:I, 2, FALSE),"---")</f>
        <v>Configuration Change Control | Automated Security Response</v>
      </c>
      <c r="X136" s="14" t="str">
        <f>IFERROR(VLOOKUP(CLEAN($V136),'All Security Controls'!$A:$I, 4, FALSE),"---")</f>
        <v>CRWG Yellow Criticality Control</v>
      </c>
      <c r="Y136" s="14" t="str">
        <f>IFERROR(VLOOKUP(CLEAN($V136),'All Security Controls'!$A:$I,5, FALSE),"---")</f>
        <v>Quarterly</v>
      </c>
      <c r="Z136" s="14" t="str">
        <f>IFERROR(VLOOKUP(CLEAN($V136),'All Security Controls'!$A:$I,6, FALSE),"---")</f>
        <v>Manual</v>
      </c>
      <c r="AA136" s="14" t="str">
        <f>IFERROR(VLOOKUP(CLEAN($V136),'All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36" s="14" t="str">
        <f>IFERROR(VLOOKUP(CLEAN($V136),'All Security Controls'!$A:$I,8, FALSE),"---")</f>
        <v>POA&amp;M</v>
      </c>
      <c r="AC136" s="14" t="str">
        <f>IFERROR(VLOOKUP(CLEAN($V136),'All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36" s="26">
        <v>135</v>
      </c>
    </row>
    <row r="137" spans="1:30" s="10" customFormat="1">
      <c r="A137"/>
      <c r="B137"/>
      <c r="C137"/>
      <c r="D137"/>
      <c r="E137"/>
      <c r="F137"/>
      <c r="G137"/>
      <c r="H137"/>
      <c r="I137"/>
      <c r="J137"/>
      <c r="K137"/>
      <c r="L137"/>
      <c r="M137"/>
      <c r="N137"/>
      <c r="O137"/>
      <c r="P137"/>
      <c r="Q137"/>
      <c r="R137"/>
      <c r="S137"/>
      <c r="T137"/>
      <c r="V137" s="66" t="s">
        <v>151</v>
      </c>
      <c r="W137" s="16" t="str">
        <f>IFERROR(VLOOKUP(CLEAN($V137),'All Security Controls'!A:I, 2, FALSE),"---")</f>
        <v>Configuration Change Control | Cryptography Management</v>
      </c>
      <c r="X137" s="14" t="str">
        <f>IFERROR(VLOOKUP(CLEAN($V137),'All Security Controls'!$A:$I, 4, FALSE),"---")</f>
        <v>CRWG Yellow Criticality Control</v>
      </c>
      <c r="Y137" s="14" t="str">
        <f>IFERROR(VLOOKUP(CLEAN($V137),'All Security Controls'!$A:$I,5, FALSE),"---")</f>
        <v>Quarterly</v>
      </c>
      <c r="Z137" s="14" t="str">
        <f>IFERROR(VLOOKUP(CLEAN($V137),'All Security Controls'!$A:$I,6, FALSE),"---")</f>
        <v>Manual</v>
      </c>
      <c r="AA137" s="14" t="str">
        <f>IFERROR(VLOOKUP(CLEAN($V137),'All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37" s="14" t="str">
        <f>IFERROR(VLOOKUP(CLEAN($V137),'All Security Controls'!$A:$I,8, FALSE),"---")</f>
        <v>POA&amp;M</v>
      </c>
      <c r="AC137" s="14" t="str">
        <f>IFERROR(VLOOKUP(CLEAN($V137),'All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37" s="26">
        <v>136</v>
      </c>
    </row>
    <row r="138" spans="1:30" s="10" customFormat="1">
      <c r="A138"/>
      <c r="B138"/>
      <c r="C138"/>
      <c r="D138"/>
      <c r="E138"/>
      <c r="F138"/>
      <c r="G138"/>
      <c r="H138"/>
      <c r="I138"/>
      <c r="J138"/>
      <c r="K138"/>
      <c r="L138"/>
      <c r="M138"/>
      <c r="N138"/>
      <c r="O138"/>
      <c r="P138"/>
      <c r="Q138"/>
      <c r="R138"/>
      <c r="S138"/>
      <c r="T138"/>
      <c r="V138" s="66" t="s">
        <v>152</v>
      </c>
      <c r="W138" s="16" t="str">
        <f>IFERROR(VLOOKUP(CLEAN($V138),'All Security Controls'!A:I, 2, FALSE),"---")</f>
        <v xml:space="preserve">Security Impact Analysis  </v>
      </c>
      <c r="X138" s="14" t="str">
        <f>IFERROR(VLOOKUP(CLEAN($V138),'All Security Controls'!$A:$I, 4, FALSE),"---")</f>
        <v>CRWG White Criticality Control</v>
      </c>
      <c r="Y138" s="14" t="str">
        <f>IFERROR(VLOOKUP(CLEAN($V138),'All Security Controls'!$A:$I,5, FALSE),"---")</f>
        <v>Annually</v>
      </c>
      <c r="Z138" s="14" t="str">
        <f>IFERROR(VLOOKUP(CLEAN($V138),'All Security Controls'!$A:$I,6, FALSE),"---")</f>
        <v>Manual</v>
      </c>
      <c r="AA138" s="14" t="str">
        <f>IFERROR(VLOOKUP(CLEAN($V138),'All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38" s="14" t="str">
        <f>IFERROR(VLOOKUP(CLEAN($V138),'All Security Controls'!$A:$I,8, FALSE),"---")</f>
        <v>POA&amp;M</v>
      </c>
      <c r="AC138" s="14" t="str">
        <f>IFERROR(VLOOKUP(CLEAN($V138),'All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38" s="26">
        <v>137</v>
      </c>
    </row>
    <row r="139" spans="1:30" s="10" customFormat="1">
      <c r="A139"/>
      <c r="B139"/>
      <c r="C139"/>
      <c r="D139"/>
      <c r="E139"/>
      <c r="F139"/>
      <c r="G139"/>
      <c r="H139"/>
      <c r="I139"/>
      <c r="J139"/>
      <c r="K139"/>
      <c r="L139"/>
      <c r="M139"/>
      <c r="N139"/>
      <c r="O139"/>
      <c r="P139"/>
      <c r="Q139"/>
      <c r="R139"/>
      <c r="S139"/>
      <c r="T139"/>
      <c r="V139" s="66" t="s">
        <v>153</v>
      </c>
      <c r="W139" s="16" t="str">
        <f>IFERROR(VLOOKUP(CLEAN($V139),'All Security Controls'!A:I, 2, FALSE),"---")</f>
        <v>Security Impact Analysis |  Separate Test Environments</v>
      </c>
      <c r="X139" s="14" t="str">
        <f>IFERROR(VLOOKUP(CLEAN($V139),'All Security Controls'!$A:$I, 4, FALSE),"---")</f>
        <v>CRWG Yellow Criticality Control</v>
      </c>
      <c r="Y139" s="14" t="str">
        <f>IFERROR(VLOOKUP(CLEAN($V139),'All Security Controls'!$A:$I,5, FALSE),"---")</f>
        <v>Constantly</v>
      </c>
      <c r="Z139" s="14" t="str">
        <f>IFERROR(VLOOKUP(CLEAN($V139),'All Security Controls'!$A:$I,6, FALSE),"---")</f>
        <v>Manual</v>
      </c>
      <c r="AA139" s="14" t="str">
        <f>IFERROR(VLOOKUP(CLEAN($V139),'All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39" s="14" t="str">
        <f>IFERROR(VLOOKUP(CLEAN($V139),'All Security Controls'!$A:$I,8, FALSE),"---")</f>
        <v>POA&amp;M</v>
      </c>
      <c r="AC139" s="14" t="str">
        <f>IFERROR(VLOOKUP(CLEAN($V139),'All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39" s="26">
        <v>138</v>
      </c>
    </row>
    <row r="140" spans="1:30" s="10" customFormat="1">
      <c r="A140"/>
      <c r="B140"/>
      <c r="C140"/>
      <c r="D140"/>
      <c r="E140"/>
      <c r="F140"/>
      <c r="G140"/>
      <c r="H140"/>
      <c r="I140"/>
      <c r="J140"/>
      <c r="K140"/>
      <c r="L140"/>
      <c r="M140"/>
      <c r="N140"/>
      <c r="O140"/>
      <c r="P140"/>
      <c r="Q140"/>
      <c r="R140"/>
      <c r="S140"/>
      <c r="T140"/>
      <c r="V140" s="66" t="s">
        <v>154</v>
      </c>
      <c r="W140" s="16" t="str">
        <f>IFERROR(VLOOKUP(CLEAN($V140),'All Security Controls'!A:I, 2, FALSE),"---")</f>
        <v xml:space="preserve">Access Restrictions For Change  </v>
      </c>
      <c r="X140" s="14" t="str">
        <f>IFERROR(VLOOKUP(CLEAN($V140),'All Security Controls'!$A:$I, 4, FALSE),"---")</f>
        <v>CRWG Yellow Criticality Control</v>
      </c>
      <c r="Y140" s="14" t="str">
        <f>IFERROR(VLOOKUP(CLEAN($V140),'All Security Controls'!$A:$I,5, FALSE),"---")</f>
        <v>Quarterly</v>
      </c>
      <c r="Z140" s="14" t="str">
        <f>IFERROR(VLOOKUP(CLEAN($V140),'All Security Controls'!$A:$I,6, FALSE),"---")</f>
        <v>Manual</v>
      </c>
      <c r="AA140" s="14" t="str">
        <f>IFERROR(VLOOKUP(CLEAN($V140),'All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40" s="14" t="str">
        <f>IFERROR(VLOOKUP(CLEAN($V140),'All Security Controls'!$A:$I,8, FALSE),"---")</f>
        <v>POA&amp;M</v>
      </c>
      <c r="AC140" s="14" t="str">
        <f>IFERROR(VLOOKUP(CLEAN($V140),'All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40" s="26">
        <v>139</v>
      </c>
    </row>
    <row r="141" spans="1:30" s="10" customFormat="1">
      <c r="A141"/>
      <c r="B141"/>
      <c r="C141"/>
      <c r="D141"/>
      <c r="E141"/>
      <c r="F141"/>
      <c r="G141"/>
      <c r="H141"/>
      <c r="I141"/>
      <c r="J141"/>
      <c r="K141"/>
      <c r="L141"/>
      <c r="M141"/>
      <c r="N141"/>
      <c r="O141"/>
      <c r="P141"/>
      <c r="Q141"/>
      <c r="R141"/>
      <c r="S141"/>
      <c r="T141"/>
      <c r="V141" s="66" t="s">
        <v>155</v>
      </c>
      <c r="W141" s="16" t="str">
        <f>IFERROR(VLOOKUP(CLEAN($V141),'All Security Controls'!A:I, 2, FALSE),"---")</f>
        <v>Access Restrictions For Change | Automated Access Enforcement/ Auditing</v>
      </c>
      <c r="X141" s="14" t="str">
        <f>IFERROR(VLOOKUP(CLEAN($V141),'All Security Controls'!$A:$I, 4, FALSE),"---")</f>
        <v>CRWG Yellow Criticality Control</v>
      </c>
      <c r="Y141" s="14" t="str">
        <f>IFERROR(VLOOKUP(CLEAN($V141),'All Security Controls'!$A:$I,5, FALSE),"---")</f>
        <v>Quarterly</v>
      </c>
      <c r="Z141" s="14" t="str">
        <f>IFERROR(VLOOKUP(CLEAN($V141),'All Security Controls'!$A:$I,6, FALSE),"---")</f>
        <v>Manual</v>
      </c>
      <c r="AA141" s="14" t="str">
        <f>IFERROR(VLOOKUP(CLEAN($V141),'All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41" s="14" t="str">
        <f>IFERROR(VLOOKUP(CLEAN($V141),'All Security Controls'!$A:$I,8, FALSE),"---")</f>
        <v>POA&amp;M</v>
      </c>
      <c r="AC141" s="14" t="str">
        <f>IFERROR(VLOOKUP(CLEAN($V141),'All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41" s="26">
        <v>140</v>
      </c>
    </row>
    <row r="142" spans="1:30" s="10" customFormat="1">
      <c r="A142"/>
      <c r="B142"/>
      <c r="C142"/>
      <c r="D142"/>
      <c r="E142"/>
      <c r="F142"/>
      <c r="G142"/>
      <c r="H142"/>
      <c r="I142"/>
      <c r="J142"/>
      <c r="K142"/>
      <c r="L142"/>
      <c r="M142"/>
      <c r="N142"/>
      <c r="O142"/>
      <c r="P142"/>
      <c r="Q142"/>
      <c r="R142"/>
      <c r="S142"/>
      <c r="T142"/>
      <c r="V142" s="66" t="s">
        <v>156</v>
      </c>
      <c r="W142" s="16" t="str">
        <f>IFERROR(VLOOKUP(CLEAN($V142),'All Security Controls'!A:I, 2, FALSE),"---")</f>
        <v>Access Restrictions For Change | Review System Changes</v>
      </c>
      <c r="X142" s="14" t="str">
        <f>IFERROR(VLOOKUP(CLEAN($V142),'All Security Controls'!$A:$I, 4, FALSE),"---")</f>
        <v>CRWG Yellow Criticality Control</v>
      </c>
      <c r="Y142" s="14" t="str">
        <f>IFERROR(VLOOKUP(CLEAN($V142),'All Security Controls'!$A:$I,5, FALSE),"---")</f>
        <v>Constantly</v>
      </c>
      <c r="Z142" s="14" t="str">
        <f>IFERROR(VLOOKUP(CLEAN($V142),'All Security Controls'!$A:$I,6, FALSE),"---")</f>
        <v>Manual</v>
      </c>
      <c r="AA142" s="14" t="str">
        <f>IFERROR(VLOOKUP(CLEAN($V142),'All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42" s="14" t="str">
        <f>IFERROR(VLOOKUP(CLEAN($V142),'All Security Controls'!$A:$I,8, FALSE),"---")</f>
        <v>POA&amp;M</v>
      </c>
      <c r="AC142" s="14" t="str">
        <f>IFERROR(VLOOKUP(CLEAN($V142),'All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42" s="26">
        <v>141</v>
      </c>
    </row>
    <row r="143" spans="1:30" s="10" customFormat="1">
      <c r="A143"/>
      <c r="B143"/>
      <c r="C143"/>
      <c r="D143"/>
      <c r="E143"/>
      <c r="F143"/>
      <c r="G143"/>
      <c r="H143"/>
      <c r="I143"/>
      <c r="J143"/>
      <c r="K143"/>
      <c r="L143"/>
      <c r="M143"/>
      <c r="N143"/>
      <c r="O143"/>
      <c r="P143"/>
      <c r="Q143"/>
      <c r="R143"/>
      <c r="S143"/>
      <c r="T143"/>
      <c r="V143" s="66" t="s">
        <v>157</v>
      </c>
      <c r="W143" s="16" t="str">
        <f>IFERROR(VLOOKUP(CLEAN($V143),'All Security Controls'!A:I, 2, FALSE),"---")</f>
        <v>Access Restrictions For Change | Signed Components</v>
      </c>
      <c r="X143" s="14" t="str">
        <f>IFERROR(VLOOKUP(CLEAN($V143),'All Security Controls'!$A:$I, 4, FALSE),"---")</f>
        <v>CRWG Yellow Criticality Control</v>
      </c>
      <c r="Y143" s="14" t="str">
        <f>IFERROR(VLOOKUP(CLEAN($V143),'All Security Controls'!$A:$I,5, FALSE),"---")</f>
        <v>Constantly</v>
      </c>
      <c r="Z143" s="14" t="str">
        <f>IFERROR(VLOOKUP(CLEAN($V143),'All Security Controls'!$A:$I,6, FALSE),"---")</f>
        <v>Manual</v>
      </c>
      <c r="AA143" s="14" t="str">
        <f>IFERROR(VLOOKUP(CLEAN($V143),'All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43" s="14" t="str">
        <f>IFERROR(VLOOKUP(CLEAN($V143),'All Security Controls'!$A:$I,8, FALSE),"---")</f>
        <v>POA&amp;M</v>
      </c>
      <c r="AC143" s="14" t="str">
        <f>IFERROR(VLOOKUP(CLEAN($V143),'All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43" s="26">
        <v>142</v>
      </c>
    </row>
    <row r="144" spans="1:30" s="10" customFormat="1">
      <c r="A144"/>
      <c r="B144"/>
      <c r="C144"/>
      <c r="D144"/>
      <c r="E144"/>
      <c r="F144"/>
      <c r="G144"/>
      <c r="H144"/>
      <c r="I144"/>
      <c r="J144"/>
      <c r="K144"/>
      <c r="L144"/>
      <c r="M144"/>
      <c r="N144"/>
      <c r="O144"/>
      <c r="P144"/>
      <c r="Q144"/>
      <c r="R144"/>
      <c r="S144"/>
      <c r="T144"/>
      <c r="V144" s="66" t="s">
        <v>158</v>
      </c>
      <c r="W144" s="16" t="str">
        <f>IFERROR(VLOOKUP(CLEAN($V144),'All Security Controls'!A:I, 2, FALSE),"---")</f>
        <v>Access Restrictions For Change  | Limit Production/ Operational Privileges</v>
      </c>
      <c r="X144" s="14" t="str">
        <f>IFERROR(VLOOKUP(CLEAN($V144),'All Security Controls'!$A:$I, 4, FALSE),"---")</f>
        <v>CRWG Yellow Criticality Control</v>
      </c>
      <c r="Y144" s="14" t="str">
        <f>IFERROR(VLOOKUP(CLEAN($V144),'All Security Controls'!$A:$I,5, FALSE),"---")</f>
        <v>Quarterly</v>
      </c>
      <c r="Z144" s="14" t="str">
        <f>IFERROR(VLOOKUP(CLEAN($V144),'All Security Controls'!$A:$I,6, FALSE),"---")</f>
        <v>Manual</v>
      </c>
      <c r="AA144" s="14" t="str">
        <f>IFERROR(VLOOKUP(CLEAN($V144),'All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44" s="14" t="str">
        <f>IFERROR(VLOOKUP(CLEAN($V144),'All Security Controls'!$A:$I,8, FALSE),"---")</f>
        <v>POA&amp;M</v>
      </c>
      <c r="AC144" s="14" t="str">
        <f>IFERROR(VLOOKUP(CLEAN($V144),'All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44" s="26">
        <v>143</v>
      </c>
    </row>
    <row r="145" spans="1:30" s="10" customFormat="1">
      <c r="A145"/>
      <c r="B145"/>
      <c r="C145"/>
      <c r="D145"/>
      <c r="E145"/>
      <c r="F145"/>
      <c r="G145"/>
      <c r="H145"/>
      <c r="I145"/>
      <c r="J145"/>
      <c r="K145"/>
      <c r="L145"/>
      <c r="M145"/>
      <c r="N145"/>
      <c r="O145"/>
      <c r="P145"/>
      <c r="Q145"/>
      <c r="R145"/>
      <c r="S145"/>
      <c r="T145"/>
      <c r="V145" s="66" t="s">
        <v>159</v>
      </c>
      <c r="W145" s="16" t="str">
        <f>IFERROR(VLOOKUP(CLEAN($V145),'All Security Controls'!A:I, 2, FALSE),"---")</f>
        <v>Access Restrictions For Change | Limit Library Privileges</v>
      </c>
      <c r="X145" s="14" t="str">
        <f>IFERROR(VLOOKUP(CLEAN($V145),'All Security Controls'!$A:$I, 4, FALSE),"---")</f>
        <v>CRWG Yellow Criticality Control</v>
      </c>
      <c r="Y145" s="14" t="str">
        <f>IFERROR(VLOOKUP(CLEAN($V145),'All Security Controls'!$A:$I,5, FALSE),"---")</f>
        <v>Quarterly</v>
      </c>
      <c r="Z145" s="14" t="str">
        <f>IFERROR(VLOOKUP(CLEAN($V145),'All Security Controls'!$A:$I,6, FALSE),"---")</f>
        <v>Manual</v>
      </c>
      <c r="AA145" s="14" t="str">
        <f>IFERROR(VLOOKUP(CLEAN($V145),'All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45" s="14" t="str">
        <f>IFERROR(VLOOKUP(CLEAN($V145),'All Security Controls'!$A:$I,8, FALSE),"---")</f>
        <v>POA&amp;M</v>
      </c>
      <c r="AC145" s="14" t="str">
        <f>IFERROR(VLOOKUP(CLEAN($V145),'All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45" s="26">
        <v>144</v>
      </c>
    </row>
    <row r="146" spans="1:30" s="10" customFormat="1">
      <c r="A146"/>
      <c r="B146"/>
      <c r="C146"/>
      <c r="D146"/>
      <c r="E146"/>
      <c r="F146"/>
      <c r="G146"/>
      <c r="H146"/>
      <c r="I146"/>
      <c r="J146"/>
      <c r="K146"/>
      <c r="L146"/>
      <c r="M146"/>
      <c r="N146"/>
      <c r="O146"/>
      <c r="P146"/>
      <c r="Q146"/>
      <c r="R146"/>
      <c r="S146"/>
      <c r="T146"/>
      <c r="V146" s="66" t="s">
        <v>160</v>
      </c>
      <c r="W146" s="16" t="str">
        <f>IFERROR(VLOOKUP(CLEAN($V146),'All Security Controls'!A:I, 2, FALSE),"---")</f>
        <v xml:space="preserve">Configuration Settings  </v>
      </c>
      <c r="X146" s="14" t="str">
        <f>IFERROR(VLOOKUP(CLEAN($V146),'All Security Controls'!$A:$I, 4, FALSE),"---")</f>
        <v>CRWG Yellow Criticality Control</v>
      </c>
      <c r="Y146" s="14" t="str">
        <f>IFERROR(VLOOKUP(CLEAN($V146),'All Security Controls'!$A:$I,5, FALSE),"---")</f>
        <v>Monthly</v>
      </c>
      <c r="Z146" s="14" t="str">
        <f>IFERROR(VLOOKUP(CLEAN($V146),'All Security Controls'!$A:$I,6, FALSE),"---")</f>
        <v>Automated</v>
      </c>
      <c r="AA146" s="14" t="str">
        <f>IFERROR(VLOOKUP(CLEAN($V146),'All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46" s="14" t="str">
        <f>IFERROR(VLOOKUP(CLEAN($V146),'All Security Controls'!$A:$I,8, FALSE),"---")</f>
        <v>OS Scans</v>
      </c>
      <c r="AC146" s="14" t="str">
        <f>IFERROR(VLOOKUP(CLEAN($V146),'All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46" s="26">
        <v>145</v>
      </c>
    </row>
    <row r="147" spans="1:30" s="10" customFormat="1">
      <c r="A147"/>
      <c r="B147"/>
      <c r="C147"/>
      <c r="D147"/>
      <c r="E147"/>
      <c r="F147"/>
      <c r="G147"/>
      <c r="H147"/>
      <c r="I147"/>
      <c r="J147"/>
      <c r="K147"/>
      <c r="L147"/>
      <c r="M147"/>
      <c r="N147"/>
      <c r="O147"/>
      <c r="P147"/>
      <c r="Q147"/>
      <c r="R147"/>
      <c r="S147"/>
      <c r="T147"/>
      <c r="V147" s="66" t="s">
        <v>161</v>
      </c>
      <c r="W147" s="16" t="str">
        <f>IFERROR(VLOOKUP(CLEAN($V147),'All Security Controls'!A:I, 2, FALSE),"---")</f>
        <v xml:space="preserve">Configuration Settings | Automated Central Management/ Application/ Verification  </v>
      </c>
      <c r="X147" s="14" t="str">
        <f>IFERROR(VLOOKUP(CLEAN($V147),'All Security Controls'!$A:$I, 4, FALSE),"---")</f>
        <v>CRWG Yellow Criticality Control</v>
      </c>
      <c r="Y147" s="14" t="str">
        <f>IFERROR(VLOOKUP(CLEAN($V147),'All Security Controls'!$A:$I,5, FALSE),"---")</f>
        <v>Quarterly</v>
      </c>
      <c r="Z147" s="14" t="str">
        <f>IFERROR(VLOOKUP(CLEAN($V147),'All Security Controls'!$A:$I,6, FALSE),"---")</f>
        <v>Manual</v>
      </c>
      <c r="AA147" s="14" t="str">
        <f>IFERROR(VLOOKUP(CLEAN($V147),'All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47" s="14" t="str">
        <f>IFERROR(VLOOKUP(CLEAN($V147),'All Security Controls'!$A:$I,8, FALSE),"---")</f>
        <v>POA&amp;M</v>
      </c>
      <c r="AC147" s="14" t="str">
        <f>IFERROR(VLOOKUP(CLEAN($V147),'All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47" s="26">
        <v>146</v>
      </c>
    </row>
    <row r="148" spans="1:30" s="10" customFormat="1">
      <c r="A148"/>
      <c r="B148"/>
      <c r="C148"/>
      <c r="D148"/>
      <c r="E148"/>
      <c r="F148"/>
      <c r="G148"/>
      <c r="H148"/>
      <c r="I148"/>
      <c r="J148"/>
      <c r="K148"/>
      <c r="L148"/>
      <c r="M148"/>
      <c r="N148"/>
      <c r="O148"/>
      <c r="P148"/>
      <c r="Q148"/>
      <c r="R148"/>
      <c r="S148"/>
      <c r="T148"/>
      <c r="V148" s="66" t="s">
        <v>162</v>
      </c>
      <c r="W148" s="16" t="str">
        <f>IFERROR(VLOOKUP(CLEAN($V148),'All Security Controls'!A:I, 2, FALSE),"---")</f>
        <v xml:space="preserve">Configuration Settings | Respond to Unauthorized Changes  </v>
      </c>
      <c r="X148" s="14" t="str">
        <f>IFERROR(VLOOKUP(CLEAN($V148),'All Security Controls'!$A:$I, 4, FALSE),"---")</f>
        <v>CRWG Yellow Criticality Control</v>
      </c>
      <c r="Y148" s="14" t="str">
        <f>IFERROR(VLOOKUP(CLEAN($V148),'All Security Controls'!$A:$I,5, FALSE),"---")</f>
        <v>Constantly</v>
      </c>
      <c r="Z148" s="14" t="str">
        <f>IFERROR(VLOOKUP(CLEAN($V148),'All Security Controls'!$A:$I,6, FALSE),"---")</f>
        <v>Manual</v>
      </c>
      <c r="AA148" s="14" t="str">
        <f>IFERROR(VLOOKUP(CLEAN($V148),'All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48" s="14" t="str">
        <f>IFERROR(VLOOKUP(CLEAN($V148),'All Security Controls'!$A:$I,8, FALSE),"---")</f>
        <v>POA&amp;M</v>
      </c>
      <c r="AC148" s="14" t="str">
        <f>IFERROR(VLOOKUP(CLEAN($V148),'All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48" s="26">
        <v>147</v>
      </c>
    </row>
    <row r="149" spans="1:30" s="10" customFormat="1">
      <c r="A149"/>
      <c r="B149"/>
      <c r="C149"/>
      <c r="D149"/>
      <c r="E149"/>
      <c r="F149"/>
      <c r="G149"/>
      <c r="H149"/>
      <c r="I149"/>
      <c r="J149"/>
      <c r="K149"/>
      <c r="L149"/>
      <c r="M149"/>
      <c r="N149"/>
      <c r="O149"/>
      <c r="P149"/>
      <c r="Q149"/>
      <c r="R149"/>
      <c r="S149"/>
      <c r="T149"/>
      <c r="V149" s="66" t="s">
        <v>163</v>
      </c>
      <c r="W149" s="16" t="str">
        <f>IFERROR(VLOOKUP(CLEAN($V149),'All Security Controls'!A:I, 2, FALSE),"---")</f>
        <v xml:space="preserve">Least Functionality  </v>
      </c>
      <c r="X149" s="14" t="str">
        <f>IFERROR(VLOOKUP(CLEAN($V149),'All Security Controls'!$A:$I, 4, FALSE),"---")</f>
        <v>CRWG Yellow Criticality Control</v>
      </c>
      <c r="Y149" s="14" t="str">
        <f>IFERROR(VLOOKUP(CLEAN($V149),'All Security Controls'!$A:$I,5, FALSE),"---")</f>
        <v>Quarterly</v>
      </c>
      <c r="Z149" s="14" t="str">
        <f>IFERROR(VLOOKUP(CLEAN($V149),'All Security Controls'!$A:$I,6, FALSE),"---")</f>
        <v>Manual</v>
      </c>
      <c r="AA149" s="14" t="str">
        <f>IFERROR(VLOOKUP(CLEAN($V149),'All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49" s="14" t="str">
        <f>IFERROR(VLOOKUP(CLEAN($V149),'All Security Controls'!$A:$I,8, FALSE),"---")</f>
        <v>POA&amp;M</v>
      </c>
      <c r="AC149" s="14" t="str">
        <f>IFERROR(VLOOKUP(CLEAN($V149),'All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49" s="26">
        <v>148</v>
      </c>
    </row>
    <row r="150" spans="1:30" s="10" customFormat="1">
      <c r="A150"/>
      <c r="B150"/>
      <c r="C150"/>
      <c r="D150"/>
      <c r="E150"/>
      <c r="F150"/>
      <c r="G150"/>
      <c r="H150"/>
      <c r="I150"/>
      <c r="J150"/>
      <c r="K150"/>
      <c r="L150"/>
      <c r="M150"/>
      <c r="N150"/>
      <c r="O150"/>
      <c r="P150"/>
      <c r="Q150"/>
      <c r="R150"/>
      <c r="S150"/>
      <c r="T150"/>
      <c r="V150" s="66" t="s">
        <v>164</v>
      </c>
      <c r="W150" s="16" t="str">
        <f>IFERROR(VLOOKUP(CLEAN($V150),'All Security Controls'!A:I, 2, FALSE),"---")</f>
        <v>Least Functionality | Periodic Review</v>
      </c>
      <c r="X150" s="14" t="str">
        <f>IFERROR(VLOOKUP(CLEAN($V150),'All Security Controls'!$A:$I, 4, FALSE),"---")</f>
        <v>CRWG Yellow Criticality Control</v>
      </c>
      <c r="Y150" s="14" t="str">
        <f>IFERROR(VLOOKUP(CLEAN($V150),'All Security Controls'!$A:$I,5, FALSE),"---")</f>
        <v>Monthly</v>
      </c>
      <c r="Z150" s="14" t="str">
        <f>IFERROR(VLOOKUP(CLEAN($V150),'All Security Controls'!$A:$I,6, FALSE),"---")</f>
        <v>Automated</v>
      </c>
      <c r="AA150" s="14" t="str">
        <f>IFERROR(VLOOKUP(CLEAN($V150),'All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50" s="14" t="str">
        <f>IFERROR(VLOOKUP(CLEAN($V150),'All Security Controls'!$A:$I,8, FALSE),"---")</f>
        <v>ACAS/SCAP</v>
      </c>
      <c r="AC150" s="14" t="str">
        <f>IFERROR(VLOOKUP(CLEAN($V150),'All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50" s="26">
        <v>149</v>
      </c>
    </row>
    <row r="151" spans="1:30" s="10" customFormat="1">
      <c r="A151"/>
      <c r="B151"/>
      <c r="C151"/>
      <c r="D151"/>
      <c r="E151"/>
      <c r="F151"/>
      <c r="G151"/>
      <c r="H151"/>
      <c r="I151"/>
      <c r="J151"/>
      <c r="K151"/>
      <c r="L151"/>
      <c r="M151"/>
      <c r="N151"/>
      <c r="O151"/>
      <c r="P151"/>
      <c r="Q151"/>
      <c r="R151"/>
      <c r="S151"/>
      <c r="T151"/>
      <c r="V151" s="66" t="s">
        <v>165</v>
      </c>
      <c r="W151" s="16" t="str">
        <f>IFERROR(VLOOKUP(CLEAN($V151),'All Security Controls'!A:I, 2, FALSE),"---")</f>
        <v>Least Functionality  | Prevent Program Execution</v>
      </c>
      <c r="X151" s="14" t="str">
        <f>IFERROR(VLOOKUP(CLEAN($V151),'All Security Controls'!$A:$I, 4, FALSE),"---")</f>
        <v>CRWG Yellow Criticality Control</v>
      </c>
      <c r="Y151" s="14" t="str">
        <f>IFERROR(VLOOKUP(CLEAN($V151),'All Security Controls'!$A:$I,5, FALSE),"---")</f>
        <v>Quarterly</v>
      </c>
      <c r="Z151" s="14" t="str">
        <f>IFERROR(VLOOKUP(CLEAN($V151),'All Security Controls'!$A:$I,6, FALSE),"---")</f>
        <v>Manual</v>
      </c>
      <c r="AA151" s="14" t="str">
        <f>IFERROR(VLOOKUP(CLEAN($V151),'All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51" s="14" t="str">
        <f>IFERROR(VLOOKUP(CLEAN($V151),'All Security Controls'!$A:$I,8, FALSE),"---")</f>
        <v>POA&amp;M</v>
      </c>
      <c r="AC151" s="14" t="str">
        <f>IFERROR(VLOOKUP(CLEAN($V151),'All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51" s="26">
        <v>150</v>
      </c>
    </row>
    <row r="152" spans="1:30" s="10" customFormat="1">
      <c r="A152"/>
      <c r="B152"/>
      <c r="C152"/>
      <c r="D152"/>
      <c r="E152"/>
      <c r="F152"/>
      <c r="G152"/>
      <c r="H152"/>
      <c r="I152"/>
      <c r="J152"/>
      <c r="K152"/>
      <c r="L152"/>
      <c r="M152"/>
      <c r="N152"/>
      <c r="O152"/>
      <c r="P152"/>
      <c r="Q152"/>
      <c r="R152"/>
      <c r="S152"/>
      <c r="T152"/>
      <c r="V152" s="66" t="s">
        <v>166</v>
      </c>
      <c r="W152" s="16" t="str">
        <f>IFERROR(VLOOKUP(CLEAN($V152),'All Security Controls'!A:I, 2, FALSE),"---")</f>
        <v xml:space="preserve">Least Functionality | Registration Compliance </v>
      </c>
      <c r="X152" s="14" t="str">
        <f>IFERROR(VLOOKUP(CLEAN($V152),'All Security Controls'!$A:$I, 4, FALSE),"---")</f>
        <v>CRWG White Criticality Control</v>
      </c>
      <c r="Y152" s="14" t="str">
        <f>IFERROR(VLOOKUP(CLEAN($V152),'All Security Controls'!$A:$I,5, FALSE),"---")</f>
        <v>Annually</v>
      </c>
      <c r="Z152" s="14" t="str">
        <f>IFERROR(VLOOKUP(CLEAN($V152),'All Security Controls'!$A:$I,6, FALSE),"---")</f>
        <v>Manual</v>
      </c>
      <c r="AA152" s="14" t="str">
        <f>IFERROR(VLOOKUP(CLEAN($V152),'All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52" s="14" t="str">
        <f>IFERROR(VLOOKUP(CLEAN($V152),'All Security Controls'!$A:$I,8, FALSE),"---")</f>
        <v>POA&amp;M</v>
      </c>
      <c r="AC152" s="14" t="str">
        <f>IFERROR(VLOOKUP(CLEAN($V152),'All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52" s="26">
        <v>151</v>
      </c>
    </row>
    <row r="153" spans="1:30" s="10" customFormat="1">
      <c r="A153"/>
      <c r="B153"/>
      <c r="C153"/>
      <c r="D153"/>
      <c r="E153"/>
      <c r="F153"/>
      <c r="G153"/>
      <c r="H153"/>
      <c r="I153"/>
      <c r="J153"/>
      <c r="K153"/>
      <c r="L153"/>
      <c r="M153"/>
      <c r="N153"/>
      <c r="O153"/>
      <c r="P153"/>
      <c r="Q153"/>
      <c r="R153"/>
      <c r="S153"/>
      <c r="T153"/>
      <c r="V153" s="66" t="s">
        <v>167</v>
      </c>
      <c r="W153" s="16" t="str">
        <f>IFERROR(VLOOKUP(CLEAN($V153),'All Security Controls'!A:I, 2, FALSE),"---")</f>
        <v>Least Functionality | Authorized Software/ Whitelisting</v>
      </c>
      <c r="X153" s="14" t="str">
        <f>IFERROR(VLOOKUP(CLEAN($V153),'All Security Controls'!$A:$I, 4, FALSE),"---")</f>
        <v>CRWG Yellow Criticality Control</v>
      </c>
      <c r="Y153" s="14" t="str">
        <f>IFERROR(VLOOKUP(CLEAN($V153),'All Security Controls'!$A:$I,5, FALSE),"---")</f>
        <v>Quarterly</v>
      </c>
      <c r="Z153" s="14" t="str">
        <f>IFERROR(VLOOKUP(CLEAN($V153),'All Security Controls'!$A:$I,6, FALSE),"---")</f>
        <v>Manual</v>
      </c>
      <c r="AA153" s="14" t="str">
        <f>IFERROR(VLOOKUP(CLEAN($V153),'All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53" s="14" t="str">
        <f>IFERROR(VLOOKUP(CLEAN($V153),'All Security Controls'!$A:$I,8, FALSE),"---")</f>
        <v>POA&amp;M</v>
      </c>
      <c r="AC153" s="14" t="str">
        <f>IFERROR(VLOOKUP(CLEAN($V153),'All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53" s="26">
        <v>152</v>
      </c>
    </row>
    <row r="154" spans="1:30" s="10" customFormat="1">
      <c r="A154"/>
      <c r="B154"/>
      <c r="C154"/>
      <c r="D154"/>
      <c r="E154"/>
      <c r="F154"/>
      <c r="G154"/>
      <c r="H154"/>
      <c r="I154"/>
      <c r="J154"/>
      <c r="K154"/>
      <c r="L154"/>
      <c r="M154"/>
      <c r="N154"/>
      <c r="O154"/>
      <c r="P154"/>
      <c r="Q154"/>
      <c r="R154"/>
      <c r="S154"/>
      <c r="T154"/>
      <c r="V154" s="66" t="s">
        <v>168</v>
      </c>
      <c r="W154" s="16" t="str">
        <f>IFERROR(VLOOKUP(CLEAN($V154),'All Security Controls'!A:I, 2, FALSE),"---")</f>
        <v xml:space="preserve">Information System Component Inventory  </v>
      </c>
      <c r="X154" s="14" t="str">
        <f>IFERROR(VLOOKUP(CLEAN($V154),'All Security Controls'!$A:$I, 4, FALSE),"---")</f>
        <v>CRWG Yellow Criticality Control</v>
      </c>
      <c r="Y154" s="14" t="str">
        <f>IFERROR(VLOOKUP(CLEAN($V154),'All Security Controls'!$A:$I,5, FALSE),"---")</f>
        <v>Annually</v>
      </c>
      <c r="Z154" s="14" t="str">
        <f>IFERROR(VLOOKUP(CLEAN($V154),'All Security Controls'!$A:$I,6, FALSE),"---")</f>
        <v>Manual</v>
      </c>
      <c r="AA154" s="14" t="str">
        <f>IFERROR(VLOOKUP(CLEAN($V154),'All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54" s="14" t="str">
        <f>IFERROR(VLOOKUP(CLEAN($V154),'All Security Controls'!$A:$I,8, FALSE),"---")</f>
        <v>POA&amp;M</v>
      </c>
      <c r="AC154" s="14" t="str">
        <f>IFERROR(VLOOKUP(CLEAN($V154),'All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54" s="26">
        <v>153</v>
      </c>
    </row>
    <row r="155" spans="1:30" s="10" customFormat="1">
      <c r="A155"/>
      <c r="B155"/>
      <c r="C155"/>
      <c r="D155"/>
      <c r="E155"/>
      <c r="F155"/>
      <c r="G155"/>
      <c r="H155"/>
      <c r="I155"/>
      <c r="J155"/>
      <c r="K155"/>
      <c r="L155"/>
      <c r="M155"/>
      <c r="N155"/>
      <c r="O155"/>
      <c r="P155"/>
      <c r="Q155"/>
      <c r="R155"/>
      <c r="S155"/>
      <c r="T155"/>
      <c r="V155" s="66" t="s">
        <v>169</v>
      </c>
      <c r="W155" s="16" t="str">
        <f>IFERROR(VLOOKUP(CLEAN($V155),'All Security Controls'!A:I, 2, FALSE),"---")</f>
        <v xml:space="preserve">Information System Component Inventory | Updates During Installation/ Removals  </v>
      </c>
      <c r="X155" s="14" t="str">
        <f>IFERROR(VLOOKUP(CLEAN($V155),'All Security Controls'!$A:$I, 4, FALSE),"---")</f>
        <v>CRWG Yellow Criticality Control</v>
      </c>
      <c r="Y155" s="14" t="str">
        <f>IFERROR(VLOOKUP(CLEAN($V155),'All Security Controls'!$A:$I,5, FALSE),"---")</f>
        <v>Constantly</v>
      </c>
      <c r="Z155" s="14" t="str">
        <f>IFERROR(VLOOKUP(CLEAN($V155),'All Security Controls'!$A:$I,6, FALSE),"---")</f>
        <v>Manual</v>
      </c>
      <c r="AA155" s="14" t="str">
        <f>IFERROR(VLOOKUP(CLEAN($V155),'All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55" s="14" t="str">
        <f>IFERROR(VLOOKUP(CLEAN($V155),'All Security Controls'!$A:$I,8, FALSE),"---")</f>
        <v>POA&amp;M</v>
      </c>
      <c r="AC155" s="14" t="str">
        <f>IFERROR(VLOOKUP(CLEAN($V155),'All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55" s="26">
        <v>154</v>
      </c>
    </row>
    <row r="156" spans="1:30" s="10" customFormat="1">
      <c r="A156"/>
      <c r="B156"/>
      <c r="C156"/>
      <c r="D156"/>
      <c r="E156"/>
      <c r="F156"/>
      <c r="G156"/>
      <c r="H156"/>
      <c r="I156"/>
      <c r="J156"/>
      <c r="K156"/>
      <c r="L156"/>
      <c r="M156"/>
      <c r="N156"/>
      <c r="O156"/>
      <c r="P156"/>
      <c r="Q156"/>
      <c r="R156"/>
      <c r="S156"/>
      <c r="T156"/>
      <c r="V156" s="66" t="s">
        <v>170</v>
      </c>
      <c r="W156" s="16" t="str">
        <f>IFERROR(VLOOKUP(CLEAN($V156),'All Security Controls'!A:I, 2, FALSE),"---")</f>
        <v xml:space="preserve">Information System Component Inventory | Automated Maintenance </v>
      </c>
      <c r="X156" s="14" t="str">
        <f>IFERROR(VLOOKUP(CLEAN($V156),'All Security Controls'!$A:$I, 4, FALSE),"---")</f>
        <v>CRWG White Criticality Control</v>
      </c>
      <c r="Y156" s="14" t="str">
        <f>IFERROR(VLOOKUP(CLEAN($V156),'All Security Controls'!$A:$I,5, FALSE),"---")</f>
        <v>Annually</v>
      </c>
      <c r="Z156" s="14" t="str">
        <f>IFERROR(VLOOKUP(CLEAN($V156),'All Security Controls'!$A:$I,6, FALSE),"---")</f>
        <v>Manual</v>
      </c>
      <c r="AA156" s="14" t="str">
        <f>IFERROR(VLOOKUP(CLEAN($V156),'All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56" s="14" t="str">
        <f>IFERROR(VLOOKUP(CLEAN($V156),'All Security Controls'!$A:$I,8, FALSE),"---")</f>
        <v>POA&amp;M</v>
      </c>
      <c r="AC156" s="14" t="str">
        <f>IFERROR(VLOOKUP(CLEAN($V156),'All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56" s="26">
        <v>155</v>
      </c>
    </row>
    <row r="157" spans="1:30" s="10" customFormat="1">
      <c r="A157"/>
      <c r="B157"/>
      <c r="C157"/>
      <c r="D157"/>
      <c r="E157"/>
      <c r="F157"/>
      <c r="G157"/>
      <c r="H157"/>
      <c r="I157"/>
      <c r="J157"/>
      <c r="K157"/>
      <c r="L157"/>
      <c r="M157"/>
      <c r="N157"/>
      <c r="O157"/>
      <c r="P157"/>
      <c r="Q157"/>
      <c r="R157"/>
      <c r="S157"/>
      <c r="T157"/>
      <c r="V157" s="66" t="s">
        <v>171</v>
      </c>
      <c r="W157" s="16" t="str">
        <f>IFERROR(VLOOKUP(CLEAN($V157),'All Security Controls'!A:I, 2, FALSE),"---")</f>
        <v xml:space="preserve">Information System Component Inventory | Automated Unauthorized Component Detection </v>
      </c>
      <c r="X157" s="14" t="str">
        <f>IFERROR(VLOOKUP(CLEAN($V157),'All Security Controls'!$A:$I, 4, FALSE),"---")</f>
        <v>CRWG Yellow Criticality Control</v>
      </c>
      <c r="Y157" s="14" t="str">
        <f>IFERROR(VLOOKUP(CLEAN($V157),'All Security Controls'!$A:$I,5, FALSE),"---")</f>
        <v>Quarterly</v>
      </c>
      <c r="Z157" s="14" t="str">
        <f>IFERROR(VLOOKUP(CLEAN($V157),'All Security Controls'!$A:$I,6, FALSE),"---")</f>
        <v>Manual</v>
      </c>
      <c r="AA157" s="14" t="str">
        <f>IFERROR(VLOOKUP(CLEAN($V157),'All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57" s="14" t="str">
        <f>IFERROR(VLOOKUP(CLEAN($V157),'All Security Controls'!$A:$I,8, FALSE),"---")</f>
        <v>POA&amp;M</v>
      </c>
      <c r="AC157" s="14" t="str">
        <f>IFERROR(VLOOKUP(CLEAN($V157),'All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57" s="26">
        <v>156</v>
      </c>
    </row>
    <row r="158" spans="1:30" s="10" customFormat="1">
      <c r="A158"/>
      <c r="B158"/>
      <c r="C158"/>
      <c r="D158"/>
      <c r="E158"/>
      <c r="F158"/>
      <c r="G158"/>
      <c r="H158"/>
      <c r="I158"/>
      <c r="J158"/>
      <c r="K158"/>
      <c r="L158"/>
      <c r="M158"/>
      <c r="N158"/>
      <c r="O158"/>
      <c r="P158"/>
      <c r="Q158"/>
      <c r="R158"/>
      <c r="S158"/>
      <c r="T158"/>
      <c r="V158" s="66" t="s">
        <v>172</v>
      </c>
      <c r="W158" s="16" t="str">
        <f>IFERROR(VLOOKUP(CLEAN($V158),'All Security Controls'!A:I, 2, FALSE),"---")</f>
        <v xml:space="preserve">Information System Component Inventory | Accountability Information </v>
      </c>
      <c r="X158" s="14" t="str">
        <f>IFERROR(VLOOKUP(CLEAN($V158),'All Security Controls'!$A:$I, 4, FALSE),"---")</f>
        <v>CRWG White Criticality Control</v>
      </c>
      <c r="Y158" s="14" t="str">
        <f>IFERROR(VLOOKUP(CLEAN($V158),'All Security Controls'!$A:$I,5, FALSE),"---")</f>
        <v>Annually</v>
      </c>
      <c r="Z158" s="14" t="str">
        <f>IFERROR(VLOOKUP(CLEAN($V158),'All Security Controls'!$A:$I,6, FALSE),"---")</f>
        <v>Manual</v>
      </c>
      <c r="AA158" s="14" t="str">
        <f>IFERROR(VLOOKUP(CLEAN($V158),'All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58" s="14" t="str">
        <f>IFERROR(VLOOKUP(CLEAN($V158),'All Security Controls'!$A:$I,8, FALSE),"---")</f>
        <v>POA&amp;M</v>
      </c>
      <c r="AC158" s="14" t="str">
        <f>IFERROR(VLOOKUP(CLEAN($V158),'All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58" s="26">
        <v>157</v>
      </c>
    </row>
    <row r="159" spans="1:30" s="10" customFormat="1">
      <c r="A159"/>
      <c r="B159"/>
      <c r="C159"/>
      <c r="D159"/>
      <c r="E159"/>
      <c r="F159"/>
      <c r="G159"/>
      <c r="H159"/>
      <c r="I159"/>
      <c r="J159"/>
      <c r="K159"/>
      <c r="L159"/>
      <c r="M159"/>
      <c r="N159"/>
      <c r="O159"/>
      <c r="P159"/>
      <c r="Q159"/>
      <c r="R159"/>
      <c r="S159"/>
      <c r="T159"/>
      <c r="V159" s="66" t="s">
        <v>173</v>
      </c>
      <c r="W159" s="16" t="str">
        <f>IFERROR(VLOOKUP(CLEAN($V159),'All Security Controls'!A:I, 2, FALSE),"---")</f>
        <v xml:space="preserve">Information System Component Inventory | No Duplicate Accounting of Components </v>
      </c>
      <c r="X159" s="14" t="str">
        <f>IFERROR(VLOOKUP(CLEAN($V159),'All Security Controls'!$A:$I, 4, FALSE),"---")</f>
        <v>CRWG White Criticality Control</v>
      </c>
      <c r="Y159" s="14" t="str">
        <f>IFERROR(VLOOKUP(CLEAN($V159),'All Security Controls'!$A:$I,5, FALSE),"---")</f>
        <v>Annually</v>
      </c>
      <c r="Z159" s="14" t="str">
        <f>IFERROR(VLOOKUP(CLEAN($V159),'All Security Controls'!$A:$I,6, FALSE),"---")</f>
        <v>Manual</v>
      </c>
      <c r="AA159" s="14" t="str">
        <f>IFERROR(VLOOKUP(CLEAN($V159),'All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59" s="14" t="str">
        <f>IFERROR(VLOOKUP(CLEAN($V159),'All Security Controls'!$A:$I,8, FALSE),"---")</f>
        <v>POA&amp;M</v>
      </c>
      <c r="AC159" s="14" t="str">
        <f>IFERROR(VLOOKUP(CLEAN($V159),'All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59" s="26">
        <v>158</v>
      </c>
    </row>
    <row r="160" spans="1:30" s="10" customFormat="1">
      <c r="A160"/>
      <c r="B160"/>
      <c r="C160"/>
      <c r="D160"/>
      <c r="E160"/>
      <c r="F160"/>
      <c r="G160"/>
      <c r="H160"/>
      <c r="I160"/>
      <c r="J160"/>
      <c r="K160"/>
      <c r="L160"/>
      <c r="M160"/>
      <c r="N160"/>
      <c r="O160"/>
      <c r="P160"/>
      <c r="Q160"/>
      <c r="R160"/>
      <c r="S160"/>
      <c r="T160"/>
      <c r="V160" s="66" t="s">
        <v>174</v>
      </c>
      <c r="W160" s="16" t="str">
        <f>IFERROR(VLOOKUP(CLEAN($V160),'All Security Controls'!A:I, 2, FALSE),"---")</f>
        <v>Configuration Management Plan</v>
      </c>
      <c r="X160" s="14" t="str">
        <f>IFERROR(VLOOKUP(CLEAN($V160),'All Security Controls'!$A:$I, 4, FALSE),"---")</f>
        <v>CRWG Yellow Criticality Control</v>
      </c>
      <c r="Y160" s="14" t="str">
        <f>IFERROR(VLOOKUP(CLEAN($V160),'All Security Controls'!$A:$I,5, FALSE),"---")</f>
        <v>Annually</v>
      </c>
      <c r="Z160" s="14" t="str">
        <f>IFERROR(VLOOKUP(CLEAN($V160),'All Security Controls'!$A:$I,6, FALSE),"---")</f>
        <v>Manual</v>
      </c>
      <c r="AA160" s="14" t="str">
        <f>IFERROR(VLOOKUP(CLEAN($V160),'All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60" s="14" t="str">
        <f>IFERROR(VLOOKUP(CLEAN($V160),'All Security Controls'!$A:$I,8, FALSE),"---")</f>
        <v>POA&amp;M</v>
      </c>
      <c r="AC160" s="14" t="str">
        <f>IFERROR(VLOOKUP(CLEAN($V160),'All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60" s="26">
        <v>159</v>
      </c>
    </row>
    <row r="161" spans="1:30" s="10" customFormat="1">
      <c r="A161"/>
      <c r="B161"/>
      <c r="C161"/>
      <c r="D161"/>
      <c r="E161"/>
      <c r="F161"/>
      <c r="G161"/>
      <c r="H161"/>
      <c r="I161"/>
      <c r="J161"/>
      <c r="K161"/>
      <c r="L161"/>
      <c r="M161"/>
      <c r="N161"/>
      <c r="O161"/>
      <c r="P161"/>
      <c r="Q161"/>
      <c r="R161"/>
      <c r="S161"/>
      <c r="T161"/>
      <c r="V161" s="66" t="s">
        <v>175</v>
      </c>
      <c r="W161" s="16" t="str">
        <f>IFERROR(VLOOKUP(CLEAN($V161),'All Security Controls'!A:I, 2, FALSE),"---")</f>
        <v xml:space="preserve">Software Usage Restrictions </v>
      </c>
      <c r="X161" s="14" t="str">
        <f>IFERROR(VLOOKUP(CLEAN($V161),'All Security Controls'!$A:$I, 4, FALSE),"---")</f>
        <v>CRWG Yellow Criticality Control</v>
      </c>
      <c r="Y161" s="14" t="str">
        <f>IFERROR(VLOOKUP(CLEAN($V161),'All Security Controls'!$A:$I,5, FALSE),"---")</f>
        <v>Annually</v>
      </c>
      <c r="Z161" s="14" t="str">
        <f>IFERROR(VLOOKUP(CLEAN($V161),'All Security Controls'!$A:$I,6, FALSE),"---")</f>
        <v>Manual</v>
      </c>
      <c r="AA161" s="14" t="str">
        <f>IFERROR(VLOOKUP(CLEAN($V161),'All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61" s="14" t="str">
        <f>IFERROR(VLOOKUP(CLEAN($V161),'All Security Controls'!$A:$I,8, FALSE),"---")</f>
        <v>POA&amp;M</v>
      </c>
      <c r="AC161" s="14" t="str">
        <f>IFERROR(VLOOKUP(CLEAN($V161),'All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61" s="26">
        <v>160</v>
      </c>
    </row>
    <row r="162" spans="1:30" s="10" customFormat="1">
      <c r="A162"/>
      <c r="B162"/>
      <c r="C162"/>
      <c r="D162"/>
      <c r="E162"/>
      <c r="F162"/>
      <c r="G162"/>
      <c r="H162"/>
      <c r="I162"/>
      <c r="J162"/>
      <c r="K162"/>
      <c r="L162"/>
      <c r="M162"/>
      <c r="N162"/>
      <c r="O162"/>
      <c r="P162"/>
      <c r="Q162"/>
      <c r="R162"/>
      <c r="S162"/>
      <c r="T162"/>
      <c r="V162" s="66" t="s">
        <v>176</v>
      </c>
      <c r="W162" s="16" t="str">
        <f>IFERROR(VLOOKUP(CLEAN($V162),'All Security Controls'!A:I, 2, FALSE),"---")</f>
        <v>Software Usage Restrictions | Open Source Software</v>
      </c>
      <c r="X162" s="14" t="str">
        <f>IFERROR(VLOOKUP(CLEAN($V162),'All Security Controls'!$A:$I, 4, FALSE),"---")</f>
        <v>CRWG White Criticality Control</v>
      </c>
      <c r="Y162" s="14" t="str">
        <f>IFERROR(VLOOKUP(CLEAN($V162),'All Security Controls'!$A:$I,5, FALSE),"---")</f>
        <v>Annually</v>
      </c>
      <c r="Z162" s="14" t="str">
        <f>IFERROR(VLOOKUP(CLEAN($V162),'All Security Controls'!$A:$I,6, FALSE),"---")</f>
        <v>Manual</v>
      </c>
      <c r="AA162" s="14" t="str">
        <f>IFERROR(VLOOKUP(CLEAN($V162),'All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62" s="14" t="str">
        <f>IFERROR(VLOOKUP(CLEAN($V162),'All Security Controls'!$A:$I,8, FALSE),"---")</f>
        <v>POA&amp;M</v>
      </c>
      <c r="AC162" s="14" t="str">
        <f>IFERROR(VLOOKUP(CLEAN($V162),'All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62" s="26">
        <v>161</v>
      </c>
    </row>
    <row r="163" spans="1:30" s="10" customFormat="1">
      <c r="A163"/>
      <c r="B163"/>
      <c r="C163"/>
      <c r="D163"/>
      <c r="E163"/>
      <c r="F163"/>
      <c r="G163"/>
      <c r="H163"/>
      <c r="I163"/>
      <c r="J163"/>
      <c r="K163"/>
      <c r="L163"/>
      <c r="M163"/>
      <c r="N163"/>
      <c r="O163"/>
      <c r="P163"/>
      <c r="Q163"/>
      <c r="R163"/>
      <c r="S163"/>
      <c r="T163"/>
      <c r="V163" s="66" t="s">
        <v>177</v>
      </c>
      <c r="W163" s="16" t="str">
        <f>IFERROR(VLOOKUP(CLEAN($V163),'All Security Controls'!A:I, 2, FALSE),"---")</f>
        <v>User-Installed Software</v>
      </c>
      <c r="X163" s="14" t="str">
        <f>IFERROR(VLOOKUP(CLEAN($V163),'All Security Controls'!$A:$I, 4, FALSE),"---")</f>
        <v>CRWG Yellow Criticality Control</v>
      </c>
      <c r="Y163" s="14" t="str">
        <f>IFERROR(VLOOKUP(CLEAN($V163),'All Security Controls'!$A:$I,5, FALSE),"---")</f>
        <v>Quarterly</v>
      </c>
      <c r="Z163" s="14" t="str">
        <f>IFERROR(VLOOKUP(CLEAN($V163),'All Security Controls'!$A:$I,6, FALSE),"---")</f>
        <v>Automated</v>
      </c>
      <c r="AA163" s="14" t="str">
        <f>IFERROR(VLOOKUP(CLEAN($V163),'All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63" s="14" t="str">
        <f>IFERROR(VLOOKUP(CLEAN($V163),'All Security Controls'!$A:$I,8, FALSE),"---")</f>
        <v>SCCM</v>
      </c>
      <c r="AC163" s="14" t="str">
        <f>IFERROR(VLOOKUP(CLEAN($V163),'All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63" s="26">
        <v>162</v>
      </c>
    </row>
    <row r="164" spans="1:30" s="10" customFormat="1">
      <c r="A164"/>
      <c r="B164"/>
      <c r="C164"/>
      <c r="D164"/>
      <c r="E164"/>
      <c r="F164"/>
      <c r="G164"/>
      <c r="H164"/>
      <c r="I164"/>
      <c r="J164"/>
      <c r="K164"/>
      <c r="L164"/>
      <c r="M164"/>
      <c r="N164"/>
      <c r="O164"/>
      <c r="P164"/>
      <c r="Q164"/>
      <c r="R164"/>
      <c r="S164"/>
      <c r="T164"/>
      <c r="V164" s="66" t="s">
        <v>178</v>
      </c>
      <c r="W164" s="16" t="str">
        <f>IFERROR(VLOOKUP(CLEAN($V164),'All Security Controls'!A:I, 2, FALSE),"---")</f>
        <v>User-Installed Software | Alerts For Unauthorized Installations</v>
      </c>
      <c r="X164" s="14" t="str">
        <f>IFERROR(VLOOKUP(CLEAN($V164),'All Security Controls'!$A:$I, 4, FALSE),"---")</f>
        <v>CRWG Yellow Criticality Control</v>
      </c>
      <c r="Y164" s="14" t="str">
        <f>IFERROR(VLOOKUP(CLEAN($V164),'All Security Controls'!$A:$I,5, FALSE),"---")</f>
        <v>Monthly</v>
      </c>
      <c r="Z164" s="14" t="str">
        <f>IFERROR(VLOOKUP(CLEAN($V164),'All Security Controls'!$A:$I,6, FALSE),"---")</f>
        <v>Automated</v>
      </c>
      <c r="AA164" s="14" t="str">
        <f>IFERROR(VLOOKUP(CLEAN($V164),'All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64" s="14" t="str">
        <f>IFERROR(VLOOKUP(CLEAN($V164),'All Security Controls'!$A:$I,8, FALSE),"---")</f>
        <v>SCCM</v>
      </c>
      <c r="AC164" s="14" t="str">
        <f>IFERROR(VLOOKUP(CLEAN($V164),'All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64" s="26">
        <v>163</v>
      </c>
    </row>
    <row r="165" spans="1:30" s="10" customFormat="1">
      <c r="A165"/>
      <c r="B165"/>
      <c r="C165"/>
      <c r="D165"/>
      <c r="E165"/>
      <c r="F165"/>
      <c r="G165"/>
      <c r="H165"/>
      <c r="I165"/>
      <c r="J165"/>
      <c r="K165"/>
      <c r="L165"/>
      <c r="M165"/>
      <c r="N165"/>
      <c r="O165"/>
      <c r="P165"/>
      <c r="Q165"/>
      <c r="R165"/>
      <c r="S165"/>
      <c r="T165"/>
      <c r="V165" s="66" t="s">
        <v>179</v>
      </c>
      <c r="W165" s="16" t="str">
        <f>IFERROR(VLOOKUP(CLEAN($V165),'All Security Controls'!A:I, 2, FALSE),"---")</f>
        <v>User-Installed Software | Prohibit Installation without Privileged Status</v>
      </c>
      <c r="X165" s="14" t="str">
        <f>IFERROR(VLOOKUP(CLEAN($V165),'All Security Controls'!$A:$I, 4, FALSE),"---")</f>
        <v>CRWG Yellow Criticality Control</v>
      </c>
      <c r="Y165" s="14" t="str">
        <f>IFERROR(VLOOKUP(CLEAN($V165),'All Security Controls'!$A:$I,5, FALSE),"---")</f>
        <v>Constantly</v>
      </c>
      <c r="Z165" s="14" t="str">
        <f>IFERROR(VLOOKUP(CLEAN($V165),'All Security Controls'!$A:$I,6, FALSE),"---")</f>
        <v>Automated</v>
      </c>
      <c r="AA165" s="14" t="str">
        <f>IFERROR(VLOOKUP(CLEAN($V165),'All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65" s="14" t="str">
        <f>IFERROR(VLOOKUP(CLEAN($V165),'All Security Controls'!$A:$I,8, FALSE),"---")</f>
        <v xml:space="preserve">OS  </v>
      </c>
      <c r="AC165" s="14" t="str">
        <f>IFERROR(VLOOKUP(CLEAN($V165),'All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65" s="26">
        <v>164</v>
      </c>
    </row>
    <row r="166" spans="1:30" s="10" customFormat="1">
      <c r="A166"/>
      <c r="B166"/>
      <c r="C166"/>
      <c r="D166"/>
      <c r="E166"/>
      <c r="F166"/>
      <c r="G166"/>
      <c r="H166"/>
      <c r="I166"/>
      <c r="J166"/>
      <c r="K166"/>
      <c r="L166"/>
      <c r="M166"/>
      <c r="N166"/>
      <c r="O166"/>
      <c r="P166"/>
      <c r="Q166"/>
      <c r="R166"/>
      <c r="S166"/>
      <c r="T166"/>
      <c r="V166" s="66" t="s">
        <v>180</v>
      </c>
      <c r="W166" s="16" t="str">
        <f>IFERROR(VLOOKUP(CLEAN($V166),'All Security Controls'!A:I, 2, FALSE),"---")</f>
        <v xml:space="preserve">Contingency Planning Policy And Procedures </v>
      </c>
      <c r="X166" s="14" t="str">
        <f>IFERROR(VLOOKUP(CLEAN($V166),'All Security Controls'!$A:$I, 4, FALSE),"---")</f>
        <v>CRWG White Criticality Control</v>
      </c>
      <c r="Y166" s="14" t="str">
        <f>IFERROR(VLOOKUP(CLEAN($V166),'All Security Controls'!$A:$I,5, FALSE),"---")</f>
        <v>Annually</v>
      </c>
      <c r="Z166" s="14" t="str">
        <f>IFERROR(VLOOKUP(CLEAN($V166),'All Security Controls'!$A:$I,6, FALSE),"---")</f>
        <v>Manual</v>
      </c>
      <c r="AA166" s="14" t="str">
        <f>IFERROR(VLOOKUP(CLEAN($V166),'All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66" s="14" t="str">
        <f>IFERROR(VLOOKUP(CLEAN($V166),'All Security Controls'!$A:$I,8, FALSE),"---")</f>
        <v>POA&amp;M</v>
      </c>
      <c r="AC166" s="14" t="str">
        <f>IFERROR(VLOOKUP(CLEAN($V166),'All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66" s="26">
        <v>165</v>
      </c>
    </row>
    <row r="167" spans="1:30" s="10" customFormat="1">
      <c r="A167"/>
      <c r="B167"/>
      <c r="C167"/>
      <c r="D167"/>
      <c r="E167"/>
      <c r="F167"/>
      <c r="G167"/>
      <c r="H167"/>
      <c r="I167"/>
      <c r="J167"/>
      <c r="K167"/>
      <c r="L167"/>
      <c r="M167"/>
      <c r="N167"/>
      <c r="O167"/>
      <c r="P167"/>
      <c r="Q167"/>
      <c r="R167"/>
      <c r="S167"/>
      <c r="T167"/>
      <c r="V167" s="66" t="s">
        <v>181</v>
      </c>
      <c r="W167" s="16" t="str">
        <f>IFERROR(VLOOKUP(CLEAN($V167),'All Security Controls'!A:I, 2, FALSE),"---")</f>
        <v xml:space="preserve">Contingency Plan </v>
      </c>
      <c r="X167" s="14" t="str">
        <f>IFERROR(VLOOKUP(CLEAN($V167),'All Security Controls'!$A:$I, 4, FALSE),"---")</f>
        <v>CRWG Yellow Criticality Control</v>
      </c>
      <c r="Y167" s="14" t="str">
        <f>IFERROR(VLOOKUP(CLEAN($V167),'All Security Controls'!$A:$I,5, FALSE),"---")</f>
        <v>Annually</v>
      </c>
      <c r="Z167" s="14" t="str">
        <f>IFERROR(VLOOKUP(CLEAN($V167),'All Security Controls'!$A:$I,6, FALSE),"---")</f>
        <v>Manual</v>
      </c>
      <c r="AA167" s="14" t="str">
        <f>IFERROR(VLOOKUP(CLEAN($V167),'All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67" s="14" t="str">
        <f>IFERROR(VLOOKUP(CLEAN($V167),'All Security Controls'!$A:$I,8, FALSE),"---")</f>
        <v>POA&amp;M</v>
      </c>
      <c r="AC167" s="14" t="str">
        <f>IFERROR(VLOOKUP(CLEAN($V167),'All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67" s="26">
        <v>166</v>
      </c>
    </row>
    <row r="168" spans="1:30" s="10" customFormat="1">
      <c r="A168"/>
      <c r="B168"/>
      <c r="C168"/>
      <c r="D168"/>
      <c r="E168"/>
      <c r="F168"/>
      <c r="G168"/>
      <c r="H168"/>
      <c r="I168"/>
      <c r="J168"/>
      <c r="K168"/>
      <c r="L168"/>
      <c r="M168"/>
      <c r="N168"/>
      <c r="O168"/>
      <c r="P168"/>
      <c r="Q168"/>
      <c r="R168"/>
      <c r="S168"/>
      <c r="T168"/>
      <c r="V168" s="66" t="s">
        <v>182</v>
      </c>
      <c r="W168" s="16" t="str">
        <f>IFERROR(VLOOKUP(CLEAN($V168),'All Security Controls'!A:I, 2, FALSE),"---")</f>
        <v xml:space="preserve">Contingency Training </v>
      </c>
      <c r="X168" s="14" t="str">
        <f>IFERROR(VLOOKUP(CLEAN($V168),'All Security Controls'!$A:$I, 4, FALSE),"---")</f>
        <v>CRWG White Criticality Control</v>
      </c>
      <c r="Y168" s="14" t="str">
        <f>IFERROR(VLOOKUP(CLEAN($V168),'All Security Controls'!$A:$I,5, FALSE),"---")</f>
        <v>Annually</v>
      </c>
      <c r="Z168" s="14" t="str">
        <f>IFERROR(VLOOKUP(CLEAN($V168),'All Security Controls'!$A:$I,6, FALSE),"---")</f>
        <v>Manual</v>
      </c>
      <c r="AA168" s="14" t="str">
        <f>IFERROR(VLOOKUP(CLEAN($V168),'All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68" s="14" t="str">
        <f>IFERROR(VLOOKUP(CLEAN($V168),'All Security Controls'!$A:$I,8, FALSE),"---")</f>
        <v>POA&amp;M</v>
      </c>
      <c r="AC168" s="14" t="str">
        <f>IFERROR(VLOOKUP(CLEAN($V168),'All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68" s="26">
        <v>167</v>
      </c>
    </row>
    <row r="169" spans="1:30" s="10" customFormat="1">
      <c r="A169"/>
      <c r="B169"/>
      <c r="C169"/>
      <c r="D169"/>
      <c r="E169"/>
      <c r="F169"/>
      <c r="G169"/>
      <c r="H169"/>
      <c r="I169"/>
      <c r="J169"/>
      <c r="K169"/>
      <c r="L169"/>
      <c r="M169"/>
      <c r="N169"/>
      <c r="O169"/>
      <c r="P169"/>
      <c r="Q169"/>
      <c r="R169"/>
      <c r="S169"/>
      <c r="T169"/>
      <c r="V169" s="66" t="s">
        <v>183</v>
      </c>
      <c r="W169" s="16" t="str">
        <f>IFERROR(VLOOKUP(CLEAN($V169),'All Security Controls'!A:I, 2, FALSE),"---")</f>
        <v xml:space="preserve">Contingency Plan Testing </v>
      </c>
      <c r="X169" s="14" t="str">
        <f>IFERROR(VLOOKUP(CLEAN($V169),'All Security Controls'!$A:$I, 4, FALSE),"---")</f>
        <v>CRWG Yellow Criticality Control</v>
      </c>
      <c r="Y169" s="14" t="str">
        <f>IFERROR(VLOOKUP(CLEAN($V169),'All Security Controls'!$A:$I,5, FALSE),"---")</f>
        <v>Annually</v>
      </c>
      <c r="Z169" s="14" t="str">
        <f>IFERROR(VLOOKUP(CLEAN($V169),'All Security Controls'!$A:$I,6, FALSE),"---")</f>
        <v>Manual</v>
      </c>
      <c r="AA169" s="14" t="str">
        <f>IFERROR(VLOOKUP(CLEAN($V169),'All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69" s="14" t="str">
        <f>IFERROR(VLOOKUP(CLEAN($V169),'All Security Controls'!$A:$I,8, FALSE),"---")</f>
        <v>POA&amp;M</v>
      </c>
      <c r="AC169" s="14" t="str">
        <f>IFERROR(VLOOKUP(CLEAN($V169),'All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69" s="26">
        <v>168</v>
      </c>
    </row>
    <row r="170" spans="1:30" s="10" customFormat="1">
      <c r="A170"/>
      <c r="B170"/>
      <c r="C170"/>
      <c r="D170"/>
      <c r="E170"/>
      <c r="F170"/>
      <c r="G170"/>
      <c r="H170"/>
      <c r="I170"/>
      <c r="J170"/>
      <c r="K170"/>
      <c r="L170"/>
      <c r="M170"/>
      <c r="N170"/>
      <c r="O170"/>
      <c r="P170"/>
      <c r="Q170"/>
      <c r="R170"/>
      <c r="S170"/>
      <c r="T170"/>
      <c r="V170" s="66" t="s">
        <v>184</v>
      </c>
      <c r="W170" s="16" t="str">
        <f>IFERROR(VLOOKUP(CLEAN($V170),'All Security Controls'!A:I, 2, FALSE),"---")</f>
        <v xml:space="preserve">Alternate Processing Site </v>
      </c>
      <c r="X170" s="14" t="str">
        <f>IFERROR(VLOOKUP(CLEAN($V170),'All Security Controls'!$A:$I, 4, FALSE),"---")</f>
        <v>CRWG Yellow Criticality Control</v>
      </c>
      <c r="Y170" s="14" t="str">
        <f>IFERROR(VLOOKUP(CLEAN($V170),'All Security Controls'!$A:$I,5, FALSE),"---")</f>
        <v>Annually</v>
      </c>
      <c r="Z170" s="14" t="str">
        <f>IFERROR(VLOOKUP(CLEAN($V170),'All Security Controls'!$A:$I,6, FALSE),"---")</f>
        <v>Manual</v>
      </c>
      <c r="AA170" s="14" t="str">
        <f>IFERROR(VLOOKUP(CLEAN($V170),'All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70" s="14" t="str">
        <f>IFERROR(VLOOKUP(CLEAN($V170),'All Security Controls'!$A:$I,8, FALSE),"---")</f>
        <v>POA&amp;M</v>
      </c>
      <c r="AC170" s="14" t="str">
        <f>IFERROR(VLOOKUP(CLEAN($V170),'All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70" s="26">
        <v>169</v>
      </c>
    </row>
    <row r="171" spans="1:30" s="10" customFormat="1">
      <c r="A171"/>
      <c r="B171"/>
      <c r="C171"/>
      <c r="D171"/>
      <c r="E171"/>
      <c r="F171"/>
      <c r="G171"/>
      <c r="H171"/>
      <c r="I171"/>
      <c r="J171"/>
      <c r="K171"/>
      <c r="L171"/>
      <c r="M171"/>
      <c r="N171"/>
      <c r="O171"/>
      <c r="P171"/>
      <c r="Q171"/>
      <c r="R171"/>
      <c r="S171"/>
      <c r="T171"/>
      <c r="V171" s="66" t="s">
        <v>185</v>
      </c>
      <c r="W171" s="16" t="str">
        <f>IFERROR(VLOOKUP(CLEAN($V171),'All Security Controls'!A:I, 2, FALSE),"---")</f>
        <v xml:space="preserve">Information System Backup </v>
      </c>
      <c r="X171" s="14" t="str">
        <f>IFERROR(VLOOKUP(CLEAN($V171),'All Security Controls'!$A:$I, 4, FALSE),"---")</f>
        <v>CRWG White Criticality Control</v>
      </c>
      <c r="Y171" s="14" t="str">
        <f>IFERROR(VLOOKUP(CLEAN($V171),'All Security Controls'!$A:$I,5, FALSE),"---")</f>
        <v>Annually</v>
      </c>
      <c r="Z171" s="14" t="str">
        <f>IFERROR(VLOOKUP(CLEAN($V171),'All Security Controls'!$A:$I,6, FALSE),"---")</f>
        <v>Manual</v>
      </c>
      <c r="AA171" s="14" t="str">
        <f>IFERROR(VLOOKUP(CLEAN($V171),'All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71" s="14" t="str">
        <f>IFERROR(VLOOKUP(CLEAN($V171),'All Security Controls'!$A:$I,8, FALSE),"---")</f>
        <v>POA&amp;M</v>
      </c>
      <c r="AC171" s="14" t="str">
        <f>IFERROR(VLOOKUP(CLEAN($V171),'All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71" s="26">
        <v>170</v>
      </c>
    </row>
    <row r="172" spans="1:30" s="10" customFormat="1">
      <c r="A172"/>
      <c r="B172"/>
      <c r="C172"/>
      <c r="D172"/>
      <c r="E172"/>
      <c r="F172"/>
      <c r="G172"/>
      <c r="H172"/>
      <c r="I172"/>
      <c r="J172"/>
      <c r="K172"/>
      <c r="L172"/>
      <c r="M172"/>
      <c r="N172"/>
      <c r="O172"/>
      <c r="P172"/>
      <c r="Q172"/>
      <c r="R172"/>
      <c r="S172"/>
      <c r="T172"/>
      <c r="V172" s="66" t="s">
        <v>186</v>
      </c>
      <c r="W172" s="16" t="str">
        <f>IFERROR(VLOOKUP(CLEAN($V172),'All Security Controls'!A:I, 2, FALSE),"---")</f>
        <v>Information System Backup | Testing for Reliability/ Integrity</v>
      </c>
      <c r="X172" s="14" t="str">
        <f>IFERROR(VLOOKUP(CLEAN($V172),'All Security Controls'!$A:$I, 4, FALSE),"---")</f>
        <v>CRWG White Criticality Control</v>
      </c>
      <c r="Y172" s="14" t="str">
        <f>IFERROR(VLOOKUP(CLEAN($V172),'All Security Controls'!$A:$I,5, FALSE),"---")</f>
        <v>Annually</v>
      </c>
      <c r="Z172" s="14" t="str">
        <f>IFERROR(VLOOKUP(CLEAN($V172),'All Security Controls'!$A:$I,6, FALSE),"---")</f>
        <v>Manual</v>
      </c>
      <c r="AA172" s="14" t="str">
        <f>IFERROR(VLOOKUP(CLEAN($V172),'All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72" s="14" t="str">
        <f>IFERROR(VLOOKUP(CLEAN($V172),'All Security Controls'!$A:$I,8, FALSE),"---")</f>
        <v>POA&amp;M</v>
      </c>
      <c r="AC172" s="14" t="str">
        <f>IFERROR(VLOOKUP(CLEAN($V172),'All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72" s="26">
        <v>171</v>
      </c>
    </row>
    <row r="173" spans="1:30" s="10" customFormat="1">
      <c r="A173"/>
      <c r="B173"/>
      <c r="C173"/>
      <c r="D173"/>
      <c r="E173"/>
      <c r="F173"/>
      <c r="G173"/>
      <c r="H173"/>
      <c r="I173"/>
      <c r="J173"/>
      <c r="K173"/>
      <c r="L173"/>
      <c r="M173"/>
      <c r="N173"/>
      <c r="O173"/>
      <c r="P173"/>
      <c r="Q173"/>
      <c r="R173"/>
      <c r="S173"/>
      <c r="T173"/>
      <c r="V173" s="66" t="s">
        <v>187</v>
      </c>
      <c r="W173" s="16" t="str">
        <f>IFERROR(VLOOKUP(CLEAN($V173),'All Security Controls'!A:I, 2, FALSE),"---")</f>
        <v xml:space="preserve">Information System Recovery And Reconstitution </v>
      </c>
      <c r="X173" s="14" t="str">
        <f>IFERROR(VLOOKUP(CLEAN($V173),'All Security Controls'!$A:$I, 4, FALSE),"---")</f>
        <v>CRWG White Criticality Control</v>
      </c>
      <c r="Y173" s="14" t="str">
        <f>IFERROR(VLOOKUP(CLEAN($V173),'All Security Controls'!$A:$I,5, FALSE),"---")</f>
        <v>Annually</v>
      </c>
      <c r="Z173" s="14" t="str">
        <f>IFERROR(VLOOKUP(CLEAN($V173),'All Security Controls'!$A:$I,6, FALSE),"---")</f>
        <v>Manual</v>
      </c>
      <c r="AA173" s="14" t="str">
        <f>IFERROR(VLOOKUP(CLEAN($V173),'All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73" s="14" t="str">
        <f>IFERROR(VLOOKUP(CLEAN($V173),'All Security Controls'!$A:$I,8, FALSE),"---")</f>
        <v>POA&amp;M</v>
      </c>
      <c r="AC173" s="14" t="str">
        <f>IFERROR(VLOOKUP(CLEAN($V173),'All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73" s="26">
        <v>172</v>
      </c>
    </row>
    <row r="174" spans="1:30" s="10" customFormat="1">
      <c r="A174"/>
      <c r="B174"/>
      <c r="C174"/>
      <c r="D174"/>
      <c r="E174"/>
      <c r="F174"/>
      <c r="G174"/>
      <c r="H174"/>
      <c r="I174"/>
      <c r="J174"/>
      <c r="K174"/>
      <c r="L174"/>
      <c r="M174"/>
      <c r="N174"/>
      <c r="O174"/>
      <c r="P174"/>
      <c r="Q174"/>
      <c r="R174"/>
      <c r="S174"/>
      <c r="T174"/>
      <c r="V174" s="66" t="s">
        <v>188</v>
      </c>
      <c r="W174" s="16" t="str">
        <f>IFERROR(VLOOKUP(CLEAN($V174),'All Security Controls'!A:I, 2, FALSE),"---")</f>
        <v xml:space="preserve">Information System Recovery And Reconstitution | Transaction Recovery </v>
      </c>
      <c r="X174" s="14" t="str">
        <f>IFERROR(VLOOKUP(CLEAN($V174),'All Security Controls'!$A:$I, 4, FALSE),"---")</f>
        <v>CRWG White Criticality Control</v>
      </c>
      <c r="Y174" s="14" t="str">
        <f>IFERROR(VLOOKUP(CLEAN($V174),'All Security Controls'!$A:$I,5, FALSE),"---")</f>
        <v>Annually</v>
      </c>
      <c r="Z174" s="14" t="str">
        <f>IFERROR(VLOOKUP(CLEAN($V174),'All Security Controls'!$A:$I,6, FALSE),"---")</f>
        <v>Manual</v>
      </c>
      <c r="AA174" s="14" t="str">
        <f>IFERROR(VLOOKUP(CLEAN($V174),'All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74" s="14" t="str">
        <f>IFERROR(VLOOKUP(CLEAN($V174),'All Security Controls'!$A:$I,8, FALSE),"---")</f>
        <v>POA&amp;M</v>
      </c>
      <c r="AC174" s="14" t="str">
        <f>IFERROR(VLOOKUP(CLEAN($V174),'All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74" s="26">
        <v>173</v>
      </c>
    </row>
    <row r="175" spans="1:30" s="10" customFormat="1">
      <c r="A175"/>
      <c r="B175"/>
      <c r="C175"/>
      <c r="D175"/>
      <c r="E175"/>
      <c r="F175"/>
      <c r="G175"/>
      <c r="H175"/>
      <c r="I175"/>
      <c r="J175"/>
      <c r="K175"/>
      <c r="L175"/>
      <c r="M175"/>
      <c r="N175"/>
      <c r="O175"/>
      <c r="P175"/>
      <c r="Q175"/>
      <c r="R175"/>
      <c r="S175"/>
      <c r="T175"/>
      <c r="V175" s="66" t="s">
        <v>189</v>
      </c>
      <c r="W175" s="16" t="str">
        <f>IFERROR(VLOOKUP(CLEAN($V175),'All Security Controls'!A:I, 2, FALSE),"---")</f>
        <v>Information System Recovery And Reconstitution | Restore Within Time Period</v>
      </c>
      <c r="X175" s="14" t="str">
        <f>IFERROR(VLOOKUP(CLEAN($V175),'All Security Controls'!$A:$I, 4, FALSE),"---")</f>
        <v>CRWG White Criticality Control</v>
      </c>
      <c r="Y175" s="14" t="str">
        <f>IFERROR(VLOOKUP(CLEAN($V175),'All Security Controls'!$A:$I,5, FALSE),"---")</f>
        <v>Annually</v>
      </c>
      <c r="Z175" s="14" t="str">
        <f>IFERROR(VLOOKUP(CLEAN($V175),'All Security Controls'!$A:$I,6, FALSE),"---")</f>
        <v>Manual</v>
      </c>
      <c r="AA175" s="14" t="str">
        <f>IFERROR(VLOOKUP(CLEAN($V175),'All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75" s="14" t="str">
        <f>IFERROR(VLOOKUP(CLEAN($V175),'All Security Controls'!$A:$I,8, FALSE),"---")</f>
        <v>POA&amp;M</v>
      </c>
      <c r="AC175" s="14" t="str">
        <f>IFERROR(VLOOKUP(CLEAN($V175),'All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75" s="26">
        <v>174</v>
      </c>
    </row>
    <row r="176" spans="1:30" s="10" customFormat="1">
      <c r="A176"/>
      <c r="B176"/>
      <c r="C176"/>
      <c r="D176"/>
      <c r="E176"/>
      <c r="F176"/>
      <c r="G176"/>
      <c r="H176"/>
      <c r="I176"/>
      <c r="J176"/>
      <c r="K176"/>
      <c r="L176"/>
      <c r="M176"/>
      <c r="N176"/>
      <c r="O176"/>
      <c r="P176"/>
      <c r="Q176"/>
      <c r="R176"/>
      <c r="S176"/>
      <c r="T176"/>
      <c r="V176" s="66" t="s">
        <v>190</v>
      </c>
      <c r="W176" s="16" t="str">
        <f>IFERROR(VLOOKUP(CLEAN($V176),'All Security Controls'!A:I, 2, FALSE),"---")</f>
        <v>Data Quality</v>
      </c>
      <c r="X176" s="14" t="str">
        <f>IFERROR(VLOOKUP(CLEAN($V176),'All Security Controls'!$A:$I, 4, FALSE),"---")</f>
        <v>CRWG White Criticality Control</v>
      </c>
      <c r="Y176" s="14" t="str">
        <f>IFERROR(VLOOKUP(CLEAN($V176),'All Security Controls'!$A:$I,5, FALSE),"---")</f>
        <v>Annually</v>
      </c>
      <c r="Z176" s="14" t="str">
        <f>IFERROR(VLOOKUP(CLEAN($V176),'All Security Controls'!$A:$I,6, FALSE),"---")</f>
        <v>Manual</v>
      </c>
      <c r="AA176" s="14" t="str">
        <f>IFERROR(VLOOKUP(CLEAN($V176),'All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76" s="14" t="str">
        <f>IFERROR(VLOOKUP(CLEAN($V176),'All Security Controls'!$A:$I,8, FALSE),"---")</f>
        <v>POA&amp;M</v>
      </c>
      <c r="AC176" s="14" t="str">
        <f>IFERROR(VLOOKUP(CLEAN($V176),'All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76" s="26">
        <v>175</v>
      </c>
    </row>
    <row r="177" spans="1:30" s="10" customFormat="1">
      <c r="A177"/>
      <c r="B177"/>
      <c r="C177"/>
      <c r="D177"/>
      <c r="E177"/>
      <c r="F177"/>
      <c r="G177"/>
      <c r="H177"/>
      <c r="I177"/>
      <c r="J177"/>
      <c r="K177"/>
      <c r="L177"/>
      <c r="M177"/>
      <c r="N177"/>
      <c r="O177"/>
      <c r="P177"/>
      <c r="Q177"/>
      <c r="R177"/>
      <c r="S177"/>
      <c r="T177"/>
      <c r="V177" s="66" t="s">
        <v>191</v>
      </c>
      <c r="W177" s="16" t="str">
        <f>IFERROR(VLOOKUP(CLEAN($V177),'All Security Controls'!A:I, 2, FALSE),"---")</f>
        <v>Minimization of Personally Identifiable Information</v>
      </c>
      <c r="X177" s="14" t="str">
        <f>IFERROR(VLOOKUP(CLEAN($V177),'All Security Controls'!$A:$I, 4, FALSE),"---")</f>
        <v>CRWG White Criticality Control</v>
      </c>
      <c r="Y177" s="14" t="str">
        <f>IFERROR(VLOOKUP(CLEAN($V177),'All Security Controls'!$A:$I,5, FALSE),"---")</f>
        <v>Annually</v>
      </c>
      <c r="Z177" s="14" t="str">
        <f>IFERROR(VLOOKUP(CLEAN($V177),'All Security Controls'!$A:$I,6, FALSE),"---")</f>
        <v>Manual</v>
      </c>
      <c r="AA177" s="14" t="str">
        <f>IFERROR(VLOOKUP(CLEAN($V177),'All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77" s="14" t="str">
        <f>IFERROR(VLOOKUP(CLEAN($V177),'All Security Controls'!$A:$I,8, FALSE),"---")</f>
        <v>POA&amp;M</v>
      </c>
      <c r="AC177" s="14" t="str">
        <f>IFERROR(VLOOKUP(CLEAN($V177),'All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77" s="26">
        <v>176</v>
      </c>
    </row>
    <row r="178" spans="1:30" s="10" customFormat="1">
      <c r="A178"/>
      <c r="B178"/>
      <c r="C178"/>
      <c r="D178"/>
      <c r="E178"/>
      <c r="F178"/>
      <c r="G178"/>
      <c r="H178"/>
      <c r="I178"/>
      <c r="J178"/>
      <c r="K178"/>
      <c r="L178"/>
      <c r="M178"/>
      <c r="N178"/>
      <c r="O178"/>
      <c r="P178"/>
      <c r="Q178"/>
      <c r="R178"/>
      <c r="S178"/>
      <c r="T178"/>
      <c r="V178" s="66" t="s">
        <v>192</v>
      </c>
      <c r="W178" s="16" t="str">
        <f>IFERROR(VLOOKUP(CLEAN($V178),'All Security Controls'!A:I, 2, FALSE),"---")</f>
        <v>Data Retention and Disposal</v>
      </c>
      <c r="X178" s="14" t="str">
        <f>IFERROR(VLOOKUP(CLEAN($V178),'All Security Controls'!$A:$I, 4, FALSE),"---")</f>
        <v>CRWG White Criticality Control</v>
      </c>
      <c r="Y178" s="14" t="str">
        <f>IFERROR(VLOOKUP(CLEAN($V178),'All Security Controls'!$A:$I,5, FALSE),"---")</f>
        <v>Annually</v>
      </c>
      <c r="Z178" s="14" t="str">
        <f>IFERROR(VLOOKUP(CLEAN($V178),'All Security Controls'!$A:$I,6, FALSE),"---")</f>
        <v>Manual</v>
      </c>
      <c r="AA178" s="14" t="str">
        <f>IFERROR(VLOOKUP(CLEAN($V178),'All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78" s="14" t="str">
        <f>IFERROR(VLOOKUP(CLEAN($V178),'All Security Controls'!$A:$I,8, FALSE),"---")</f>
        <v>POA&amp;M</v>
      </c>
      <c r="AC178" s="14" t="str">
        <f>IFERROR(VLOOKUP(CLEAN($V178),'All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78" s="26">
        <v>177</v>
      </c>
    </row>
    <row r="179" spans="1:30" s="10" customFormat="1">
      <c r="A179"/>
      <c r="B179"/>
      <c r="C179"/>
      <c r="D179"/>
      <c r="E179"/>
      <c r="F179"/>
      <c r="G179"/>
      <c r="H179"/>
      <c r="I179"/>
      <c r="J179"/>
      <c r="K179"/>
      <c r="L179"/>
      <c r="M179"/>
      <c r="N179"/>
      <c r="O179"/>
      <c r="P179"/>
      <c r="Q179"/>
      <c r="R179"/>
      <c r="S179"/>
      <c r="T179"/>
      <c r="V179" s="66" t="s">
        <v>193</v>
      </c>
      <c r="W179" s="16" t="str">
        <f>IFERROR(VLOOKUP(CLEAN($V179),'All Security Controls'!A:I, 2, FALSE),"---")</f>
        <v>Minimization of PII Used in Testing, Training and Research</v>
      </c>
      <c r="X179" s="14" t="str">
        <f>IFERROR(VLOOKUP(CLEAN($V179),'All Security Controls'!$A:$I, 4, FALSE),"---")</f>
        <v>CRWG White Criticality Control</v>
      </c>
      <c r="Y179" s="14" t="str">
        <f>IFERROR(VLOOKUP(CLEAN($V179),'All Security Controls'!$A:$I,5, FALSE),"---")</f>
        <v>Annually</v>
      </c>
      <c r="Z179" s="14" t="str">
        <f>IFERROR(VLOOKUP(CLEAN($V179),'All Security Controls'!$A:$I,6, FALSE),"---")</f>
        <v>Manual</v>
      </c>
      <c r="AA179" s="14" t="str">
        <f>IFERROR(VLOOKUP(CLEAN($V179),'All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79" s="14" t="str">
        <f>IFERROR(VLOOKUP(CLEAN($V179),'All Security Controls'!$A:$I,8, FALSE),"---")</f>
        <v>POA&amp;M</v>
      </c>
      <c r="AC179" s="14" t="str">
        <f>IFERROR(VLOOKUP(CLEAN($V179),'All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79" s="26">
        <v>178</v>
      </c>
    </row>
    <row r="180" spans="1:30" s="10" customFormat="1">
      <c r="A180"/>
      <c r="B180"/>
      <c r="C180"/>
      <c r="D180"/>
      <c r="E180"/>
      <c r="F180"/>
      <c r="G180"/>
      <c r="H180"/>
      <c r="I180"/>
      <c r="J180"/>
      <c r="K180"/>
      <c r="L180"/>
      <c r="M180"/>
      <c r="N180"/>
      <c r="O180"/>
      <c r="P180"/>
      <c r="Q180"/>
      <c r="R180"/>
      <c r="S180"/>
      <c r="T180"/>
      <c r="V180" s="66" t="s">
        <v>194</v>
      </c>
      <c r="W180" s="16" t="str">
        <f>IFERROR(VLOOKUP(CLEAN($V180),'All Security Controls'!A:I, 2, FALSE),"---")</f>
        <v xml:space="preserve">Identification And Authentication Policy And Procedures </v>
      </c>
      <c r="X180" s="14" t="str">
        <f>IFERROR(VLOOKUP(CLEAN($V180),'All Security Controls'!$A:$I, 4, FALSE),"---")</f>
        <v>CRWG White Criticality Control</v>
      </c>
      <c r="Y180" s="14" t="str">
        <f>IFERROR(VLOOKUP(CLEAN($V180),'All Security Controls'!$A:$I,5, FALSE),"---")</f>
        <v>Annually</v>
      </c>
      <c r="Z180" s="14" t="str">
        <f>IFERROR(VLOOKUP(CLEAN($V180),'All Security Controls'!$A:$I,6, FALSE),"---")</f>
        <v>Manual</v>
      </c>
      <c r="AA180" s="14" t="str">
        <f>IFERROR(VLOOKUP(CLEAN($V180),'All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80" s="14" t="str">
        <f>IFERROR(VLOOKUP(CLEAN($V180),'All Security Controls'!$A:$I,8, FALSE),"---")</f>
        <v>POA&amp;M</v>
      </c>
      <c r="AC180" s="14" t="str">
        <f>IFERROR(VLOOKUP(CLEAN($V180),'All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80" s="26">
        <v>179</v>
      </c>
    </row>
    <row r="181" spans="1:30" s="10" customFormat="1">
      <c r="A181"/>
      <c r="B181"/>
      <c r="C181"/>
      <c r="D181"/>
      <c r="E181"/>
      <c r="F181"/>
      <c r="G181"/>
      <c r="H181"/>
      <c r="I181"/>
      <c r="J181"/>
      <c r="K181"/>
      <c r="L181"/>
      <c r="M181"/>
      <c r="N181"/>
      <c r="O181"/>
      <c r="P181"/>
      <c r="Q181"/>
      <c r="R181"/>
      <c r="S181"/>
      <c r="T181"/>
      <c r="V181" s="66" t="s">
        <v>195</v>
      </c>
      <c r="W181" s="16" t="str">
        <f>IFERROR(VLOOKUP(CLEAN($V181),'All Security Controls'!A:I, 2, FALSE),"---")</f>
        <v xml:space="preserve">Identification And Authentication (Organizational Users) </v>
      </c>
      <c r="X181" s="14" t="str">
        <f>IFERROR(VLOOKUP(CLEAN($V181),'All Security Controls'!$A:$I, 4, FALSE),"---")</f>
        <v>CRWG Yellow Criticality Control</v>
      </c>
      <c r="Y181" s="14" t="str">
        <f>IFERROR(VLOOKUP(CLEAN($V181),'All Security Controls'!$A:$I,5, FALSE),"---")</f>
        <v>Quarterly</v>
      </c>
      <c r="Z181" s="14" t="str">
        <f>IFERROR(VLOOKUP(CLEAN($V181),'All Security Controls'!$A:$I,6, FALSE),"---")</f>
        <v>Manual</v>
      </c>
      <c r="AA181" s="14" t="str">
        <f>IFERROR(VLOOKUP(CLEAN($V181),'All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81" s="14" t="str">
        <f>IFERROR(VLOOKUP(CLEAN($V181),'All Security Controls'!$A:$I,8, FALSE),"---")</f>
        <v>POA&amp;M</v>
      </c>
      <c r="AC181" s="14" t="str">
        <f>IFERROR(VLOOKUP(CLEAN($V181),'All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81" s="26">
        <v>180</v>
      </c>
    </row>
    <row r="182" spans="1:30" s="10" customFormat="1">
      <c r="A182"/>
      <c r="B182"/>
      <c r="C182"/>
      <c r="D182"/>
      <c r="E182"/>
      <c r="F182"/>
      <c r="G182"/>
      <c r="H182"/>
      <c r="I182"/>
      <c r="J182"/>
      <c r="K182"/>
      <c r="L182"/>
      <c r="M182"/>
      <c r="N182"/>
      <c r="O182"/>
      <c r="P182"/>
      <c r="Q182"/>
      <c r="R182"/>
      <c r="S182"/>
      <c r="T182"/>
      <c r="V182" s="66" t="s">
        <v>196</v>
      </c>
      <c r="W182" s="16" t="str">
        <f>IFERROR(VLOOKUP(CLEAN($V182),'All Security Controls'!A:I, 2, FALSE),"---")</f>
        <v xml:space="preserve">Identification And Authentication (Organizational Users) | Network Access to Privileged Accounts </v>
      </c>
      <c r="X182" s="14" t="str">
        <f>IFERROR(VLOOKUP(CLEAN($V182),'All Security Controls'!$A:$I, 4, FALSE),"---")</f>
        <v>CRWG White Criticality Control</v>
      </c>
      <c r="Y182" s="14" t="str">
        <f>IFERROR(VLOOKUP(CLEAN($V182),'All Security Controls'!$A:$I,5, FALSE),"---")</f>
        <v>Annually</v>
      </c>
      <c r="Z182" s="14" t="str">
        <f>IFERROR(VLOOKUP(CLEAN($V182),'All Security Controls'!$A:$I,6, FALSE),"---")</f>
        <v>Manual</v>
      </c>
      <c r="AA182" s="14" t="str">
        <f>IFERROR(VLOOKUP(CLEAN($V182),'All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82" s="14" t="str">
        <f>IFERROR(VLOOKUP(CLEAN($V182),'All Security Controls'!$A:$I,8, FALSE),"---")</f>
        <v>POA&amp;M</v>
      </c>
      <c r="AC182" s="14" t="str">
        <f>IFERROR(VLOOKUP(CLEAN($V182),'All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82" s="26">
        <v>181</v>
      </c>
    </row>
    <row r="183" spans="1:30" s="10" customFormat="1">
      <c r="A183"/>
      <c r="B183"/>
      <c r="C183"/>
      <c r="D183"/>
      <c r="E183"/>
      <c r="F183"/>
      <c r="G183"/>
      <c r="H183"/>
      <c r="I183"/>
      <c r="J183"/>
      <c r="K183"/>
      <c r="L183"/>
      <c r="M183"/>
      <c r="N183"/>
      <c r="O183"/>
      <c r="P183"/>
      <c r="Q183"/>
      <c r="R183"/>
      <c r="S183"/>
      <c r="T183"/>
      <c r="V183" s="66" t="s">
        <v>197</v>
      </c>
      <c r="W183" s="16" t="str">
        <f>IFERROR(VLOOKUP(CLEAN($V183),'All Security Controls'!A:I, 2, FALSE),"---")</f>
        <v xml:space="preserve">Identification And Authentication (Organizational Users)  | Network Access to Non-Privileged Accounts </v>
      </c>
      <c r="X183" s="14" t="str">
        <f>IFERROR(VLOOKUP(CLEAN($V183),'All Security Controls'!$A:$I, 4, FALSE),"---")</f>
        <v>CRWG White Criticality Control</v>
      </c>
      <c r="Y183" s="14" t="str">
        <f>IFERROR(VLOOKUP(CLEAN($V183),'All Security Controls'!$A:$I,5, FALSE),"---")</f>
        <v>Annually</v>
      </c>
      <c r="Z183" s="14" t="str">
        <f>IFERROR(VLOOKUP(CLEAN($V183),'All Security Controls'!$A:$I,6, FALSE),"---")</f>
        <v>Manual</v>
      </c>
      <c r="AA183" s="14" t="str">
        <f>IFERROR(VLOOKUP(CLEAN($V183),'All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83" s="14" t="str">
        <f>IFERROR(VLOOKUP(CLEAN($V183),'All Security Controls'!$A:$I,8, FALSE),"---")</f>
        <v>POA&amp;M</v>
      </c>
      <c r="AC183" s="14" t="str">
        <f>IFERROR(VLOOKUP(CLEAN($V183),'All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83" s="26">
        <v>182</v>
      </c>
    </row>
    <row r="184" spans="1:30" s="10" customFormat="1">
      <c r="A184"/>
      <c r="B184"/>
      <c r="C184"/>
      <c r="D184"/>
      <c r="E184"/>
      <c r="F184"/>
      <c r="G184"/>
      <c r="H184"/>
      <c r="I184"/>
      <c r="J184"/>
      <c r="K184"/>
      <c r="L184"/>
      <c r="M184"/>
      <c r="N184"/>
      <c r="O184"/>
      <c r="P184"/>
      <c r="Q184"/>
      <c r="R184"/>
      <c r="S184"/>
      <c r="T184"/>
      <c r="V184" s="66" t="s">
        <v>198</v>
      </c>
      <c r="W184" s="16" t="str">
        <f>IFERROR(VLOOKUP(CLEAN($V184),'All Security Controls'!A:I, 2, FALSE),"---")</f>
        <v xml:space="preserve">Identification And Authentication (Organizational Users) | Local Access to Privileged Accounts </v>
      </c>
      <c r="X184" s="14" t="str">
        <f>IFERROR(VLOOKUP(CLEAN($V184),'All Security Controls'!$A:$I, 4, FALSE),"---")</f>
        <v>CRWG White Criticality Control</v>
      </c>
      <c r="Y184" s="14" t="str">
        <f>IFERROR(VLOOKUP(CLEAN($V184),'All Security Controls'!$A:$I,5, FALSE),"---")</f>
        <v>Annually</v>
      </c>
      <c r="Z184" s="14" t="str">
        <f>IFERROR(VLOOKUP(CLEAN($V184),'All Security Controls'!$A:$I,6, FALSE),"---")</f>
        <v>Manual</v>
      </c>
      <c r="AA184" s="14" t="str">
        <f>IFERROR(VLOOKUP(CLEAN($V184),'All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84" s="14" t="str">
        <f>IFERROR(VLOOKUP(CLEAN($V184),'All Security Controls'!$A:$I,8, FALSE),"---")</f>
        <v>POA&amp;M</v>
      </c>
      <c r="AC184" s="14" t="str">
        <f>IFERROR(VLOOKUP(CLEAN($V184),'All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84" s="26">
        <v>183</v>
      </c>
    </row>
    <row r="185" spans="1:30" s="10" customFormat="1">
      <c r="A185"/>
      <c r="B185"/>
      <c r="C185"/>
      <c r="D185"/>
      <c r="E185"/>
      <c r="F185"/>
      <c r="G185"/>
      <c r="H185"/>
      <c r="I185"/>
      <c r="J185"/>
      <c r="K185"/>
      <c r="L185"/>
      <c r="M185"/>
      <c r="N185"/>
      <c r="O185"/>
      <c r="P185"/>
      <c r="Q185"/>
      <c r="R185"/>
      <c r="S185"/>
      <c r="T185"/>
      <c r="V185" s="66" t="s">
        <v>199</v>
      </c>
      <c r="W185" s="16" t="str">
        <f>IFERROR(VLOOKUP(CLEAN($V185),'All Security Controls'!A:I, 2, FALSE),"---")</f>
        <v xml:space="preserve">Identification And Authentication (Organizational Users) | Local Access to Non-Privileged Accounts </v>
      </c>
      <c r="X185" s="14" t="str">
        <f>IFERROR(VLOOKUP(CLEAN($V185),'All Security Controls'!$A:$I, 4, FALSE),"---")</f>
        <v>CRWG White Criticality Control</v>
      </c>
      <c r="Y185" s="14" t="str">
        <f>IFERROR(VLOOKUP(CLEAN($V185),'All Security Controls'!$A:$I,5, FALSE),"---")</f>
        <v>Annually</v>
      </c>
      <c r="Z185" s="14" t="str">
        <f>IFERROR(VLOOKUP(CLEAN($V185),'All Security Controls'!$A:$I,6, FALSE),"---")</f>
        <v>Manual</v>
      </c>
      <c r="AA185" s="14" t="str">
        <f>IFERROR(VLOOKUP(CLEAN($V185),'All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85" s="14" t="str">
        <f>IFERROR(VLOOKUP(CLEAN($V185),'All Security Controls'!$A:$I,8, FALSE),"---")</f>
        <v>POA&amp;M</v>
      </c>
      <c r="AC185" s="14" t="str">
        <f>IFERROR(VLOOKUP(CLEAN($V185),'All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85" s="26">
        <v>184</v>
      </c>
    </row>
    <row r="186" spans="1:30" s="10" customFormat="1">
      <c r="A186"/>
      <c r="B186"/>
      <c r="C186"/>
      <c r="D186"/>
      <c r="E186"/>
      <c r="F186"/>
      <c r="G186"/>
      <c r="H186"/>
      <c r="I186"/>
      <c r="J186"/>
      <c r="K186"/>
      <c r="L186"/>
      <c r="M186"/>
      <c r="N186"/>
      <c r="O186"/>
      <c r="P186"/>
      <c r="Q186"/>
      <c r="R186"/>
      <c r="S186"/>
      <c r="T186"/>
      <c r="V186" s="66" t="s">
        <v>200</v>
      </c>
      <c r="W186" s="16" t="str">
        <f>IFERROR(VLOOKUP(CLEAN($V186),'All Security Controls'!A:I, 2, FALSE),"---")</f>
        <v>Identification And Authentication (Organizational Users)  | Group Authentication</v>
      </c>
      <c r="X186" s="14" t="str">
        <f>IFERROR(VLOOKUP(CLEAN($V186),'All Security Controls'!$A:$I, 4, FALSE),"---")</f>
        <v>CRWG White Criticality Control</v>
      </c>
      <c r="Y186" s="14" t="str">
        <f>IFERROR(VLOOKUP(CLEAN($V186),'All Security Controls'!$A:$I,5, FALSE),"---")</f>
        <v>Annually</v>
      </c>
      <c r="Z186" s="14" t="str">
        <f>IFERROR(VLOOKUP(CLEAN($V186),'All Security Controls'!$A:$I,6, FALSE),"---")</f>
        <v>Manual</v>
      </c>
      <c r="AA186" s="14" t="str">
        <f>IFERROR(VLOOKUP(CLEAN($V186),'All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86" s="14" t="str">
        <f>IFERROR(VLOOKUP(CLEAN($V186),'All Security Controls'!$A:$I,8, FALSE),"---")</f>
        <v>POA&amp;M</v>
      </c>
      <c r="AC186" s="14" t="str">
        <f>IFERROR(VLOOKUP(CLEAN($V186),'All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86" s="26">
        <v>185</v>
      </c>
    </row>
    <row r="187" spans="1:30" s="10" customFormat="1">
      <c r="A187"/>
      <c r="B187"/>
      <c r="C187"/>
      <c r="D187"/>
      <c r="E187"/>
      <c r="F187"/>
      <c r="G187"/>
      <c r="H187"/>
      <c r="I187"/>
      <c r="J187"/>
      <c r="K187"/>
      <c r="L187"/>
      <c r="M187"/>
      <c r="N187"/>
      <c r="O187"/>
      <c r="P187"/>
      <c r="Q187"/>
      <c r="R187"/>
      <c r="S187"/>
      <c r="T187"/>
      <c r="V187" s="66" t="s">
        <v>201</v>
      </c>
      <c r="W187" s="16" t="str">
        <f>IFERROR(VLOOKUP(CLEAN($V187),'All Security Controls'!A:I, 2, FALSE),"---")</f>
        <v>Identification And Authentication (Organizational Users)  | Network Access to Privileged Accounts - Replay Resistant</v>
      </c>
      <c r="X187" s="14" t="str">
        <f>IFERROR(VLOOKUP(CLEAN($V187),'All Security Controls'!$A:$I, 4, FALSE),"---")</f>
        <v>CRWG White Criticality Control</v>
      </c>
      <c r="Y187" s="14" t="str">
        <f>IFERROR(VLOOKUP(CLEAN($V187),'All Security Controls'!$A:$I,5, FALSE),"---")</f>
        <v>Annually</v>
      </c>
      <c r="Z187" s="14" t="str">
        <f>IFERROR(VLOOKUP(CLEAN($V187),'All Security Controls'!$A:$I,6, FALSE),"---")</f>
        <v>Manual</v>
      </c>
      <c r="AA187" s="14" t="str">
        <f>IFERROR(VLOOKUP(CLEAN($V187),'All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87" s="14" t="str">
        <f>IFERROR(VLOOKUP(CLEAN($V187),'All Security Controls'!$A:$I,8, FALSE),"---")</f>
        <v>POA&amp;M</v>
      </c>
      <c r="AC187" s="14" t="str">
        <f>IFERROR(VLOOKUP(CLEAN($V187),'All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87" s="26">
        <v>186</v>
      </c>
    </row>
    <row r="188" spans="1:30" s="10" customFormat="1">
      <c r="A188"/>
      <c r="B188"/>
      <c r="C188"/>
      <c r="D188"/>
      <c r="E188"/>
      <c r="F188"/>
      <c r="G188"/>
      <c r="H188"/>
      <c r="I188"/>
      <c r="J188"/>
      <c r="K188"/>
      <c r="L188"/>
      <c r="M188"/>
      <c r="N188"/>
      <c r="O188"/>
      <c r="P188"/>
      <c r="Q188"/>
      <c r="R188"/>
      <c r="S188"/>
      <c r="T188"/>
      <c r="V188" s="66" t="s">
        <v>202</v>
      </c>
      <c r="W188" s="16" t="str">
        <f>IFERROR(VLOOKUP(CLEAN($V188),'All Security Controls'!A:I, 2, FALSE),"---")</f>
        <v>Identification And Authentication (Organizational Users)  | Network Access to Non-Privileged Accounts - Replay Resistant</v>
      </c>
      <c r="X188" s="14" t="str">
        <f>IFERROR(VLOOKUP(CLEAN($V188),'All Security Controls'!$A:$I, 4, FALSE),"---")</f>
        <v>CRWG White Criticality Control</v>
      </c>
      <c r="Y188" s="14" t="str">
        <f>IFERROR(VLOOKUP(CLEAN($V188),'All Security Controls'!$A:$I,5, FALSE),"---")</f>
        <v>Annually</v>
      </c>
      <c r="Z188" s="14" t="str">
        <f>IFERROR(VLOOKUP(CLEAN($V188),'All Security Controls'!$A:$I,6, FALSE),"---")</f>
        <v>Manual</v>
      </c>
      <c r="AA188" s="14" t="str">
        <f>IFERROR(VLOOKUP(CLEAN($V188),'All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88" s="14" t="str">
        <f>IFERROR(VLOOKUP(CLEAN($V188),'All Security Controls'!$A:$I,8, FALSE),"---")</f>
        <v>POA&amp;M</v>
      </c>
      <c r="AC188" s="14" t="str">
        <f>IFERROR(VLOOKUP(CLEAN($V188),'All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88" s="26">
        <v>187</v>
      </c>
    </row>
    <row r="189" spans="1:30" s="10" customFormat="1">
      <c r="A189"/>
      <c r="B189"/>
      <c r="C189"/>
      <c r="D189"/>
      <c r="E189"/>
      <c r="F189"/>
      <c r="G189"/>
      <c r="H189"/>
      <c r="I189"/>
      <c r="J189"/>
      <c r="K189"/>
      <c r="L189"/>
      <c r="M189"/>
      <c r="N189"/>
      <c r="O189"/>
      <c r="P189"/>
      <c r="Q189"/>
      <c r="R189"/>
      <c r="S189"/>
      <c r="T189"/>
      <c r="V189" s="66" t="s">
        <v>203</v>
      </c>
      <c r="W189" s="16" t="str">
        <f>IFERROR(VLOOKUP(CLEAN($V189),'All Security Controls'!A:I, 2, FALSE),"---")</f>
        <v>Identification And Authentication (Organizational Users)  | Remote Access - Separate Device</v>
      </c>
      <c r="X189" s="14" t="str">
        <f>IFERROR(VLOOKUP(CLEAN($V189),'All Security Controls'!$A:$I, 4, FALSE),"---")</f>
        <v>CRWG Yellow Criticality Control</v>
      </c>
      <c r="Y189" s="14" t="str">
        <f>IFERROR(VLOOKUP(CLEAN($V189),'All Security Controls'!$A:$I,5, FALSE),"---")</f>
        <v>Quarterly</v>
      </c>
      <c r="Z189" s="14" t="str">
        <f>IFERROR(VLOOKUP(CLEAN($V189),'All Security Controls'!$A:$I,6, FALSE),"---")</f>
        <v>Manual</v>
      </c>
      <c r="AA189" s="14" t="str">
        <f>IFERROR(VLOOKUP(CLEAN($V189),'All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89" s="14" t="str">
        <f>IFERROR(VLOOKUP(CLEAN($V189),'All Security Controls'!$A:$I,8, FALSE),"---")</f>
        <v>POA&amp;M</v>
      </c>
      <c r="AC189" s="14" t="str">
        <f>IFERROR(VLOOKUP(CLEAN($V189),'All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89" s="26">
        <v>188</v>
      </c>
    </row>
    <row r="190" spans="1:30" s="10" customFormat="1">
      <c r="A190"/>
      <c r="B190"/>
      <c r="C190"/>
      <c r="D190"/>
      <c r="E190"/>
      <c r="F190"/>
      <c r="G190"/>
      <c r="H190"/>
      <c r="I190"/>
      <c r="J190"/>
      <c r="K190"/>
      <c r="L190"/>
      <c r="M190"/>
      <c r="N190"/>
      <c r="O190"/>
      <c r="P190"/>
      <c r="Q190"/>
      <c r="R190"/>
      <c r="S190"/>
      <c r="T190"/>
      <c r="V190" s="66" t="s">
        <v>204</v>
      </c>
      <c r="W190" s="16" t="str">
        <f>IFERROR(VLOOKUP(CLEAN($V190),'All Security Controls'!A:I, 2, FALSE),"---")</f>
        <v>Identification And Authentication (Organizational Users) | Acceptance of PIV Credentials</v>
      </c>
      <c r="X190" s="14" t="str">
        <f>IFERROR(VLOOKUP(CLEAN($V190),'All Security Controls'!$A:$I, 4, FALSE),"---")</f>
        <v>CRWG White Criticality Control</v>
      </c>
      <c r="Y190" s="14" t="str">
        <f>IFERROR(VLOOKUP(CLEAN($V190),'All Security Controls'!$A:$I,5, FALSE),"---")</f>
        <v>Annually</v>
      </c>
      <c r="Z190" s="14" t="str">
        <f>IFERROR(VLOOKUP(CLEAN($V190),'All Security Controls'!$A:$I,6, FALSE),"---")</f>
        <v>Manual</v>
      </c>
      <c r="AA190" s="14" t="str">
        <f>IFERROR(VLOOKUP(CLEAN($V190),'All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90" s="14" t="str">
        <f>IFERROR(VLOOKUP(CLEAN($V190),'All Security Controls'!$A:$I,8, FALSE),"---")</f>
        <v>POA&amp;M</v>
      </c>
      <c r="AC190" s="14" t="str">
        <f>IFERROR(VLOOKUP(CLEAN($V190),'All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90" s="26">
        <v>189</v>
      </c>
    </row>
    <row r="191" spans="1:30" s="10" customFormat="1">
      <c r="A191"/>
      <c r="B191"/>
      <c r="C191"/>
      <c r="D191"/>
      <c r="E191"/>
      <c r="F191"/>
      <c r="G191"/>
      <c r="H191"/>
      <c r="I191"/>
      <c r="J191"/>
      <c r="K191"/>
      <c r="L191"/>
      <c r="M191"/>
      <c r="N191"/>
      <c r="O191"/>
      <c r="P191"/>
      <c r="Q191"/>
      <c r="R191"/>
      <c r="S191"/>
      <c r="T191"/>
      <c r="V191" s="66" t="s">
        <v>205</v>
      </c>
      <c r="W191" s="16" t="str">
        <f>IFERROR(VLOOKUP(CLEAN($V191),'All Security Controls'!A:I, 2, FALSE),"---")</f>
        <v xml:space="preserve">Device Identification And Authentication </v>
      </c>
      <c r="X191" s="14" t="str">
        <f>IFERROR(VLOOKUP(CLEAN($V191),'All Security Controls'!$A:$I, 4, FALSE),"---")</f>
        <v>CRWG Yellow Criticality Control</v>
      </c>
      <c r="Y191" s="14" t="str">
        <f>IFERROR(VLOOKUP(CLEAN($V191),'All Security Controls'!$A:$I,5, FALSE),"---")</f>
        <v>Monthly</v>
      </c>
      <c r="Z191" s="14" t="str">
        <f>IFERROR(VLOOKUP(CLEAN($V191),'All Security Controls'!$A:$I,6, FALSE),"---")</f>
        <v>Manual</v>
      </c>
      <c r="AA191" s="14" t="str">
        <f>IFERROR(VLOOKUP(CLEAN($V191),'All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91" s="14" t="str">
        <f>IFERROR(VLOOKUP(CLEAN($V191),'All Security Controls'!$A:$I,8, FALSE),"---")</f>
        <v>POA&amp;M</v>
      </c>
      <c r="AC191" s="14" t="str">
        <f>IFERROR(VLOOKUP(CLEAN($V191),'All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91" s="26">
        <v>190</v>
      </c>
    </row>
    <row r="192" spans="1:30" s="10" customFormat="1">
      <c r="A192"/>
      <c r="B192"/>
      <c r="C192"/>
      <c r="D192"/>
      <c r="E192"/>
      <c r="F192"/>
      <c r="G192"/>
      <c r="H192"/>
      <c r="I192"/>
      <c r="J192"/>
      <c r="K192"/>
      <c r="L192"/>
      <c r="M192"/>
      <c r="N192"/>
      <c r="O192"/>
      <c r="P192"/>
      <c r="Q192"/>
      <c r="R192"/>
      <c r="S192"/>
      <c r="T192"/>
      <c r="V192" s="66" t="s">
        <v>206</v>
      </c>
      <c r="W192" s="16" t="str">
        <f>IFERROR(VLOOKUP(CLEAN($V192),'All Security Controls'!A:I, 2, FALSE),"---")</f>
        <v>Device Identification And Authentication | Cryptographic Bidirectional Authentication</v>
      </c>
      <c r="X192" s="14" t="str">
        <f>IFERROR(VLOOKUP(CLEAN($V192),'All Security Controls'!$A:$I, 4, FALSE),"---")</f>
        <v>CRWG White Criticality Control</v>
      </c>
      <c r="Y192" s="14" t="str">
        <f>IFERROR(VLOOKUP(CLEAN($V192),'All Security Controls'!$A:$I,5, FALSE),"---")</f>
        <v>Annually</v>
      </c>
      <c r="Z192" s="14" t="str">
        <f>IFERROR(VLOOKUP(CLEAN($V192),'All Security Controls'!$A:$I,6, FALSE),"---")</f>
        <v>Manual</v>
      </c>
      <c r="AA192" s="14" t="str">
        <f>IFERROR(VLOOKUP(CLEAN($V192),'All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92" s="14" t="str">
        <f>IFERROR(VLOOKUP(CLEAN($V192),'All Security Controls'!$A:$I,8, FALSE),"---")</f>
        <v>POA&amp;M</v>
      </c>
      <c r="AC192" s="14" t="str">
        <f>IFERROR(VLOOKUP(CLEAN($V192),'All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92" s="26">
        <v>191</v>
      </c>
    </row>
    <row r="193" spans="1:30" s="10" customFormat="1">
      <c r="A193"/>
      <c r="B193"/>
      <c r="C193"/>
      <c r="D193"/>
      <c r="E193"/>
      <c r="F193"/>
      <c r="G193"/>
      <c r="H193"/>
      <c r="I193"/>
      <c r="J193"/>
      <c r="K193"/>
      <c r="L193"/>
      <c r="M193"/>
      <c r="N193"/>
      <c r="O193"/>
      <c r="P193"/>
      <c r="Q193"/>
      <c r="R193"/>
      <c r="S193"/>
      <c r="T193"/>
      <c r="V193" s="66" t="s">
        <v>207</v>
      </c>
      <c r="W193" s="16" t="str">
        <f>IFERROR(VLOOKUP(CLEAN($V193),'All Security Controls'!A:I, 2, FALSE),"---")</f>
        <v xml:space="preserve">Identifier Management </v>
      </c>
      <c r="X193" s="14" t="str">
        <f>IFERROR(VLOOKUP(CLEAN($V193),'All Security Controls'!$A:$I, 4, FALSE),"---")</f>
        <v>CRWG White Criticality Control</v>
      </c>
      <c r="Y193" s="14" t="str">
        <f>IFERROR(VLOOKUP(CLEAN($V193),'All Security Controls'!$A:$I,5, FALSE),"---")</f>
        <v>Annually</v>
      </c>
      <c r="Z193" s="14" t="str">
        <f>IFERROR(VLOOKUP(CLEAN($V193),'All Security Controls'!$A:$I,6, FALSE),"---")</f>
        <v>Manual</v>
      </c>
      <c r="AA193" s="14" t="str">
        <f>IFERROR(VLOOKUP(CLEAN($V193),'All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93" s="14" t="str">
        <f>IFERROR(VLOOKUP(CLEAN($V193),'All Security Controls'!$A:$I,8, FALSE),"---")</f>
        <v>POA&amp;M</v>
      </c>
      <c r="AC193" s="14" t="str">
        <f>IFERROR(VLOOKUP(CLEAN($V193),'All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93" s="26">
        <v>192</v>
      </c>
    </row>
    <row r="194" spans="1:30" s="10" customFormat="1">
      <c r="A194"/>
      <c r="B194"/>
      <c r="C194"/>
      <c r="D194"/>
      <c r="E194"/>
      <c r="F194"/>
      <c r="G194"/>
      <c r="H194"/>
      <c r="I194"/>
      <c r="J194"/>
      <c r="K194"/>
      <c r="L194"/>
      <c r="M194"/>
      <c r="N194"/>
      <c r="O194"/>
      <c r="P194"/>
      <c r="Q194"/>
      <c r="R194"/>
      <c r="S194"/>
      <c r="T194"/>
      <c r="V194" s="66" t="s">
        <v>208</v>
      </c>
      <c r="W194" s="16" t="str">
        <f>IFERROR(VLOOKUP(CLEAN($V194),'All Security Controls'!A:I, 2, FALSE),"---")</f>
        <v xml:space="preserve">Identifier Management | Identify User Status </v>
      </c>
      <c r="X194" s="14" t="str">
        <f>IFERROR(VLOOKUP(CLEAN($V194),'All Security Controls'!$A:$I, 4, FALSE),"---")</f>
        <v>CRWG White Criticality Control</v>
      </c>
      <c r="Y194" s="14" t="str">
        <f>IFERROR(VLOOKUP(CLEAN($V194),'All Security Controls'!$A:$I,5, FALSE),"---")</f>
        <v>Annually</v>
      </c>
      <c r="Z194" s="14" t="str">
        <f>IFERROR(VLOOKUP(CLEAN($V194),'All Security Controls'!$A:$I,6, FALSE),"---")</f>
        <v>Manual</v>
      </c>
      <c r="AA194" s="14" t="str">
        <f>IFERROR(VLOOKUP(CLEAN($V194),'All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94" s="14" t="str">
        <f>IFERROR(VLOOKUP(CLEAN($V194),'All Security Controls'!$A:$I,8, FALSE),"---")</f>
        <v>POA&amp;M</v>
      </c>
      <c r="AC194" s="14" t="str">
        <f>IFERROR(VLOOKUP(CLEAN($V194),'All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94" s="26">
        <v>193</v>
      </c>
    </row>
    <row r="195" spans="1:30" s="10" customFormat="1">
      <c r="A195"/>
      <c r="B195"/>
      <c r="C195"/>
      <c r="D195"/>
      <c r="E195"/>
      <c r="F195"/>
      <c r="G195"/>
      <c r="H195"/>
      <c r="I195"/>
      <c r="J195"/>
      <c r="K195"/>
      <c r="L195"/>
      <c r="M195"/>
      <c r="N195"/>
      <c r="O195"/>
      <c r="P195"/>
      <c r="Q195"/>
      <c r="R195"/>
      <c r="S195"/>
      <c r="T195"/>
      <c r="V195" s="66" t="s">
        <v>209</v>
      </c>
      <c r="W195" s="16" t="str">
        <f>IFERROR(VLOOKUP(CLEAN($V195),'All Security Controls'!A:I, 2, FALSE),"---")</f>
        <v xml:space="preserve">Authenticator Management </v>
      </c>
      <c r="X195" s="14" t="str">
        <f>IFERROR(VLOOKUP(CLEAN($V195),'All Security Controls'!$A:$I, 4, FALSE),"---")</f>
        <v>CRWG Yellow Criticality Control</v>
      </c>
      <c r="Y195" s="14" t="str">
        <f>IFERROR(VLOOKUP(CLEAN($V195),'All Security Controls'!$A:$I,5, FALSE),"---")</f>
        <v>Monthly</v>
      </c>
      <c r="Z195" s="14" t="str">
        <f>IFERROR(VLOOKUP(CLEAN($V195),'All Security Controls'!$A:$I,6, FALSE),"---")</f>
        <v>Manual</v>
      </c>
      <c r="AA195" s="14" t="str">
        <f>IFERROR(VLOOKUP(CLEAN($V195),'All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195" s="14" t="str">
        <f>IFERROR(VLOOKUP(CLEAN($V195),'All Security Controls'!$A:$I,8, FALSE),"---")</f>
        <v>POA&amp;M</v>
      </c>
      <c r="AC195" s="14" t="str">
        <f>IFERROR(VLOOKUP(CLEAN($V195),'All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95" s="26">
        <v>194</v>
      </c>
    </row>
    <row r="196" spans="1:30" s="10" customFormat="1">
      <c r="A196"/>
      <c r="B196"/>
      <c r="C196"/>
      <c r="D196"/>
      <c r="E196"/>
      <c r="F196"/>
      <c r="G196"/>
      <c r="H196"/>
      <c r="I196"/>
      <c r="J196"/>
      <c r="K196"/>
      <c r="L196"/>
      <c r="M196"/>
      <c r="N196"/>
      <c r="O196"/>
      <c r="P196"/>
      <c r="Q196"/>
      <c r="R196"/>
      <c r="S196"/>
      <c r="T196"/>
      <c r="V196" s="66" t="s">
        <v>210</v>
      </c>
      <c r="W196" s="16" t="str">
        <f>IFERROR(VLOOKUP(CLEAN($V196),'All Security Controls'!A:I, 2, FALSE),"---")</f>
        <v>Authenticator Management  | Password-Based Authentication</v>
      </c>
      <c r="X196" s="14" t="str">
        <f>IFERROR(VLOOKUP(CLEAN($V196),'All Security Controls'!$A:$I, 4, FALSE),"---")</f>
        <v>CRWG White Criticality Control</v>
      </c>
      <c r="Y196" s="14" t="str">
        <f>IFERROR(VLOOKUP(CLEAN($V196),'All Security Controls'!$A:$I,5, FALSE),"---")</f>
        <v>Annually</v>
      </c>
      <c r="Z196" s="14" t="str">
        <f>IFERROR(VLOOKUP(CLEAN($V196),'All Security Controls'!$A:$I,6, FALSE),"---")</f>
        <v>Manual</v>
      </c>
      <c r="AA196" s="14" t="str">
        <f>IFERROR(VLOOKUP(CLEAN($V196),'All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96" s="14" t="str">
        <f>IFERROR(VLOOKUP(CLEAN($V196),'All Security Controls'!$A:$I,8, FALSE),"---")</f>
        <v>POA&amp;M</v>
      </c>
      <c r="AC196" s="14" t="str">
        <f>IFERROR(VLOOKUP(CLEAN($V196),'All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96" s="26">
        <v>195</v>
      </c>
    </row>
    <row r="197" spans="1:30" s="10" customFormat="1">
      <c r="A197"/>
      <c r="B197"/>
      <c r="C197"/>
      <c r="D197"/>
      <c r="E197"/>
      <c r="F197"/>
      <c r="G197"/>
      <c r="H197"/>
      <c r="I197"/>
      <c r="J197"/>
      <c r="K197"/>
      <c r="L197"/>
      <c r="M197"/>
      <c r="N197"/>
      <c r="O197"/>
      <c r="P197"/>
      <c r="Q197"/>
      <c r="R197"/>
      <c r="S197"/>
      <c r="T197"/>
      <c r="V197" s="66" t="s">
        <v>211</v>
      </c>
      <c r="W197" s="16" t="str">
        <f>IFERROR(VLOOKUP(CLEAN($V197),'All Security Controls'!A:I, 2, FALSE),"---")</f>
        <v>Authenticator Management  | PKI-Based Authentication</v>
      </c>
      <c r="X197" s="14" t="str">
        <f>IFERROR(VLOOKUP(CLEAN($V197),'All Security Controls'!$A:$I, 4, FALSE),"---")</f>
        <v>CRWG White Criticality Control</v>
      </c>
      <c r="Y197" s="14" t="str">
        <f>IFERROR(VLOOKUP(CLEAN($V197),'All Security Controls'!$A:$I,5, FALSE),"---")</f>
        <v>Annually</v>
      </c>
      <c r="Z197" s="14" t="str">
        <f>IFERROR(VLOOKUP(CLEAN($V197),'All Security Controls'!$A:$I,6, FALSE),"---")</f>
        <v>Manual</v>
      </c>
      <c r="AA197" s="14" t="str">
        <f>IFERROR(VLOOKUP(CLEAN($V197),'All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97" s="14" t="str">
        <f>IFERROR(VLOOKUP(CLEAN($V197),'All Security Controls'!$A:$I,8, FALSE),"---")</f>
        <v>POA&amp;M</v>
      </c>
      <c r="AC197" s="14" t="str">
        <f>IFERROR(VLOOKUP(CLEAN($V197),'All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97" s="26">
        <v>196</v>
      </c>
    </row>
    <row r="198" spans="1:30" s="10" customFormat="1">
      <c r="A198"/>
      <c r="B198"/>
      <c r="C198"/>
      <c r="D198"/>
      <c r="E198"/>
      <c r="F198"/>
      <c r="G198"/>
      <c r="H198"/>
      <c r="I198"/>
      <c r="J198"/>
      <c r="K198"/>
      <c r="L198"/>
      <c r="M198"/>
      <c r="N198"/>
      <c r="O198"/>
      <c r="P198"/>
      <c r="Q198"/>
      <c r="R198"/>
      <c r="S198"/>
      <c r="T198"/>
      <c r="V198" s="66" t="s">
        <v>212</v>
      </c>
      <c r="W198" s="16" t="str">
        <f>IFERROR(VLOOKUP(CLEAN($V198),'All Security Controls'!A:I, 2, FALSE),"---")</f>
        <v>Authenticator Management  | In Person or Trusted Third-Party Registration</v>
      </c>
      <c r="X198" s="14" t="str">
        <f>IFERROR(VLOOKUP(CLEAN($V198),'All Security Controls'!$A:$I, 4, FALSE),"---")</f>
        <v>CRWG White Criticality Control</v>
      </c>
      <c r="Y198" s="14" t="str">
        <f>IFERROR(VLOOKUP(CLEAN($V198),'All Security Controls'!$A:$I,5, FALSE),"---")</f>
        <v>Annually</v>
      </c>
      <c r="Z198" s="14" t="str">
        <f>IFERROR(VLOOKUP(CLEAN($V198),'All Security Controls'!$A:$I,6, FALSE),"---")</f>
        <v>Manual</v>
      </c>
      <c r="AA198" s="14" t="str">
        <f>IFERROR(VLOOKUP(CLEAN($V198),'All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98" s="14" t="str">
        <f>IFERROR(VLOOKUP(CLEAN($V198),'All Security Controls'!$A:$I,8, FALSE),"---")</f>
        <v>POA&amp;M</v>
      </c>
      <c r="AC198" s="14" t="str">
        <f>IFERROR(VLOOKUP(CLEAN($V198),'All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98" s="26">
        <v>197</v>
      </c>
    </row>
    <row r="199" spans="1:30" s="10" customFormat="1">
      <c r="A199"/>
      <c r="B199"/>
      <c r="C199"/>
      <c r="D199"/>
      <c r="E199"/>
      <c r="F199"/>
      <c r="G199"/>
      <c r="H199"/>
      <c r="I199"/>
      <c r="J199"/>
      <c r="K199"/>
      <c r="L199"/>
      <c r="M199"/>
      <c r="N199"/>
      <c r="O199"/>
      <c r="P199"/>
      <c r="Q199"/>
      <c r="R199"/>
      <c r="S199"/>
      <c r="T199"/>
      <c r="V199" s="66" t="s">
        <v>213</v>
      </c>
      <c r="W199" s="16" t="str">
        <f>IFERROR(VLOOKUP(CLEAN($V199),'All Security Controls'!A:I, 2, FALSE),"---")</f>
        <v>Authenticator Management  | Automated Support for Password Strength Determination</v>
      </c>
      <c r="X199" s="14" t="str">
        <f>IFERROR(VLOOKUP(CLEAN($V199),'All Security Controls'!$A:$I, 4, FALSE),"---")</f>
        <v>CRWG White Criticality Control</v>
      </c>
      <c r="Y199" s="14" t="str">
        <f>IFERROR(VLOOKUP(CLEAN($V199),'All Security Controls'!$A:$I,5, FALSE),"---")</f>
        <v>Annually</v>
      </c>
      <c r="Z199" s="14" t="str">
        <f>IFERROR(VLOOKUP(CLEAN($V199),'All Security Controls'!$A:$I,6, FALSE),"---")</f>
        <v>Manual</v>
      </c>
      <c r="AA199" s="14" t="str">
        <f>IFERROR(VLOOKUP(CLEAN($V199),'All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199" s="14" t="str">
        <f>IFERROR(VLOOKUP(CLEAN($V199),'All Security Controls'!$A:$I,8, FALSE),"---")</f>
        <v>POA&amp;M</v>
      </c>
      <c r="AC199" s="14" t="str">
        <f>IFERROR(VLOOKUP(CLEAN($V199),'All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199" s="26">
        <v>198</v>
      </c>
    </row>
    <row r="200" spans="1:30" s="10" customFormat="1">
      <c r="A200"/>
      <c r="B200"/>
      <c r="C200"/>
      <c r="D200"/>
      <c r="E200"/>
      <c r="F200"/>
      <c r="G200"/>
      <c r="H200"/>
      <c r="I200"/>
      <c r="J200"/>
      <c r="K200"/>
      <c r="L200"/>
      <c r="M200"/>
      <c r="N200"/>
      <c r="O200"/>
      <c r="P200"/>
      <c r="Q200"/>
      <c r="R200"/>
      <c r="S200"/>
      <c r="T200"/>
      <c r="V200" s="66" t="s">
        <v>214</v>
      </c>
      <c r="W200" s="16" t="str">
        <f>IFERROR(VLOOKUP(CLEAN($V200),'All Security Controls'!A:I, 2, FALSE),"---")</f>
        <v>Authenticator Management  | No Embedded Unencrypted Status Authenticators</v>
      </c>
      <c r="X200" s="14" t="str">
        <f>IFERROR(VLOOKUP(CLEAN($V200),'All Security Controls'!$A:$I, 4, FALSE),"---")</f>
        <v>CRWG White Criticality Control</v>
      </c>
      <c r="Y200" s="14" t="str">
        <f>IFERROR(VLOOKUP(CLEAN($V200),'All Security Controls'!$A:$I,5, FALSE),"---")</f>
        <v>Annually</v>
      </c>
      <c r="Z200" s="14" t="str">
        <f>IFERROR(VLOOKUP(CLEAN($V200),'All Security Controls'!$A:$I,6, FALSE),"---")</f>
        <v>Manual</v>
      </c>
      <c r="AA200" s="14" t="str">
        <f>IFERROR(VLOOKUP(CLEAN($V200),'All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00" s="14" t="str">
        <f>IFERROR(VLOOKUP(CLEAN($V200),'All Security Controls'!$A:$I,8, FALSE),"---")</f>
        <v>POA&amp;M</v>
      </c>
      <c r="AC200" s="14" t="str">
        <f>IFERROR(VLOOKUP(CLEAN($V200),'All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00" s="26">
        <v>199</v>
      </c>
    </row>
    <row r="201" spans="1:30" s="10" customFormat="1">
      <c r="A201"/>
      <c r="B201"/>
      <c r="C201"/>
      <c r="D201"/>
      <c r="E201"/>
      <c r="F201"/>
      <c r="G201"/>
      <c r="H201"/>
      <c r="I201"/>
      <c r="J201"/>
      <c r="K201"/>
      <c r="L201"/>
      <c r="M201"/>
      <c r="N201"/>
      <c r="O201"/>
      <c r="P201"/>
      <c r="Q201"/>
      <c r="R201"/>
      <c r="S201"/>
      <c r="T201"/>
      <c r="V201" s="66" t="s">
        <v>215</v>
      </c>
      <c r="W201" s="16" t="str">
        <f>IFERROR(VLOOKUP(CLEAN($V201),'All Security Controls'!A:I, 2, FALSE),"---")</f>
        <v>Authenticator Management  | Multiple Information System Accounts</v>
      </c>
      <c r="X201" s="14" t="str">
        <f>IFERROR(VLOOKUP(CLEAN($V201),'All Security Controls'!$A:$I, 4, FALSE),"---")</f>
        <v>CRWG White Criticality Control</v>
      </c>
      <c r="Y201" s="14" t="str">
        <f>IFERROR(VLOOKUP(CLEAN($V201),'All Security Controls'!$A:$I,5, FALSE),"---")</f>
        <v>Annually</v>
      </c>
      <c r="Z201" s="14" t="str">
        <f>IFERROR(VLOOKUP(CLEAN($V201),'All Security Controls'!$A:$I,6, FALSE),"---")</f>
        <v>Manual</v>
      </c>
      <c r="AA201" s="14" t="str">
        <f>IFERROR(VLOOKUP(CLEAN($V201),'All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01" s="14" t="str">
        <f>IFERROR(VLOOKUP(CLEAN($V201),'All Security Controls'!$A:$I,8, FALSE),"---")</f>
        <v>POA&amp;M</v>
      </c>
      <c r="AC201" s="14" t="str">
        <f>IFERROR(VLOOKUP(CLEAN($V201),'All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01" s="26">
        <v>200</v>
      </c>
    </row>
    <row r="202" spans="1:30" s="10" customFormat="1">
      <c r="A202"/>
      <c r="B202"/>
      <c r="C202"/>
      <c r="D202"/>
      <c r="E202"/>
      <c r="F202"/>
      <c r="G202"/>
      <c r="H202"/>
      <c r="I202"/>
      <c r="J202"/>
      <c r="K202"/>
      <c r="L202"/>
      <c r="M202"/>
      <c r="N202"/>
      <c r="O202"/>
      <c r="P202"/>
      <c r="Q202"/>
      <c r="R202"/>
      <c r="S202"/>
      <c r="T202"/>
      <c r="V202" s="66" t="s">
        <v>216</v>
      </c>
      <c r="W202" s="16" t="str">
        <f>IFERROR(VLOOKUP(CLEAN($V202),'All Security Controls'!A:I, 2, FALSE),"---")</f>
        <v>Authenticator Management  | Hardware Token-Based Authentication</v>
      </c>
      <c r="X202" s="14" t="str">
        <f>IFERROR(VLOOKUP(CLEAN($V202),'All Security Controls'!$A:$I, 4, FALSE),"---")</f>
        <v>CRWG White Criticality Control</v>
      </c>
      <c r="Y202" s="14" t="str">
        <f>IFERROR(VLOOKUP(CLEAN($V202),'All Security Controls'!$A:$I,5, FALSE),"---")</f>
        <v>Annually</v>
      </c>
      <c r="Z202" s="14" t="str">
        <f>IFERROR(VLOOKUP(CLEAN($V202),'All Security Controls'!$A:$I,6, FALSE),"---")</f>
        <v>Manual</v>
      </c>
      <c r="AA202" s="14" t="str">
        <f>IFERROR(VLOOKUP(CLEAN($V202),'All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02" s="14" t="str">
        <f>IFERROR(VLOOKUP(CLEAN($V202),'All Security Controls'!$A:$I,8, FALSE),"---")</f>
        <v>POA&amp;M</v>
      </c>
      <c r="AC202" s="14" t="str">
        <f>IFERROR(VLOOKUP(CLEAN($V202),'All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02" s="26">
        <v>201</v>
      </c>
    </row>
    <row r="203" spans="1:30" s="10" customFormat="1">
      <c r="A203"/>
      <c r="B203"/>
      <c r="C203"/>
      <c r="D203"/>
      <c r="E203"/>
      <c r="F203"/>
      <c r="G203"/>
      <c r="H203"/>
      <c r="I203"/>
      <c r="J203"/>
      <c r="K203"/>
      <c r="L203"/>
      <c r="M203"/>
      <c r="N203"/>
      <c r="O203"/>
      <c r="P203"/>
      <c r="Q203"/>
      <c r="R203"/>
      <c r="S203"/>
      <c r="T203"/>
      <c r="V203" s="66" t="s">
        <v>217</v>
      </c>
      <c r="W203" s="16" t="str">
        <f>IFERROR(VLOOKUP(CLEAN($V203),'All Security Controls'!A:I, 2, FALSE),"---")</f>
        <v>Authenticator Management  | Expiration of Cached Authenticators</v>
      </c>
      <c r="X203" s="14" t="str">
        <f>IFERROR(VLOOKUP(CLEAN($V203),'All Security Controls'!$A:$I, 4, FALSE),"---")</f>
        <v>CRWG White Criticality Control</v>
      </c>
      <c r="Y203" s="14" t="str">
        <f>IFERROR(VLOOKUP(CLEAN($V203),'All Security Controls'!$A:$I,5, FALSE),"---")</f>
        <v>Annually</v>
      </c>
      <c r="Z203" s="14" t="str">
        <f>IFERROR(VLOOKUP(CLEAN($V203),'All Security Controls'!$A:$I,6, FALSE),"---")</f>
        <v>Manual</v>
      </c>
      <c r="AA203" s="14" t="str">
        <f>IFERROR(VLOOKUP(CLEAN($V203),'All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03" s="14" t="str">
        <f>IFERROR(VLOOKUP(CLEAN($V203),'All Security Controls'!$A:$I,8, FALSE),"---")</f>
        <v>POA&amp;M</v>
      </c>
      <c r="AC203" s="14" t="str">
        <f>IFERROR(VLOOKUP(CLEAN($V203),'All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03" s="26">
        <v>202</v>
      </c>
    </row>
    <row r="204" spans="1:30" s="10" customFormat="1">
      <c r="A204"/>
      <c r="B204"/>
      <c r="C204"/>
      <c r="D204"/>
      <c r="E204"/>
      <c r="F204"/>
      <c r="G204"/>
      <c r="H204"/>
      <c r="I204"/>
      <c r="J204"/>
      <c r="K204"/>
      <c r="L204"/>
      <c r="M204"/>
      <c r="N204"/>
      <c r="O204"/>
      <c r="P204"/>
      <c r="Q204"/>
      <c r="R204"/>
      <c r="S204"/>
      <c r="T204"/>
      <c r="V204" s="66" t="s">
        <v>218</v>
      </c>
      <c r="W204" s="16" t="str">
        <f>IFERROR(VLOOKUP(CLEAN($V204),'All Security Controls'!A:I, 2, FALSE),"---")</f>
        <v>Authenticator Management  | Managing Content of PKI Trust Stores</v>
      </c>
      <c r="X204" s="14" t="str">
        <f>IFERROR(VLOOKUP(CLEAN($V204),'All Security Controls'!$A:$I, 4, FALSE),"---")</f>
        <v>CRWG White Criticality Control</v>
      </c>
      <c r="Y204" s="14" t="str">
        <f>IFERROR(VLOOKUP(CLEAN($V204),'All Security Controls'!$A:$I,5, FALSE),"---")</f>
        <v>Annually</v>
      </c>
      <c r="Z204" s="14" t="str">
        <f>IFERROR(VLOOKUP(CLEAN($V204),'All Security Controls'!$A:$I,6, FALSE),"---")</f>
        <v>Manual</v>
      </c>
      <c r="AA204" s="14" t="str">
        <f>IFERROR(VLOOKUP(CLEAN($V204),'All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04" s="14" t="str">
        <f>IFERROR(VLOOKUP(CLEAN($V204),'All Security Controls'!$A:$I,8, FALSE),"---")</f>
        <v>POA&amp;M</v>
      </c>
      <c r="AC204" s="14" t="str">
        <f>IFERROR(VLOOKUP(CLEAN($V204),'All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04" s="26">
        <v>203</v>
      </c>
    </row>
    <row r="205" spans="1:30" s="10" customFormat="1">
      <c r="A205"/>
      <c r="B205"/>
      <c r="C205"/>
      <c r="D205"/>
      <c r="E205"/>
      <c r="F205"/>
      <c r="G205"/>
      <c r="H205"/>
      <c r="I205"/>
      <c r="J205"/>
      <c r="K205"/>
      <c r="L205"/>
      <c r="M205"/>
      <c r="N205"/>
      <c r="O205"/>
      <c r="P205"/>
      <c r="Q205"/>
      <c r="R205"/>
      <c r="S205"/>
      <c r="T205"/>
      <c r="V205" s="66" t="s">
        <v>219</v>
      </c>
      <c r="W205" s="16" t="str">
        <f>IFERROR(VLOOKUP(CLEAN($V205),'All Security Controls'!A:I, 2, FALSE),"---")</f>
        <v xml:space="preserve">Authenticator Feedback </v>
      </c>
      <c r="X205" s="14" t="str">
        <f>IFERROR(VLOOKUP(CLEAN($V205),'All Security Controls'!$A:$I, 4, FALSE),"---")</f>
        <v>CRWG White Criticality Control</v>
      </c>
      <c r="Y205" s="14" t="str">
        <f>IFERROR(VLOOKUP(CLEAN($V205),'All Security Controls'!$A:$I,5, FALSE),"---")</f>
        <v>Annually</v>
      </c>
      <c r="Z205" s="14" t="str">
        <f>IFERROR(VLOOKUP(CLEAN($V205),'All Security Controls'!$A:$I,6, FALSE),"---")</f>
        <v>Manual</v>
      </c>
      <c r="AA205" s="14" t="str">
        <f>IFERROR(VLOOKUP(CLEAN($V205),'All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05" s="14" t="str">
        <f>IFERROR(VLOOKUP(CLEAN($V205),'All Security Controls'!$A:$I,8, FALSE),"---")</f>
        <v>POA&amp;M</v>
      </c>
      <c r="AC205" s="14" t="str">
        <f>IFERROR(VLOOKUP(CLEAN($V205),'All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05" s="26">
        <v>204</v>
      </c>
    </row>
    <row r="206" spans="1:30" s="10" customFormat="1">
      <c r="A206"/>
      <c r="B206"/>
      <c r="C206"/>
      <c r="D206"/>
      <c r="E206"/>
      <c r="F206"/>
      <c r="G206"/>
      <c r="H206"/>
      <c r="I206"/>
      <c r="J206"/>
      <c r="K206"/>
      <c r="L206"/>
      <c r="M206"/>
      <c r="N206"/>
      <c r="O206"/>
      <c r="P206"/>
      <c r="Q206"/>
      <c r="R206"/>
      <c r="S206"/>
      <c r="T206"/>
      <c r="V206" s="66" t="s">
        <v>220</v>
      </c>
      <c r="W206" s="16" t="str">
        <f>IFERROR(VLOOKUP(CLEAN($V206),'All Security Controls'!A:I, 2, FALSE),"---")</f>
        <v xml:space="preserve">Cryptographic Module Authentication </v>
      </c>
      <c r="X206" s="14" t="str">
        <f>IFERROR(VLOOKUP(CLEAN($V206),'All Security Controls'!$A:$I, 4, FALSE),"---")</f>
        <v>CRWG Yellow Criticality Control</v>
      </c>
      <c r="Y206" s="14" t="str">
        <f>IFERROR(VLOOKUP(CLEAN($V206),'All Security Controls'!$A:$I,5, FALSE),"---")</f>
        <v>Quarterly</v>
      </c>
      <c r="Z206" s="14" t="str">
        <f>IFERROR(VLOOKUP(CLEAN($V206),'All Security Controls'!$A:$I,6, FALSE),"---")</f>
        <v>Manual</v>
      </c>
      <c r="AA206" s="14" t="str">
        <f>IFERROR(VLOOKUP(CLEAN($V206),'All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06" s="14" t="str">
        <f>IFERROR(VLOOKUP(CLEAN($V206),'All Security Controls'!$A:$I,8, FALSE),"---")</f>
        <v>POA&amp;M</v>
      </c>
      <c r="AC206" s="14" t="str">
        <f>IFERROR(VLOOKUP(CLEAN($V206),'All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06" s="26">
        <v>205</v>
      </c>
    </row>
    <row r="207" spans="1:30" s="10" customFormat="1">
      <c r="A207"/>
      <c r="B207"/>
      <c r="C207"/>
      <c r="D207"/>
      <c r="E207"/>
      <c r="F207"/>
      <c r="G207"/>
      <c r="H207"/>
      <c r="I207"/>
      <c r="J207"/>
      <c r="K207"/>
      <c r="L207"/>
      <c r="M207"/>
      <c r="N207"/>
      <c r="O207"/>
      <c r="P207"/>
      <c r="Q207"/>
      <c r="R207"/>
      <c r="S207"/>
      <c r="T207"/>
      <c r="V207" s="66" t="s">
        <v>221</v>
      </c>
      <c r="W207" s="16" t="str">
        <f>IFERROR(VLOOKUP(CLEAN($V207),'All Security Controls'!A:I, 2, FALSE),"---")</f>
        <v xml:space="preserve">Identification And Authentication (Non-Organizational Users) </v>
      </c>
      <c r="X207" s="14" t="str">
        <f>IFERROR(VLOOKUP(CLEAN($V207),'All Security Controls'!$A:$I, 4, FALSE),"---")</f>
        <v>CRWG White Criticality Control</v>
      </c>
      <c r="Y207" s="14" t="str">
        <f>IFERROR(VLOOKUP(CLEAN($V207),'All Security Controls'!$A:$I,5, FALSE),"---")</f>
        <v>Annually</v>
      </c>
      <c r="Z207" s="14" t="str">
        <f>IFERROR(VLOOKUP(CLEAN($V207),'All Security Controls'!$A:$I,6, FALSE),"---")</f>
        <v>Manual</v>
      </c>
      <c r="AA207" s="14" t="str">
        <f>IFERROR(VLOOKUP(CLEAN($V207),'All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07" s="14" t="str">
        <f>IFERROR(VLOOKUP(CLEAN($V207),'All Security Controls'!$A:$I,8, FALSE),"---")</f>
        <v>POA&amp;M</v>
      </c>
      <c r="AC207" s="14" t="str">
        <f>IFERROR(VLOOKUP(CLEAN($V207),'All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07" s="26">
        <v>206</v>
      </c>
    </row>
    <row r="208" spans="1:30" s="10" customFormat="1">
      <c r="A208"/>
      <c r="B208"/>
      <c r="C208"/>
      <c r="D208"/>
      <c r="E208"/>
      <c r="F208"/>
      <c r="G208"/>
      <c r="H208"/>
      <c r="I208"/>
      <c r="J208"/>
      <c r="K208"/>
      <c r="L208"/>
      <c r="M208"/>
      <c r="N208"/>
      <c r="O208"/>
      <c r="P208"/>
      <c r="Q208"/>
      <c r="R208"/>
      <c r="S208"/>
      <c r="T208"/>
      <c r="V208" s="66" t="s">
        <v>222</v>
      </c>
      <c r="W208" s="16" t="str">
        <f>IFERROR(VLOOKUP(CLEAN($V208),'All Security Controls'!A:I, 2, FALSE),"---")</f>
        <v>Identification And Authentication (Non-Organizational Users) | Acceptance of PIV Credentials from Other Agencies</v>
      </c>
      <c r="X208" s="14" t="str">
        <f>IFERROR(VLOOKUP(CLEAN($V208),'All Security Controls'!$A:$I, 4, FALSE),"---")</f>
        <v>CRWG White Criticality Control</v>
      </c>
      <c r="Y208" s="14" t="str">
        <f>IFERROR(VLOOKUP(CLEAN($V208),'All Security Controls'!$A:$I,5, FALSE),"---")</f>
        <v>Annually</v>
      </c>
      <c r="Z208" s="14" t="str">
        <f>IFERROR(VLOOKUP(CLEAN($V208),'All Security Controls'!$A:$I,6, FALSE),"---")</f>
        <v>Manual</v>
      </c>
      <c r="AA208" s="14" t="str">
        <f>IFERROR(VLOOKUP(CLEAN($V208),'All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08" s="14" t="str">
        <f>IFERROR(VLOOKUP(CLEAN($V208),'All Security Controls'!$A:$I,8, FALSE),"---")</f>
        <v>POA&amp;M</v>
      </c>
      <c r="AC208" s="14" t="str">
        <f>IFERROR(VLOOKUP(CLEAN($V208),'All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08" s="26">
        <v>207</v>
      </c>
    </row>
    <row r="209" spans="1:30" s="10" customFormat="1">
      <c r="A209"/>
      <c r="B209"/>
      <c r="C209"/>
      <c r="D209"/>
      <c r="E209"/>
      <c r="F209"/>
      <c r="G209"/>
      <c r="H209"/>
      <c r="I209"/>
      <c r="J209"/>
      <c r="K209"/>
      <c r="L209"/>
      <c r="M209"/>
      <c r="N209"/>
      <c r="O209"/>
      <c r="P209"/>
      <c r="Q209"/>
      <c r="R209"/>
      <c r="S209"/>
      <c r="T209"/>
      <c r="V209" s="66" t="s">
        <v>223</v>
      </c>
      <c r="W209" s="16" t="str">
        <f>IFERROR(VLOOKUP(CLEAN($V209),'All Security Controls'!A:I, 2, FALSE),"---")</f>
        <v>Identification And Authentication (Non-Organizational Users)  | Acceptance of Third-Party Credentials</v>
      </c>
      <c r="X209" s="14" t="str">
        <f>IFERROR(VLOOKUP(CLEAN($V209),'All Security Controls'!$A:$I, 4, FALSE),"---")</f>
        <v>CRWG White Criticality Control</v>
      </c>
      <c r="Y209" s="14" t="str">
        <f>IFERROR(VLOOKUP(CLEAN($V209),'All Security Controls'!$A:$I,5, FALSE),"---")</f>
        <v>Annually</v>
      </c>
      <c r="Z209" s="14" t="str">
        <f>IFERROR(VLOOKUP(CLEAN($V209),'All Security Controls'!$A:$I,6, FALSE),"---")</f>
        <v>Manual</v>
      </c>
      <c r="AA209" s="14" t="str">
        <f>IFERROR(VLOOKUP(CLEAN($V209),'All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09" s="14" t="str">
        <f>IFERROR(VLOOKUP(CLEAN($V209),'All Security Controls'!$A:$I,8, FALSE),"---")</f>
        <v>POA&amp;M</v>
      </c>
      <c r="AC209" s="14" t="str">
        <f>IFERROR(VLOOKUP(CLEAN($V209),'All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09" s="26">
        <v>208</v>
      </c>
    </row>
    <row r="210" spans="1:30" s="10" customFormat="1">
      <c r="A210"/>
      <c r="B210"/>
      <c r="C210"/>
      <c r="D210"/>
      <c r="E210"/>
      <c r="F210"/>
      <c r="G210"/>
      <c r="H210"/>
      <c r="I210"/>
      <c r="J210"/>
      <c r="K210"/>
      <c r="L210"/>
      <c r="M210"/>
      <c r="N210"/>
      <c r="O210"/>
      <c r="P210"/>
      <c r="Q210"/>
      <c r="R210"/>
      <c r="S210"/>
      <c r="T210"/>
      <c r="V210" s="66" t="s">
        <v>224</v>
      </c>
      <c r="W210" s="16" t="str">
        <f>IFERROR(VLOOKUP(CLEAN($V210),'All Security Controls'!A:I, 2, FALSE),"---")</f>
        <v>Identification And Authentication (Non-Organizational Users)  | Use of FICAM-Approved Products</v>
      </c>
      <c r="X210" s="14" t="str">
        <f>IFERROR(VLOOKUP(CLEAN($V210),'All Security Controls'!$A:$I, 4, FALSE),"---")</f>
        <v>CRWG White Criticality Control</v>
      </c>
      <c r="Y210" s="14" t="str">
        <f>IFERROR(VLOOKUP(CLEAN($V210),'All Security Controls'!$A:$I,5, FALSE),"---")</f>
        <v>Annually</v>
      </c>
      <c r="Z210" s="14" t="str">
        <f>IFERROR(VLOOKUP(CLEAN($V210),'All Security Controls'!$A:$I,6, FALSE),"---")</f>
        <v>Manual</v>
      </c>
      <c r="AA210" s="14" t="str">
        <f>IFERROR(VLOOKUP(CLEAN($V210),'All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10" s="14" t="str">
        <f>IFERROR(VLOOKUP(CLEAN($V210),'All Security Controls'!$A:$I,8, FALSE),"---")</f>
        <v>POA&amp;M</v>
      </c>
      <c r="AC210" s="14" t="str">
        <f>IFERROR(VLOOKUP(CLEAN($V210),'All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10" s="26">
        <v>209</v>
      </c>
    </row>
    <row r="211" spans="1:30" s="10" customFormat="1">
      <c r="A211"/>
      <c r="B211"/>
      <c r="C211"/>
      <c r="D211"/>
      <c r="E211"/>
      <c r="F211"/>
      <c r="G211"/>
      <c r="H211"/>
      <c r="I211"/>
      <c r="J211"/>
      <c r="K211"/>
      <c r="L211"/>
      <c r="M211"/>
      <c r="N211"/>
      <c r="O211"/>
      <c r="P211"/>
      <c r="Q211"/>
      <c r="R211"/>
      <c r="S211"/>
      <c r="T211"/>
      <c r="V211" s="66" t="s">
        <v>225</v>
      </c>
      <c r="W211" s="16" t="str">
        <f>IFERROR(VLOOKUP(CLEAN($V211),'All Security Controls'!A:I, 2, FALSE),"---")</f>
        <v>Identification And Authentication (Non-Organizational Users)  | Use of FICAM-Issued Products</v>
      </c>
      <c r="X211" s="14" t="str">
        <f>IFERROR(VLOOKUP(CLEAN($V211),'All Security Controls'!$A:$I, 4, FALSE),"---")</f>
        <v>CRWG White Criticality Control</v>
      </c>
      <c r="Y211" s="14" t="str">
        <f>IFERROR(VLOOKUP(CLEAN($V211),'All Security Controls'!$A:$I,5, FALSE),"---")</f>
        <v>Annually</v>
      </c>
      <c r="Z211" s="14" t="str">
        <f>IFERROR(VLOOKUP(CLEAN($V211),'All Security Controls'!$A:$I,6, FALSE),"---")</f>
        <v>Manual</v>
      </c>
      <c r="AA211" s="14" t="str">
        <f>IFERROR(VLOOKUP(CLEAN($V211),'All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11" s="14" t="str">
        <f>IFERROR(VLOOKUP(CLEAN($V211),'All Security Controls'!$A:$I,8, FALSE),"---")</f>
        <v>POA&amp;M</v>
      </c>
      <c r="AC211" s="14" t="str">
        <f>IFERROR(VLOOKUP(CLEAN($V211),'All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11" s="26">
        <v>210</v>
      </c>
    </row>
    <row r="212" spans="1:30" s="10" customFormat="1">
      <c r="A212"/>
      <c r="B212"/>
      <c r="C212"/>
      <c r="D212"/>
      <c r="E212"/>
      <c r="F212"/>
      <c r="G212"/>
      <c r="H212"/>
      <c r="I212"/>
      <c r="J212"/>
      <c r="K212"/>
      <c r="L212"/>
      <c r="M212"/>
      <c r="N212"/>
      <c r="O212"/>
      <c r="P212"/>
      <c r="Q212"/>
      <c r="R212"/>
      <c r="S212"/>
      <c r="T212"/>
      <c r="V212" s="66" t="s">
        <v>226</v>
      </c>
      <c r="W212" s="16" t="str">
        <f>IFERROR(VLOOKUP(CLEAN($V212),'All Security Controls'!A:I, 2, FALSE),"---")</f>
        <v>Adaptive Identification and Authentication</v>
      </c>
      <c r="X212" s="14" t="str">
        <f>IFERROR(VLOOKUP(CLEAN($V212),'All Security Controls'!$A:$I, 4, FALSE),"---")</f>
        <v>CRWG White Criticality Control</v>
      </c>
      <c r="Y212" s="14" t="str">
        <f>IFERROR(VLOOKUP(CLEAN($V212),'All Security Controls'!$A:$I,5, FALSE),"---")</f>
        <v>Annually</v>
      </c>
      <c r="Z212" s="14" t="str">
        <f>IFERROR(VLOOKUP(CLEAN($V212),'All Security Controls'!$A:$I,6, FALSE),"---")</f>
        <v>Manual</v>
      </c>
      <c r="AA212" s="14" t="str">
        <f>IFERROR(VLOOKUP(CLEAN($V212),'All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12" s="14" t="str">
        <f>IFERROR(VLOOKUP(CLEAN($V212),'All Security Controls'!$A:$I,8, FALSE),"---")</f>
        <v>POA&amp;M</v>
      </c>
      <c r="AC212" s="14" t="str">
        <f>IFERROR(VLOOKUP(CLEAN($V212),'All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12" s="26">
        <v>211</v>
      </c>
    </row>
    <row r="213" spans="1:30" s="10" customFormat="1">
      <c r="A213"/>
      <c r="B213"/>
      <c r="C213"/>
      <c r="D213"/>
      <c r="E213"/>
      <c r="F213"/>
      <c r="G213"/>
      <c r="H213"/>
      <c r="I213"/>
      <c r="J213"/>
      <c r="K213"/>
      <c r="L213"/>
      <c r="M213"/>
      <c r="N213"/>
      <c r="O213"/>
      <c r="P213"/>
      <c r="Q213"/>
      <c r="R213"/>
      <c r="S213"/>
      <c r="T213"/>
      <c r="V213" s="66" t="s">
        <v>227</v>
      </c>
      <c r="W213" s="16" t="str">
        <f>IFERROR(VLOOKUP(CLEAN($V213),'All Security Controls'!A:I, 2, FALSE),"---")</f>
        <v>Re-authentication</v>
      </c>
      <c r="X213" s="14" t="str">
        <f>IFERROR(VLOOKUP(CLEAN($V213),'All Security Controls'!$A:$I, 4, FALSE),"---")</f>
        <v>CRWG White Criticality Control</v>
      </c>
      <c r="Y213" s="14" t="str">
        <f>IFERROR(VLOOKUP(CLEAN($V213),'All Security Controls'!$A:$I,5, FALSE),"---")</f>
        <v>Annually</v>
      </c>
      <c r="Z213" s="14" t="str">
        <f>IFERROR(VLOOKUP(CLEAN($V213),'All Security Controls'!$A:$I,6, FALSE),"---")</f>
        <v>Manual</v>
      </c>
      <c r="AA213" s="14" t="str">
        <f>IFERROR(VLOOKUP(CLEAN($V213),'All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13" s="14" t="str">
        <f>IFERROR(VLOOKUP(CLEAN($V213),'All Security Controls'!$A:$I,8, FALSE),"---")</f>
        <v>POA&amp;M</v>
      </c>
      <c r="AC213" s="14" t="str">
        <f>IFERROR(VLOOKUP(CLEAN($V213),'All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13" s="26">
        <v>212</v>
      </c>
    </row>
    <row r="214" spans="1:30" s="10" customFormat="1">
      <c r="A214"/>
      <c r="B214"/>
      <c r="C214"/>
      <c r="D214"/>
      <c r="E214"/>
      <c r="F214"/>
      <c r="G214"/>
      <c r="H214"/>
      <c r="I214"/>
      <c r="J214"/>
      <c r="K214"/>
      <c r="L214"/>
      <c r="M214"/>
      <c r="N214"/>
      <c r="O214"/>
      <c r="P214"/>
      <c r="Q214"/>
      <c r="R214"/>
      <c r="S214"/>
      <c r="T214"/>
      <c r="V214" s="66" t="s">
        <v>228</v>
      </c>
      <c r="W214" s="16" t="str">
        <f>IFERROR(VLOOKUP(CLEAN($V214),'All Security Controls'!A:I, 2, FALSE),"---")</f>
        <v>Consent</v>
      </c>
      <c r="X214" s="14" t="str">
        <f>IFERROR(VLOOKUP(CLEAN($V214),'All Security Controls'!$A:$I, 4, FALSE),"---")</f>
        <v>CRWG White Criticality Control</v>
      </c>
      <c r="Y214" s="14" t="str">
        <f>IFERROR(VLOOKUP(CLEAN($V214),'All Security Controls'!$A:$I,5, FALSE),"---")</f>
        <v>Annually</v>
      </c>
      <c r="Z214" s="14" t="str">
        <f>IFERROR(VLOOKUP(CLEAN($V214),'All Security Controls'!$A:$I,6, FALSE),"---")</f>
        <v>Manual</v>
      </c>
      <c r="AA214" s="14" t="str">
        <f>IFERROR(VLOOKUP(CLEAN($V214),'All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14" s="14" t="str">
        <f>IFERROR(VLOOKUP(CLEAN($V214),'All Security Controls'!$A:$I,8, FALSE),"---")</f>
        <v>POA&amp;M</v>
      </c>
      <c r="AC214" s="14" t="str">
        <f>IFERROR(VLOOKUP(CLEAN($V214),'All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14" s="26">
        <v>213</v>
      </c>
    </row>
    <row r="215" spans="1:30" s="10" customFormat="1">
      <c r="A215"/>
      <c r="B215"/>
      <c r="C215"/>
      <c r="D215"/>
      <c r="E215"/>
      <c r="F215"/>
      <c r="G215"/>
      <c r="H215"/>
      <c r="I215"/>
      <c r="J215"/>
      <c r="K215"/>
      <c r="L215"/>
      <c r="M215"/>
      <c r="N215"/>
      <c r="O215"/>
      <c r="P215"/>
      <c r="Q215"/>
      <c r="R215"/>
      <c r="S215"/>
      <c r="T215"/>
      <c r="V215" s="66" t="s">
        <v>229</v>
      </c>
      <c r="W215" s="16" t="str">
        <f>IFERROR(VLOOKUP(CLEAN($V215),'All Security Controls'!A:I, 2, FALSE),"---")</f>
        <v>Individual Access</v>
      </c>
      <c r="X215" s="14" t="str">
        <f>IFERROR(VLOOKUP(CLEAN($V215),'All Security Controls'!$A:$I, 4, FALSE),"---")</f>
        <v>CRWG White Criticality Control</v>
      </c>
      <c r="Y215" s="14" t="str">
        <f>IFERROR(VLOOKUP(CLEAN($V215),'All Security Controls'!$A:$I,5, FALSE),"---")</f>
        <v>Annually</v>
      </c>
      <c r="Z215" s="14" t="str">
        <f>IFERROR(VLOOKUP(CLEAN($V215),'All Security Controls'!$A:$I,6, FALSE),"---")</f>
        <v>Manual</v>
      </c>
      <c r="AA215" s="14" t="str">
        <f>IFERROR(VLOOKUP(CLEAN($V215),'All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15" s="14" t="str">
        <f>IFERROR(VLOOKUP(CLEAN($V215),'All Security Controls'!$A:$I,8, FALSE),"---")</f>
        <v>POA&amp;M</v>
      </c>
      <c r="AC215" s="14" t="str">
        <f>IFERROR(VLOOKUP(CLEAN($V215),'All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15" s="26">
        <v>214</v>
      </c>
    </row>
    <row r="216" spans="1:30" s="10" customFormat="1">
      <c r="A216"/>
      <c r="B216"/>
      <c r="C216"/>
      <c r="D216"/>
      <c r="E216"/>
      <c r="F216"/>
      <c r="G216"/>
      <c r="H216"/>
      <c r="I216"/>
      <c r="J216"/>
      <c r="K216"/>
      <c r="L216"/>
      <c r="M216"/>
      <c r="N216"/>
      <c r="O216"/>
      <c r="P216"/>
      <c r="Q216"/>
      <c r="R216"/>
      <c r="S216"/>
      <c r="T216"/>
      <c r="V216" s="66" t="s">
        <v>230</v>
      </c>
      <c r="W216" s="16" t="str">
        <f>IFERROR(VLOOKUP(CLEAN($V216),'All Security Controls'!A:I, 2, FALSE),"---")</f>
        <v>Redress</v>
      </c>
      <c r="X216" s="14" t="str">
        <f>IFERROR(VLOOKUP(CLEAN($V216),'All Security Controls'!$A:$I, 4, FALSE),"---")</f>
        <v>CRWG White Criticality Control</v>
      </c>
      <c r="Y216" s="14" t="str">
        <f>IFERROR(VLOOKUP(CLEAN($V216),'All Security Controls'!$A:$I,5, FALSE),"---")</f>
        <v>Annually</v>
      </c>
      <c r="Z216" s="14" t="str">
        <f>IFERROR(VLOOKUP(CLEAN($V216),'All Security Controls'!$A:$I,6, FALSE),"---")</f>
        <v>Manual</v>
      </c>
      <c r="AA216" s="14" t="str">
        <f>IFERROR(VLOOKUP(CLEAN($V216),'All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16" s="14" t="str">
        <f>IFERROR(VLOOKUP(CLEAN($V216),'All Security Controls'!$A:$I,8, FALSE),"---")</f>
        <v>POA&amp;M</v>
      </c>
      <c r="AC216" s="14" t="str">
        <f>IFERROR(VLOOKUP(CLEAN($V216),'All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16" s="26">
        <v>215</v>
      </c>
    </row>
    <row r="217" spans="1:30" s="10" customFormat="1">
      <c r="A217"/>
      <c r="B217"/>
      <c r="C217"/>
      <c r="D217"/>
      <c r="E217"/>
      <c r="F217"/>
      <c r="G217"/>
      <c r="H217"/>
      <c r="I217"/>
      <c r="J217"/>
      <c r="K217"/>
      <c r="L217"/>
      <c r="M217"/>
      <c r="N217"/>
      <c r="O217"/>
      <c r="P217"/>
      <c r="Q217"/>
      <c r="R217"/>
      <c r="S217"/>
      <c r="T217"/>
      <c r="V217" s="66" t="s">
        <v>231</v>
      </c>
      <c r="W217" s="16" t="str">
        <f>IFERROR(VLOOKUP(CLEAN($V217),'All Security Controls'!A:I, 2, FALSE),"---")</f>
        <v>Complaint Management</v>
      </c>
      <c r="X217" s="14" t="str">
        <f>IFERROR(VLOOKUP(CLEAN($V217),'All Security Controls'!$A:$I, 4, FALSE),"---")</f>
        <v>CRWG White Criticality Control</v>
      </c>
      <c r="Y217" s="14" t="str">
        <f>IFERROR(VLOOKUP(CLEAN($V217),'All Security Controls'!$A:$I,5, FALSE),"---")</f>
        <v>Annually</v>
      </c>
      <c r="Z217" s="14" t="str">
        <f>IFERROR(VLOOKUP(CLEAN($V217),'All Security Controls'!$A:$I,6, FALSE),"---")</f>
        <v>Manual</v>
      </c>
      <c r="AA217" s="14" t="str">
        <f>IFERROR(VLOOKUP(CLEAN($V217),'All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17" s="14" t="str">
        <f>IFERROR(VLOOKUP(CLEAN($V217),'All Security Controls'!$A:$I,8, FALSE),"---")</f>
        <v>POA&amp;M</v>
      </c>
      <c r="AC217" s="14" t="str">
        <f>IFERROR(VLOOKUP(CLEAN($V217),'All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17" s="26">
        <v>216</v>
      </c>
    </row>
    <row r="218" spans="1:30" s="10" customFormat="1">
      <c r="A218"/>
      <c r="B218"/>
      <c r="C218"/>
      <c r="D218"/>
      <c r="E218"/>
      <c r="F218"/>
      <c r="G218"/>
      <c r="H218"/>
      <c r="I218"/>
      <c r="J218"/>
      <c r="K218"/>
      <c r="L218"/>
      <c r="M218"/>
      <c r="N218"/>
      <c r="O218"/>
      <c r="P218"/>
      <c r="Q218"/>
      <c r="R218"/>
      <c r="S218"/>
      <c r="T218"/>
      <c r="V218" s="66" t="s">
        <v>232</v>
      </c>
      <c r="W218" s="16" t="str">
        <f>IFERROR(VLOOKUP(CLEAN($V218),'All Security Controls'!A:I, 2, FALSE),"---")</f>
        <v xml:space="preserve">Incident Response Policy And Procedures </v>
      </c>
      <c r="X218" s="14" t="str">
        <f>IFERROR(VLOOKUP(CLEAN($V218),'All Security Controls'!$A:$I, 4, FALSE),"---")</f>
        <v>CRWG White Criticality Control</v>
      </c>
      <c r="Y218" s="14" t="str">
        <f>IFERROR(VLOOKUP(CLEAN($V218),'All Security Controls'!$A:$I,5, FALSE),"---")</f>
        <v>Annually</v>
      </c>
      <c r="Z218" s="14" t="str">
        <f>IFERROR(VLOOKUP(CLEAN($V218),'All Security Controls'!$A:$I,6, FALSE),"---")</f>
        <v>Manual</v>
      </c>
      <c r="AA218" s="14" t="str">
        <f>IFERROR(VLOOKUP(CLEAN($V218),'All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18" s="14" t="str">
        <f>IFERROR(VLOOKUP(CLEAN($V218),'All Security Controls'!$A:$I,8, FALSE),"---")</f>
        <v>POA&amp;M</v>
      </c>
      <c r="AC218" s="14" t="str">
        <f>IFERROR(VLOOKUP(CLEAN($V218),'All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18" s="26">
        <v>217</v>
      </c>
    </row>
    <row r="219" spans="1:30" s="10" customFormat="1">
      <c r="A219"/>
      <c r="B219"/>
      <c r="C219"/>
      <c r="D219"/>
      <c r="E219"/>
      <c r="F219"/>
      <c r="G219"/>
      <c r="H219"/>
      <c r="I219"/>
      <c r="J219"/>
      <c r="K219"/>
      <c r="L219"/>
      <c r="M219"/>
      <c r="N219"/>
      <c r="O219"/>
      <c r="P219"/>
      <c r="Q219"/>
      <c r="R219"/>
      <c r="S219"/>
      <c r="T219"/>
      <c r="V219" s="66" t="s">
        <v>233</v>
      </c>
      <c r="W219" s="16" t="str">
        <f>IFERROR(VLOOKUP(CLEAN($V219),'All Security Controls'!A:I, 2, FALSE),"---")</f>
        <v xml:space="preserve">Incident Response Training </v>
      </c>
      <c r="X219" s="14" t="str">
        <f>IFERROR(VLOOKUP(CLEAN($V219),'All Security Controls'!$A:$I, 4, FALSE),"---")</f>
        <v>CRWG White Criticality Control</v>
      </c>
      <c r="Y219" s="14" t="str">
        <f>IFERROR(VLOOKUP(CLEAN($V219),'All Security Controls'!$A:$I,5, FALSE),"---")</f>
        <v>Annually</v>
      </c>
      <c r="Z219" s="14" t="str">
        <f>IFERROR(VLOOKUP(CLEAN($V219),'All Security Controls'!$A:$I,6, FALSE),"---")</f>
        <v>Manual</v>
      </c>
      <c r="AA219" s="14" t="str">
        <f>IFERROR(VLOOKUP(CLEAN($V219),'All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19" s="14" t="str">
        <f>IFERROR(VLOOKUP(CLEAN($V219),'All Security Controls'!$A:$I,8, FALSE),"---")</f>
        <v>POA&amp;M</v>
      </c>
      <c r="AC219" s="14" t="str">
        <f>IFERROR(VLOOKUP(CLEAN($V219),'All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19" s="26">
        <v>218</v>
      </c>
    </row>
    <row r="220" spans="1:30" s="10" customFormat="1">
      <c r="A220"/>
      <c r="B220"/>
      <c r="C220"/>
      <c r="D220"/>
      <c r="E220"/>
      <c r="F220"/>
      <c r="G220"/>
      <c r="H220"/>
      <c r="I220"/>
      <c r="J220"/>
      <c r="K220"/>
      <c r="L220"/>
      <c r="M220"/>
      <c r="N220"/>
      <c r="O220"/>
      <c r="P220"/>
      <c r="Q220"/>
      <c r="R220"/>
      <c r="S220"/>
      <c r="T220"/>
      <c r="V220" s="66" t="s">
        <v>234</v>
      </c>
      <c r="W220" s="16" t="str">
        <f>IFERROR(VLOOKUP(CLEAN($V220),'All Security Controls'!A:I, 2, FALSE),"---")</f>
        <v>Incident Response Training | Simulated Events</v>
      </c>
      <c r="X220" s="14" t="str">
        <f>IFERROR(VLOOKUP(CLEAN($V220),'All Security Controls'!$A:$I, 4, FALSE),"---")</f>
        <v>CRWG White Criticality Control</v>
      </c>
      <c r="Y220" s="14" t="str">
        <f>IFERROR(VLOOKUP(CLEAN($V220),'All Security Controls'!$A:$I,5, FALSE),"---")</f>
        <v>Annually</v>
      </c>
      <c r="Z220" s="14" t="str">
        <f>IFERROR(VLOOKUP(CLEAN($V220),'All Security Controls'!$A:$I,6, FALSE),"---")</f>
        <v>Manual</v>
      </c>
      <c r="AA220" s="14" t="str">
        <f>IFERROR(VLOOKUP(CLEAN($V220),'All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20" s="14" t="str">
        <f>IFERROR(VLOOKUP(CLEAN($V220),'All Security Controls'!$A:$I,8, FALSE),"---")</f>
        <v>POA&amp;M</v>
      </c>
      <c r="AC220" s="14" t="str">
        <f>IFERROR(VLOOKUP(CLEAN($V220),'All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20" s="26">
        <v>219</v>
      </c>
    </row>
    <row r="221" spans="1:30" s="10" customFormat="1">
      <c r="A221"/>
      <c r="B221"/>
      <c r="C221"/>
      <c r="D221"/>
      <c r="E221"/>
      <c r="F221"/>
      <c r="G221"/>
      <c r="H221"/>
      <c r="I221"/>
      <c r="J221"/>
      <c r="K221"/>
      <c r="L221"/>
      <c r="M221"/>
      <c r="N221"/>
      <c r="O221"/>
      <c r="P221"/>
      <c r="Q221"/>
      <c r="R221"/>
      <c r="S221"/>
      <c r="T221"/>
      <c r="V221" s="66" t="s">
        <v>235</v>
      </c>
      <c r="W221" s="16" t="str">
        <f>IFERROR(VLOOKUP(CLEAN($V221),'All Security Controls'!A:I, 2, FALSE),"---")</f>
        <v>Incident Response Training | Automated Training Environments</v>
      </c>
      <c r="X221" s="14" t="str">
        <f>IFERROR(VLOOKUP(CLEAN($V221),'All Security Controls'!$A:$I, 4, FALSE),"---")</f>
        <v>CRWG White Criticality Control</v>
      </c>
      <c r="Y221" s="14" t="str">
        <f>IFERROR(VLOOKUP(CLEAN($V221),'All Security Controls'!$A:$I,5, FALSE),"---")</f>
        <v>Annually</v>
      </c>
      <c r="Z221" s="14" t="str">
        <f>IFERROR(VLOOKUP(CLEAN($V221),'All Security Controls'!$A:$I,6, FALSE),"---")</f>
        <v>Manual</v>
      </c>
      <c r="AA221" s="14" t="str">
        <f>IFERROR(VLOOKUP(CLEAN($V221),'All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21" s="14" t="str">
        <f>IFERROR(VLOOKUP(CLEAN($V221),'All Security Controls'!$A:$I,8, FALSE),"---")</f>
        <v>POA&amp;M</v>
      </c>
      <c r="AC221" s="14" t="str">
        <f>IFERROR(VLOOKUP(CLEAN($V221),'All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21" s="26">
        <v>220</v>
      </c>
    </row>
    <row r="222" spans="1:30" s="10" customFormat="1">
      <c r="A222"/>
      <c r="B222"/>
      <c r="C222"/>
      <c r="D222"/>
      <c r="E222"/>
      <c r="F222"/>
      <c r="G222"/>
      <c r="H222"/>
      <c r="I222"/>
      <c r="J222"/>
      <c r="K222"/>
      <c r="L222"/>
      <c r="M222"/>
      <c r="N222"/>
      <c r="O222"/>
      <c r="P222"/>
      <c r="Q222"/>
      <c r="R222"/>
      <c r="S222"/>
      <c r="T222"/>
      <c r="V222" s="66" t="s">
        <v>236</v>
      </c>
      <c r="W222" s="16" t="str">
        <f>IFERROR(VLOOKUP(CLEAN($V222),'All Security Controls'!A:I, 2, FALSE),"---")</f>
        <v xml:space="preserve">Incident Response Testing </v>
      </c>
      <c r="X222" s="14" t="str">
        <f>IFERROR(VLOOKUP(CLEAN($V222),'All Security Controls'!$A:$I, 4, FALSE),"---")</f>
        <v>CRWG White Criticality Control</v>
      </c>
      <c r="Y222" s="14" t="str">
        <f>IFERROR(VLOOKUP(CLEAN($V222),'All Security Controls'!$A:$I,5, FALSE),"---")</f>
        <v>Annually</v>
      </c>
      <c r="Z222" s="14" t="str">
        <f>IFERROR(VLOOKUP(CLEAN($V222),'All Security Controls'!$A:$I,6, FALSE),"---")</f>
        <v>Manual</v>
      </c>
      <c r="AA222" s="14" t="str">
        <f>IFERROR(VLOOKUP(CLEAN($V222),'All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22" s="14" t="str">
        <f>IFERROR(VLOOKUP(CLEAN($V222),'All Security Controls'!$A:$I,8, FALSE),"---")</f>
        <v>POA&amp;M</v>
      </c>
      <c r="AC222" s="14" t="str">
        <f>IFERROR(VLOOKUP(CLEAN($V222),'All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22" s="26">
        <v>221</v>
      </c>
    </row>
    <row r="223" spans="1:30" s="10" customFormat="1">
      <c r="A223"/>
      <c r="B223"/>
      <c r="C223"/>
      <c r="D223"/>
      <c r="E223"/>
      <c r="F223"/>
      <c r="G223"/>
      <c r="H223"/>
      <c r="I223"/>
      <c r="J223"/>
      <c r="K223"/>
      <c r="L223"/>
      <c r="M223"/>
      <c r="N223"/>
      <c r="O223"/>
      <c r="P223"/>
      <c r="Q223"/>
      <c r="R223"/>
      <c r="S223"/>
      <c r="T223"/>
      <c r="V223" s="66" t="s">
        <v>237</v>
      </c>
      <c r="W223" s="16" t="str">
        <f>IFERROR(VLOOKUP(CLEAN($V223),'All Security Controls'!A:I, 2, FALSE),"---")</f>
        <v>Incident Response Testing | Coordination with Related Plans</v>
      </c>
      <c r="X223" s="14" t="str">
        <f>IFERROR(VLOOKUP(CLEAN($V223),'All Security Controls'!$A:$I, 4, FALSE),"---")</f>
        <v>CRWG White Criticality Control</v>
      </c>
      <c r="Y223" s="14" t="str">
        <f>IFERROR(VLOOKUP(CLEAN($V223),'All Security Controls'!$A:$I,5, FALSE),"---")</f>
        <v>Annually</v>
      </c>
      <c r="Z223" s="14" t="str">
        <f>IFERROR(VLOOKUP(CLEAN($V223),'All Security Controls'!$A:$I,6, FALSE),"---")</f>
        <v>Manual</v>
      </c>
      <c r="AA223" s="14" t="str">
        <f>IFERROR(VLOOKUP(CLEAN($V223),'All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23" s="14" t="str">
        <f>IFERROR(VLOOKUP(CLEAN($V223),'All Security Controls'!$A:$I,8, FALSE),"---")</f>
        <v>POA&amp;M</v>
      </c>
      <c r="AC223" s="14" t="str">
        <f>IFERROR(VLOOKUP(CLEAN($V223),'All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23" s="26">
        <v>222</v>
      </c>
    </row>
    <row r="224" spans="1:30" s="10" customFormat="1">
      <c r="A224"/>
      <c r="B224"/>
      <c r="C224"/>
      <c r="D224"/>
      <c r="E224"/>
      <c r="F224"/>
      <c r="G224"/>
      <c r="H224"/>
      <c r="I224"/>
      <c r="J224"/>
      <c r="K224"/>
      <c r="L224"/>
      <c r="M224"/>
      <c r="N224"/>
      <c r="O224"/>
      <c r="P224"/>
      <c r="Q224"/>
      <c r="R224"/>
      <c r="S224"/>
      <c r="T224"/>
      <c r="V224" s="66" t="s">
        <v>238</v>
      </c>
      <c r="W224" s="16" t="str">
        <f>IFERROR(VLOOKUP(CLEAN($V224),'All Security Controls'!A:I, 2, FALSE),"---")</f>
        <v xml:space="preserve">Incident Handling </v>
      </c>
      <c r="X224" s="14" t="str">
        <f>IFERROR(VLOOKUP(CLEAN($V224),'All Security Controls'!$A:$I, 4, FALSE),"---")</f>
        <v>CRWG Yellow Criticality Control</v>
      </c>
      <c r="Y224" s="14" t="str">
        <f>IFERROR(VLOOKUP(CLEAN($V224),'All Security Controls'!$A:$I,5, FALSE),"---")</f>
        <v>Quarterly</v>
      </c>
      <c r="Z224" s="14" t="str">
        <f>IFERROR(VLOOKUP(CLEAN($V224),'All Security Controls'!$A:$I,6, FALSE),"---")</f>
        <v>Manual</v>
      </c>
      <c r="AA224" s="14" t="str">
        <f>IFERROR(VLOOKUP(CLEAN($V224),'All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24" s="14" t="str">
        <f>IFERROR(VLOOKUP(CLEAN($V224),'All Security Controls'!$A:$I,8, FALSE),"---")</f>
        <v>POA&amp;M</v>
      </c>
      <c r="AC224" s="14" t="str">
        <f>IFERROR(VLOOKUP(CLEAN($V224),'All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24" s="26">
        <v>223</v>
      </c>
    </row>
    <row r="225" spans="1:30" s="10" customFormat="1">
      <c r="A225"/>
      <c r="B225"/>
      <c r="C225"/>
      <c r="D225"/>
      <c r="E225"/>
      <c r="F225"/>
      <c r="G225"/>
      <c r="H225"/>
      <c r="I225"/>
      <c r="J225"/>
      <c r="K225"/>
      <c r="L225"/>
      <c r="M225"/>
      <c r="N225"/>
      <c r="O225"/>
      <c r="P225"/>
      <c r="Q225"/>
      <c r="R225"/>
      <c r="S225"/>
      <c r="T225"/>
      <c r="V225" s="66" t="s">
        <v>239</v>
      </c>
      <c r="W225" s="16" t="str">
        <f>IFERROR(VLOOKUP(CLEAN($V225),'All Security Controls'!A:I, 2, FALSE),"---")</f>
        <v>Incident Handling | Automated Incident Handling Processes</v>
      </c>
      <c r="X225" s="14" t="str">
        <f>IFERROR(VLOOKUP(CLEAN($V225),'All Security Controls'!$A:$I, 4, FALSE),"---")</f>
        <v>CRWG White Criticality Control</v>
      </c>
      <c r="Y225" s="14" t="str">
        <f>IFERROR(VLOOKUP(CLEAN($V225),'All Security Controls'!$A:$I,5, FALSE),"---")</f>
        <v>Annually</v>
      </c>
      <c r="Z225" s="14" t="str">
        <f>IFERROR(VLOOKUP(CLEAN($V225),'All Security Controls'!$A:$I,6, FALSE),"---")</f>
        <v>Manual</v>
      </c>
      <c r="AA225" s="14" t="str">
        <f>IFERROR(VLOOKUP(CLEAN($V225),'All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25" s="14" t="str">
        <f>IFERROR(VLOOKUP(CLEAN($V225),'All Security Controls'!$A:$I,8, FALSE),"---")</f>
        <v>POA&amp;M</v>
      </c>
      <c r="AC225" s="14" t="str">
        <f>IFERROR(VLOOKUP(CLEAN($V225),'All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25" s="26">
        <v>224</v>
      </c>
    </row>
    <row r="226" spans="1:30" s="10" customFormat="1">
      <c r="A226"/>
      <c r="B226"/>
      <c r="C226"/>
      <c r="D226"/>
      <c r="E226"/>
      <c r="F226"/>
      <c r="G226"/>
      <c r="H226"/>
      <c r="I226"/>
      <c r="J226"/>
      <c r="K226"/>
      <c r="L226"/>
      <c r="M226"/>
      <c r="N226"/>
      <c r="O226"/>
      <c r="P226"/>
      <c r="Q226"/>
      <c r="R226"/>
      <c r="S226"/>
      <c r="T226"/>
      <c r="V226" s="66" t="s">
        <v>240</v>
      </c>
      <c r="W226" s="16" t="str">
        <f>IFERROR(VLOOKUP(CLEAN($V226),'All Security Controls'!A:I, 2, FALSE),"---")</f>
        <v>Incident Handling | Continuity of Operations</v>
      </c>
      <c r="X226" s="14" t="str">
        <f>IFERROR(VLOOKUP(CLEAN($V226),'All Security Controls'!$A:$I, 4, FALSE),"---")</f>
        <v>CRWG White Criticality Control</v>
      </c>
      <c r="Y226" s="14" t="str">
        <f>IFERROR(VLOOKUP(CLEAN($V226),'All Security Controls'!$A:$I,5, FALSE),"---")</f>
        <v>Annually</v>
      </c>
      <c r="Z226" s="14" t="str">
        <f>IFERROR(VLOOKUP(CLEAN($V226),'All Security Controls'!$A:$I,6, FALSE),"---")</f>
        <v>Manual</v>
      </c>
      <c r="AA226" s="14" t="str">
        <f>IFERROR(VLOOKUP(CLEAN($V226),'All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26" s="14" t="str">
        <f>IFERROR(VLOOKUP(CLEAN($V226),'All Security Controls'!$A:$I,8, FALSE),"---")</f>
        <v>POA&amp;M</v>
      </c>
      <c r="AC226" s="14" t="str">
        <f>IFERROR(VLOOKUP(CLEAN($V226),'All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26" s="26">
        <v>225</v>
      </c>
    </row>
    <row r="227" spans="1:30" s="10" customFormat="1">
      <c r="A227"/>
      <c r="B227"/>
      <c r="C227"/>
      <c r="D227"/>
      <c r="E227"/>
      <c r="F227"/>
      <c r="G227"/>
      <c r="H227"/>
      <c r="I227"/>
      <c r="J227"/>
      <c r="K227"/>
      <c r="L227"/>
      <c r="M227"/>
      <c r="N227"/>
      <c r="O227"/>
      <c r="P227"/>
      <c r="Q227"/>
      <c r="R227"/>
      <c r="S227"/>
      <c r="T227"/>
      <c r="V227" s="66" t="s">
        <v>241</v>
      </c>
      <c r="W227" s="16" t="str">
        <f>IFERROR(VLOOKUP(CLEAN($V227),'All Security Controls'!A:I, 2, FALSE),"---")</f>
        <v>Incident Handling | Information Correlation</v>
      </c>
      <c r="X227" s="14" t="str">
        <f>IFERROR(VLOOKUP(CLEAN($V227),'All Security Controls'!$A:$I, 4, FALSE),"---")</f>
        <v>CRWG Yellow Criticality Control</v>
      </c>
      <c r="Y227" s="14" t="str">
        <f>IFERROR(VLOOKUP(CLEAN($V227),'All Security Controls'!$A:$I,5, FALSE),"---")</f>
        <v>Quarterly</v>
      </c>
      <c r="Z227" s="14" t="str">
        <f>IFERROR(VLOOKUP(CLEAN($V227),'All Security Controls'!$A:$I,6, FALSE),"---")</f>
        <v>Manual</v>
      </c>
      <c r="AA227" s="14" t="str">
        <f>IFERROR(VLOOKUP(CLEAN($V227),'All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27" s="14" t="str">
        <f>IFERROR(VLOOKUP(CLEAN($V227),'All Security Controls'!$A:$I,8, FALSE),"---")</f>
        <v>POA&amp;M</v>
      </c>
      <c r="AC227" s="14" t="str">
        <f>IFERROR(VLOOKUP(CLEAN($V227),'All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27" s="26">
        <v>226</v>
      </c>
    </row>
    <row r="228" spans="1:30" s="10" customFormat="1">
      <c r="A228"/>
      <c r="B228"/>
      <c r="C228"/>
      <c r="D228"/>
      <c r="E228"/>
      <c r="F228"/>
      <c r="G228"/>
      <c r="H228"/>
      <c r="I228"/>
      <c r="J228"/>
      <c r="K228"/>
      <c r="L228"/>
      <c r="M228"/>
      <c r="N228"/>
      <c r="O228"/>
      <c r="P228"/>
      <c r="Q228"/>
      <c r="R228"/>
      <c r="S228"/>
      <c r="T228"/>
      <c r="V228" s="66" t="s">
        <v>242</v>
      </c>
      <c r="W228" s="16" t="str">
        <f>IFERROR(VLOOKUP(CLEAN($V228),'All Security Controls'!A:I, 2, FALSE),"---")</f>
        <v>Incident Handling | Insider Threats - Specific Capabilities</v>
      </c>
      <c r="X228" s="14" t="str">
        <f>IFERROR(VLOOKUP(CLEAN($V228),'All Security Controls'!$A:$I, 4, FALSE),"---")</f>
        <v>CRWG Yellow Criticality Control</v>
      </c>
      <c r="Y228" s="14" t="str">
        <f>IFERROR(VLOOKUP(CLEAN($V228),'All Security Controls'!$A:$I,5, FALSE),"---")</f>
        <v>Quarterly</v>
      </c>
      <c r="Z228" s="14" t="str">
        <f>IFERROR(VLOOKUP(CLEAN($V228),'All Security Controls'!$A:$I,6, FALSE),"---")</f>
        <v>Manual</v>
      </c>
      <c r="AA228" s="14" t="str">
        <f>IFERROR(VLOOKUP(CLEAN($V228),'All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28" s="14" t="str">
        <f>IFERROR(VLOOKUP(CLEAN($V228),'All Security Controls'!$A:$I,8, FALSE),"---")</f>
        <v>POA&amp;M</v>
      </c>
      <c r="AC228" s="14" t="str">
        <f>IFERROR(VLOOKUP(CLEAN($V228),'All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28" s="26">
        <v>227</v>
      </c>
    </row>
    <row r="229" spans="1:30" s="10" customFormat="1">
      <c r="A229"/>
      <c r="B229"/>
      <c r="C229"/>
      <c r="D229"/>
      <c r="E229"/>
      <c r="F229"/>
      <c r="G229"/>
      <c r="H229"/>
      <c r="I229"/>
      <c r="J229"/>
      <c r="K229"/>
      <c r="L229"/>
      <c r="M229"/>
      <c r="N229"/>
      <c r="O229"/>
      <c r="P229"/>
      <c r="Q229"/>
      <c r="R229"/>
      <c r="S229"/>
      <c r="T229"/>
      <c r="V229" s="66" t="s">
        <v>243</v>
      </c>
      <c r="W229" s="16" t="str">
        <f>IFERROR(VLOOKUP(CLEAN($V229),'All Security Controls'!A:I, 2, FALSE),"---")</f>
        <v>Incident Handling | Insider Threats - Intra-Organization Coordination</v>
      </c>
      <c r="X229" s="14" t="str">
        <f>IFERROR(VLOOKUP(CLEAN($V229),'All Security Controls'!$A:$I, 4, FALSE),"---")</f>
        <v>CRWG White Criticality Control</v>
      </c>
      <c r="Y229" s="14" t="str">
        <f>IFERROR(VLOOKUP(CLEAN($V229),'All Security Controls'!$A:$I,5, FALSE),"---")</f>
        <v>Annually</v>
      </c>
      <c r="Z229" s="14" t="str">
        <f>IFERROR(VLOOKUP(CLEAN($V229),'All Security Controls'!$A:$I,6, FALSE),"---")</f>
        <v>Manual</v>
      </c>
      <c r="AA229" s="14" t="str">
        <f>IFERROR(VLOOKUP(CLEAN($V229),'All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29" s="14" t="str">
        <f>IFERROR(VLOOKUP(CLEAN($V229),'All Security Controls'!$A:$I,8, FALSE),"---")</f>
        <v>POA&amp;M</v>
      </c>
      <c r="AC229" s="14" t="str">
        <f>IFERROR(VLOOKUP(CLEAN($V229),'All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29" s="26">
        <v>228</v>
      </c>
    </row>
    <row r="230" spans="1:30" s="10" customFormat="1">
      <c r="A230"/>
      <c r="B230"/>
      <c r="C230"/>
      <c r="D230"/>
      <c r="E230"/>
      <c r="F230"/>
      <c r="G230"/>
      <c r="H230"/>
      <c r="I230"/>
      <c r="J230"/>
      <c r="K230"/>
      <c r="L230"/>
      <c r="M230"/>
      <c r="N230"/>
      <c r="O230"/>
      <c r="P230"/>
      <c r="Q230"/>
      <c r="R230"/>
      <c r="S230"/>
      <c r="T230"/>
      <c r="V230" s="66" t="s">
        <v>244</v>
      </c>
      <c r="W230" s="16" t="str">
        <f>IFERROR(VLOOKUP(CLEAN($V230),'All Security Controls'!A:I, 2, FALSE),"---")</f>
        <v>Incident Handling | Correlation with External Organizations</v>
      </c>
      <c r="X230" s="14" t="str">
        <f>IFERROR(VLOOKUP(CLEAN($V230),'All Security Controls'!$A:$I, 4, FALSE),"---")</f>
        <v>CRWG White Criticality Control</v>
      </c>
      <c r="Y230" s="14" t="str">
        <f>IFERROR(VLOOKUP(CLEAN($V230),'All Security Controls'!$A:$I,5, FALSE),"---")</f>
        <v>Annually</v>
      </c>
      <c r="Z230" s="14" t="str">
        <f>IFERROR(VLOOKUP(CLEAN($V230),'All Security Controls'!$A:$I,6, FALSE),"---")</f>
        <v>Manual</v>
      </c>
      <c r="AA230" s="14" t="str">
        <f>IFERROR(VLOOKUP(CLEAN($V230),'All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30" s="14" t="str">
        <f>IFERROR(VLOOKUP(CLEAN($V230),'All Security Controls'!$A:$I,8, FALSE),"---")</f>
        <v>POA&amp;M</v>
      </c>
      <c r="AC230" s="14" t="str">
        <f>IFERROR(VLOOKUP(CLEAN($V230),'All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30" s="26">
        <v>229</v>
      </c>
    </row>
    <row r="231" spans="1:30" s="10" customFormat="1">
      <c r="A231"/>
      <c r="B231"/>
      <c r="C231"/>
      <c r="D231"/>
      <c r="E231"/>
      <c r="F231"/>
      <c r="G231"/>
      <c r="H231"/>
      <c r="I231"/>
      <c r="J231"/>
      <c r="K231"/>
      <c r="L231"/>
      <c r="M231"/>
      <c r="N231"/>
      <c r="O231"/>
      <c r="P231"/>
      <c r="Q231"/>
      <c r="R231"/>
      <c r="S231"/>
      <c r="T231"/>
      <c r="V231" s="66" t="s">
        <v>245</v>
      </c>
      <c r="W231" s="16" t="str">
        <f>IFERROR(VLOOKUP(CLEAN($V231),'All Security Controls'!A:I, 2, FALSE),"---")</f>
        <v xml:space="preserve">Incident Monitoring </v>
      </c>
      <c r="X231" s="14" t="str">
        <f>IFERROR(VLOOKUP(CLEAN($V231),'All Security Controls'!$A:$I, 4, FALSE),"---")</f>
        <v>CRWG White Criticality Control</v>
      </c>
      <c r="Y231" s="14" t="str">
        <f>IFERROR(VLOOKUP(CLEAN($V231),'All Security Controls'!$A:$I,5, FALSE),"---")</f>
        <v>Annually</v>
      </c>
      <c r="Z231" s="14" t="str">
        <f>IFERROR(VLOOKUP(CLEAN($V231),'All Security Controls'!$A:$I,6, FALSE),"---")</f>
        <v>Manual</v>
      </c>
      <c r="AA231" s="14" t="str">
        <f>IFERROR(VLOOKUP(CLEAN($V231),'All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31" s="14" t="str">
        <f>IFERROR(VLOOKUP(CLEAN($V231),'All Security Controls'!$A:$I,8, FALSE),"---")</f>
        <v>POA&amp;M</v>
      </c>
      <c r="AC231" s="14" t="str">
        <f>IFERROR(VLOOKUP(CLEAN($V231),'All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31" s="26">
        <v>230</v>
      </c>
    </row>
    <row r="232" spans="1:30" s="10" customFormat="1">
      <c r="A232"/>
      <c r="B232"/>
      <c r="C232"/>
      <c r="D232"/>
      <c r="E232"/>
      <c r="F232"/>
      <c r="G232"/>
      <c r="H232"/>
      <c r="I232"/>
      <c r="J232"/>
      <c r="K232"/>
      <c r="L232"/>
      <c r="M232"/>
      <c r="N232"/>
      <c r="O232"/>
      <c r="P232"/>
      <c r="Q232"/>
      <c r="R232"/>
      <c r="S232"/>
      <c r="T232"/>
      <c r="V232" s="66" t="s">
        <v>246</v>
      </c>
      <c r="W232" s="16" t="str">
        <f>IFERROR(VLOOKUP(CLEAN($V232),'All Security Controls'!A:I, 2, FALSE),"---")</f>
        <v>Incident Monitoring | Automated Tracking/ Data Collection/ Analysis</v>
      </c>
      <c r="X232" s="14" t="str">
        <f>IFERROR(VLOOKUP(CLEAN($V232),'All Security Controls'!$A:$I, 4, FALSE),"---")</f>
        <v>CRWG White Criticality Control</v>
      </c>
      <c r="Y232" s="14" t="str">
        <f>IFERROR(VLOOKUP(CLEAN($V232),'All Security Controls'!$A:$I,5, FALSE),"---")</f>
        <v>Annually</v>
      </c>
      <c r="Z232" s="14" t="str">
        <f>IFERROR(VLOOKUP(CLEAN($V232),'All Security Controls'!$A:$I,6, FALSE),"---")</f>
        <v>Manual</v>
      </c>
      <c r="AA232" s="14" t="str">
        <f>IFERROR(VLOOKUP(CLEAN($V232),'All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32" s="14" t="str">
        <f>IFERROR(VLOOKUP(CLEAN($V232),'All Security Controls'!$A:$I,8, FALSE),"---")</f>
        <v>POA&amp;M</v>
      </c>
      <c r="AC232" s="14" t="str">
        <f>IFERROR(VLOOKUP(CLEAN($V232),'All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32" s="26">
        <v>231</v>
      </c>
    </row>
    <row r="233" spans="1:30" s="10" customFormat="1">
      <c r="A233"/>
      <c r="B233"/>
      <c r="C233"/>
      <c r="D233"/>
      <c r="E233"/>
      <c r="F233"/>
      <c r="G233"/>
      <c r="H233"/>
      <c r="I233"/>
      <c r="J233"/>
      <c r="K233"/>
      <c r="L233"/>
      <c r="M233"/>
      <c r="N233"/>
      <c r="O233"/>
      <c r="P233"/>
      <c r="Q233"/>
      <c r="R233"/>
      <c r="S233"/>
      <c r="T233"/>
      <c r="V233" s="66" t="s">
        <v>247</v>
      </c>
      <c r="W233" s="16" t="str">
        <f>IFERROR(VLOOKUP(CLEAN($V233),'All Security Controls'!A:I, 2, FALSE),"---")</f>
        <v xml:space="preserve">Incident Reporting </v>
      </c>
      <c r="X233" s="14" t="str">
        <f>IFERROR(VLOOKUP(CLEAN($V233),'All Security Controls'!$A:$I, 4, FALSE),"---")</f>
        <v>CRWG Yellow Criticality Control</v>
      </c>
      <c r="Y233" s="14" t="str">
        <f>IFERROR(VLOOKUP(CLEAN($V233),'All Security Controls'!$A:$I,5, FALSE),"---")</f>
        <v>Quarterly</v>
      </c>
      <c r="Z233" s="14" t="str">
        <f>IFERROR(VLOOKUP(CLEAN($V233),'All Security Controls'!$A:$I,6, FALSE),"---")</f>
        <v>Manual</v>
      </c>
      <c r="AA233" s="14" t="str">
        <f>IFERROR(VLOOKUP(CLEAN($V233),'All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33" s="14" t="str">
        <f>IFERROR(VLOOKUP(CLEAN($V233),'All Security Controls'!$A:$I,8, FALSE),"---")</f>
        <v>POA&amp;M</v>
      </c>
      <c r="AC233" s="14" t="str">
        <f>IFERROR(VLOOKUP(CLEAN($V233),'All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33" s="26">
        <v>232</v>
      </c>
    </row>
    <row r="234" spans="1:30" s="10" customFormat="1">
      <c r="A234"/>
      <c r="B234"/>
      <c r="C234"/>
      <c r="D234"/>
      <c r="E234"/>
      <c r="F234"/>
      <c r="G234"/>
      <c r="H234"/>
      <c r="I234"/>
      <c r="J234"/>
      <c r="K234"/>
      <c r="L234"/>
      <c r="M234"/>
      <c r="N234"/>
      <c r="O234"/>
      <c r="P234"/>
      <c r="Q234"/>
      <c r="R234"/>
      <c r="S234"/>
      <c r="T234"/>
      <c r="V234" s="66" t="s">
        <v>248</v>
      </c>
      <c r="W234" s="16" t="str">
        <f>IFERROR(VLOOKUP(CLEAN($V234),'All Security Controls'!A:I, 2, FALSE),"---")</f>
        <v>Incident Reporting | Automated Reporting</v>
      </c>
      <c r="X234" s="14" t="str">
        <f>IFERROR(VLOOKUP(CLEAN($V234),'All Security Controls'!$A:$I, 4, FALSE),"---")</f>
        <v>CRWG White Criticality Control</v>
      </c>
      <c r="Y234" s="14" t="str">
        <f>IFERROR(VLOOKUP(CLEAN($V234),'All Security Controls'!$A:$I,5, FALSE),"---")</f>
        <v>Annually</v>
      </c>
      <c r="Z234" s="14" t="str">
        <f>IFERROR(VLOOKUP(CLEAN($V234),'All Security Controls'!$A:$I,6, FALSE),"---")</f>
        <v>Manual</v>
      </c>
      <c r="AA234" s="14" t="str">
        <f>IFERROR(VLOOKUP(CLEAN($V234),'All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34" s="14" t="str">
        <f>IFERROR(VLOOKUP(CLEAN($V234),'All Security Controls'!$A:$I,8, FALSE),"---")</f>
        <v>POA&amp;M</v>
      </c>
      <c r="AC234" s="14" t="str">
        <f>IFERROR(VLOOKUP(CLEAN($V234),'All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34" s="26">
        <v>233</v>
      </c>
    </row>
    <row r="235" spans="1:30" s="10" customFormat="1">
      <c r="A235"/>
      <c r="B235"/>
      <c r="C235"/>
      <c r="D235"/>
      <c r="E235"/>
      <c r="F235"/>
      <c r="G235"/>
      <c r="H235"/>
      <c r="I235"/>
      <c r="J235"/>
      <c r="K235"/>
      <c r="L235"/>
      <c r="M235"/>
      <c r="N235"/>
      <c r="O235"/>
      <c r="P235"/>
      <c r="Q235"/>
      <c r="R235"/>
      <c r="S235"/>
      <c r="T235"/>
      <c r="V235" s="66" t="s">
        <v>249</v>
      </c>
      <c r="W235" s="16" t="str">
        <f>IFERROR(VLOOKUP(CLEAN($V235),'All Security Controls'!A:I, 2, FALSE),"---")</f>
        <v>Incident Reporting | Vulnerabilities Related to Incidents</v>
      </c>
      <c r="X235" s="14" t="str">
        <f>IFERROR(VLOOKUP(CLEAN($V235),'All Security Controls'!$A:$I, 4, FALSE),"---")</f>
        <v>CRWG White Criticality Control</v>
      </c>
      <c r="Y235" s="14" t="str">
        <f>IFERROR(VLOOKUP(CLEAN($V235),'All Security Controls'!$A:$I,5, FALSE),"---")</f>
        <v>Annually</v>
      </c>
      <c r="Z235" s="14" t="str">
        <f>IFERROR(VLOOKUP(CLEAN($V235),'All Security Controls'!$A:$I,6, FALSE),"---")</f>
        <v>Manual</v>
      </c>
      <c r="AA235" s="14" t="str">
        <f>IFERROR(VLOOKUP(CLEAN($V235),'All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35" s="14" t="str">
        <f>IFERROR(VLOOKUP(CLEAN($V235),'All Security Controls'!$A:$I,8, FALSE),"---")</f>
        <v>POA&amp;M</v>
      </c>
      <c r="AC235" s="14" t="str">
        <f>IFERROR(VLOOKUP(CLEAN($V235),'All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35" s="26">
        <v>234</v>
      </c>
    </row>
    <row r="236" spans="1:30" s="10" customFormat="1">
      <c r="A236"/>
      <c r="B236"/>
      <c r="C236"/>
      <c r="D236"/>
      <c r="E236"/>
      <c r="F236"/>
      <c r="G236"/>
      <c r="H236"/>
      <c r="I236"/>
      <c r="J236"/>
      <c r="K236"/>
      <c r="L236"/>
      <c r="M236"/>
      <c r="N236"/>
      <c r="O236"/>
      <c r="P236"/>
      <c r="Q236"/>
      <c r="R236"/>
      <c r="S236"/>
      <c r="T236"/>
      <c r="V236" s="66" t="s">
        <v>250</v>
      </c>
      <c r="W236" s="16" t="str">
        <f>IFERROR(VLOOKUP(CLEAN($V236),'All Security Controls'!A:I, 2, FALSE),"---")</f>
        <v xml:space="preserve">Incident Response Assistance </v>
      </c>
      <c r="X236" s="14" t="str">
        <f>IFERROR(VLOOKUP(CLEAN($V236),'All Security Controls'!$A:$I, 4, FALSE),"---")</f>
        <v>CRWG White Criticality Control</v>
      </c>
      <c r="Y236" s="14" t="str">
        <f>IFERROR(VLOOKUP(CLEAN($V236),'All Security Controls'!$A:$I,5, FALSE),"---")</f>
        <v>Annually</v>
      </c>
      <c r="Z236" s="14" t="str">
        <f>IFERROR(VLOOKUP(CLEAN($V236),'All Security Controls'!$A:$I,6, FALSE),"---")</f>
        <v>Manual</v>
      </c>
      <c r="AA236" s="14" t="str">
        <f>IFERROR(VLOOKUP(CLEAN($V236),'All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36" s="14" t="str">
        <f>IFERROR(VLOOKUP(CLEAN($V236),'All Security Controls'!$A:$I,8, FALSE),"---")</f>
        <v>POA&amp;M</v>
      </c>
      <c r="AC236" s="14" t="str">
        <f>IFERROR(VLOOKUP(CLEAN($V236),'All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36" s="26">
        <v>235</v>
      </c>
    </row>
    <row r="237" spans="1:30" s="10" customFormat="1">
      <c r="A237"/>
      <c r="B237"/>
      <c r="C237"/>
      <c r="D237"/>
      <c r="E237"/>
      <c r="F237"/>
      <c r="G237"/>
      <c r="H237"/>
      <c r="I237"/>
      <c r="J237"/>
      <c r="K237"/>
      <c r="L237"/>
      <c r="M237"/>
      <c r="N237"/>
      <c r="O237"/>
      <c r="P237"/>
      <c r="Q237"/>
      <c r="R237"/>
      <c r="S237"/>
      <c r="T237"/>
      <c r="V237" s="66" t="s">
        <v>251</v>
      </c>
      <c r="W237" s="16" t="str">
        <f>IFERROR(VLOOKUP(CLEAN($V237),'All Security Controls'!A:I, 2, FALSE),"---")</f>
        <v>Incident Response Assistance | Automation Support for Availability of Information/ Support</v>
      </c>
      <c r="X237" s="14" t="str">
        <f>IFERROR(VLOOKUP(CLEAN($V237),'All Security Controls'!$A:$I, 4, FALSE),"---")</f>
        <v>CRWG White Criticality Control</v>
      </c>
      <c r="Y237" s="14" t="str">
        <f>IFERROR(VLOOKUP(CLEAN($V237),'All Security Controls'!$A:$I,5, FALSE),"---")</f>
        <v>Annually</v>
      </c>
      <c r="Z237" s="14" t="str">
        <f>IFERROR(VLOOKUP(CLEAN($V237),'All Security Controls'!$A:$I,6, FALSE),"---")</f>
        <v>Manual</v>
      </c>
      <c r="AA237" s="14" t="str">
        <f>IFERROR(VLOOKUP(CLEAN($V237),'All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37" s="14" t="str">
        <f>IFERROR(VLOOKUP(CLEAN($V237),'All Security Controls'!$A:$I,8, FALSE),"---")</f>
        <v>POA&amp;M</v>
      </c>
      <c r="AC237" s="14" t="str">
        <f>IFERROR(VLOOKUP(CLEAN($V237),'All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37" s="26">
        <v>236</v>
      </c>
    </row>
    <row r="238" spans="1:30" s="10" customFormat="1">
      <c r="A238"/>
      <c r="B238"/>
      <c r="C238"/>
      <c r="D238"/>
      <c r="E238"/>
      <c r="F238"/>
      <c r="G238"/>
      <c r="H238"/>
      <c r="I238"/>
      <c r="J238"/>
      <c r="K238"/>
      <c r="L238"/>
      <c r="M238"/>
      <c r="N238"/>
      <c r="O238"/>
      <c r="P238"/>
      <c r="Q238"/>
      <c r="R238"/>
      <c r="S238"/>
      <c r="T238"/>
      <c r="V238" s="66" t="s">
        <v>252</v>
      </c>
      <c r="W238" s="16" t="str">
        <f>IFERROR(VLOOKUP(CLEAN($V238),'All Security Controls'!A:I, 2, FALSE),"---")</f>
        <v>Incident Response Assistance | Coordination with External Providers</v>
      </c>
      <c r="X238" s="14" t="str">
        <f>IFERROR(VLOOKUP(CLEAN($V238),'All Security Controls'!$A:$I, 4, FALSE),"---")</f>
        <v>CRWG White Criticality Control</v>
      </c>
      <c r="Y238" s="14" t="str">
        <f>IFERROR(VLOOKUP(CLEAN($V238),'All Security Controls'!$A:$I,5, FALSE),"---")</f>
        <v>Annually</v>
      </c>
      <c r="Z238" s="14" t="str">
        <f>IFERROR(VLOOKUP(CLEAN($V238),'All Security Controls'!$A:$I,6, FALSE),"---")</f>
        <v>Manual</v>
      </c>
      <c r="AA238" s="14" t="str">
        <f>IFERROR(VLOOKUP(CLEAN($V238),'All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38" s="14" t="str">
        <f>IFERROR(VLOOKUP(CLEAN($V238),'All Security Controls'!$A:$I,8, FALSE),"---")</f>
        <v>POA&amp;M</v>
      </c>
      <c r="AC238" s="14" t="str">
        <f>IFERROR(VLOOKUP(CLEAN($V238),'All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38" s="26">
        <v>237</v>
      </c>
    </row>
    <row r="239" spans="1:30" s="10" customFormat="1">
      <c r="A239"/>
      <c r="B239"/>
      <c r="C239"/>
      <c r="D239"/>
      <c r="E239"/>
      <c r="F239"/>
      <c r="G239"/>
      <c r="H239"/>
      <c r="I239"/>
      <c r="J239"/>
      <c r="K239"/>
      <c r="L239"/>
      <c r="M239"/>
      <c r="N239"/>
      <c r="O239"/>
      <c r="P239"/>
      <c r="Q239"/>
      <c r="R239"/>
      <c r="S239"/>
      <c r="T239"/>
      <c r="V239" s="66" t="s">
        <v>253</v>
      </c>
      <c r="W239" s="16" t="str">
        <f>IFERROR(VLOOKUP(CLEAN($V239),'All Security Controls'!A:I, 2, FALSE),"---")</f>
        <v xml:space="preserve">Incident Response Plan </v>
      </c>
      <c r="X239" s="14" t="str">
        <f>IFERROR(VLOOKUP(CLEAN($V239),'All Security Controls'!$A:$I, 4, FALSE),"---")</f>
        <v>CRWG Yellow Criticality Control</v>
      </c>
      <c r="Y239" s="14" t="str">
        <f>IFERROR(VLOOKUP(CLEAN($V239),'All Security Controls'!$A:$I,5, FALSE),"---")</f>
        <v>Annually</v>
      </c>
      <c r="Z239" s="14" t="str">
        <f>IFERROR(VLOOKUP(CLEAN($V239),'All Security Controls'!$A:$I,6, FALSE),"---")</f>
        <v>Manual</v>
      </c>
      <c r="AA239" s="14" t="str">
        <f>IFERROR(VLOOKUP(CLEAN($V239),'All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39" s="14" t="str">
        <f>IFERROR(VLOOKUP(CLEAN($V239),'All Security Controls'!$A:$I,8, FALSE),"---")</f>
        <v>POA&amp;M</v>
      </c>
      <c r="AC239" s="14" t="str">
        <f>IFERROR(VLOOKUP(CLEAN($V239),'All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39" s="26">
        <v>238</v>
      </c>
    </row>
    <row r="240" spans="1:30" s="10" customFormat="1">
      <c r="A240"/>
      <c r="B240"/>
      <c r="C240"/>
      <c r="D240"/>
      <c r="E240"/>
      <c r="F240"/>
      <c r="G240"/>
      <c r="H240"/>
      <c r="I240"/>
      <c r="J240"/>
      <c r="K240"/>
      <c r="L240"/>
      <c r="M240"/>
      <c r="N240"/>
      <c r="O240"/>
      <c r="P240"/>
      <c r="Q240"/>
      <c r="R240"/>
      <c r="S240"/>
      <c r="T240"/>
      <c r="V240" s="66" t="s">
        <v>254</v>
      </c>
      <c r="W240" s="16" t="str">
        <f>IFERROR(VLOOKUP(CLEAN($V240),'All Security Controls'!A:I, 2, FALSE),"---")</f>
        <v>Information Spillage Response</v>
      </c>
      <c r="X240" s="14" t="str">
        <f>IFERROR(VLOOKUP(CLEAN($V240),'All Security Controls'!$A:$I, 4, FALSE),"---")</f>
        <v>CRWG Red Criticality Control</v>
      </c>
      <c r="Y240" s="14" t="str">
        <f>IFERROR(VLOOKUP(CLEAN($V240),'All Security Controls'!$A:$I,5, FALSE),"---")</f>
        <v>Constantly</v>
      </c>
      <c r="Z240" s="14" t="str">
        <f>IFERROR(VLOOKUP(CLEAN($V240),'All Security Controls'!$A:$I,6, FALSE),"---")</f>
        <v>Manual</v>
      </c>
      <c r="AA240" s="14" t="str">
        <f>IFERROR(VLOOKUP(CLEAN($V240),'All Security Controls'!$A:$I,7, FALSE),"---")</f>
        <v>via telephone or high-priority e-mail, the System Owner reports the situation immediately and directly to the AO, while keeping the cybersecurity chain of command informed of status and response actions; if time permits, an authorization/connection decision recommendation is provided to the AO</v>
      </c>
      <c r="AB240" s="14" t="str">
        <f>IFERROR(VLOOKUP(CLEAN($V240),'All Security Controls'!$A:$I,8, FALSE),"---")</f>
        <v>POA&amp;M &amp; IR Team</v>
      </c>
      <c r="AC240" s="14" t="str">
        <f>IFERROR(VLOOKUP(CLEAN($V240),'All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40" s="26">
        <v>239</v>
      </c>
    </row>
    <row r="241" spans="1:30" s="10" customFormat="1">
      <c r="A241"/>
      <c r="B241"/>
      <c r="C241"/>
      <c r="D241"/>
      <c r="E241"/>
      <c r="F241"/>
      <c r="G241"/>
      <c r="H241"/>
      <c r="I241"/>
      <c r="J241"/>
      <c r="K241"/>
      <c r="L241"/>
      <c r="M241"/>
      <c r="N241"/>
      <c r="O241"/>
      <c r="P241"/>
      <c r="Q241"/>
      <c r="R241"/>
      <c r="S241"/>
      <c r="T241"/>
      <c r="V241" s="66" t="s">
        <v>255</v>
      </c>
      <c r="W241" s="16" t="str">
        <f>IFERROR(VLOOKUP(CLEAN($V241),'All Security Controls'!A:I, 2, FALSE),"---")</f>
        <v>Information Spillage Response | Responsible Personnel</v>
      </c>
      <c r="X241" s="14" t="str">
        <f>IFERROR(VLOOKUP(CLEAN($V241),'All Security Controls'!$A:$I, 4, FALSE),"---")</f>
        <v>CRWG White Criticality Control</v>
      </c>
      <c r="Y241" s="14" t="str">
        <f>IFERROR(VLOOKUP(CLEAN($V241),'All Security Controls'!$A:$I,5, FALSE),"---")</f>
        <v>Annually</v>
      </c>
      <c r="Z241" s="14" t="str">
        <f>IFERROR(VLOOKUP(CLEAN($V241),'All Security Controls'!$A:$I,6, FALSE),"---")</f>
        <v>Manual</v>
      </c>
      <c r="AA241" s="14" t="str">
        <f>IFERROR(VLOOKUP(CLEAN($V241),'All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41" s="14" t="str">
        <f>IFERROR(VLOOKUP(CLEAN($V241),'All Security Controls'!$A:$I,8, FALSE),"---")</f>
        <v>POA&amp;M</v>
      </c>
      <c r="AC241" s="14" t="str">
        <f>IFERROR(VLOOKUP(CLEAN($V241),'All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41" s="26">
        <v>240</v>
      </c>
    </row>
    <row r="242" spans="1:30" s="10" customFormat="1">
      <c r="A242"/>
      <c r="B242"/>
      <c r="C242"/>
      <c r="D242"/>
      <c r="E242"/>
      <c r="F242"/>
      <c r="G242"/>
      <c r="H242"/>
      <c r="I242"/>
      <c r="J242"/>
      <c r="K242"/>
      <c r="L242"/>
      <c r="M242"/>
      <c r="N242"/>
      <c r="O242"/>
      <c r="P242"/>
      <c r="Q242"/>
      <c r="R242"/>
      <c r="S242"/>
      <c r="T242"/>
      <c r="V242" s="66" t="s">
        <v>256</v>
      </c>
      <c r="W242" s="16" t="str">
        <f>IFERROR(VLOOKUP(CLEAN($V242),'All Security Controls'!A:I, 2, FALSE),"---")</f>
        <v>Information Spillage Response | Training</v>
      </c>
      <c r="X242" s="14" t="str">
        <f>IFERROR(VLOOKUP(CLEAN($V242),'All Security Controls'!$A:$I, 4, FALSE),"---")</f>
        <v>CRWG White Criticality Control</v>
      </c>
      <c r="Y242" s="14" t="str">
        <f>IFERROR(VLOOKUP(CLEAN($V242),'All Security Controls'!$A:$I,5, FALSE),"---")</f>
        <v>Annually</v>
      </c>
      <c r="Z242" s="14" t="str">
        <f>IFERROR(VLOOKUP(CLEAN($V242),'All Security Controls'!$A:$I,6, FALSE),"---")</f>
        <v>Manual</v>
      </c>
      <c r="AA242" s="14" t="str">
        <f>IFERROR(VLOOKUP(CLEAN($V242),'All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42" s="14" t="str">
        <f>IFERROR(VLOOKUP(CLEAN($V242),'All Security Controls'!$A:$I,8, FALSE),"---")</f>
        <v>POA&amp;M</v>
      </c>
      <c r="AC242" s="14" t="str">
        <f>IFERROR(VLOOKUP(CLEAN($V242),'All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42" s="26">
        <v>241</v>
      </c>
    </row>
    <row r="243" spans="1:30" s="10" customFormat="1">
      <c r="A243"/>
      <c r="B243"/>
      <c r="C243"/>
      <c r="D243"/>
      <c r="E243"/>
      <c r="F243"/>
      <c r="G243"/>
      <c r="H243"/>
      <c r="I243"/>
      <c r="J243"/>
      <c r="K243"/>
      <c r="L243"/>
      <c r="M243"/>
      <c r="N243"/>
      <c r="O243"/>
      <c r="P243"/>
      <c r="Q243"/>
      <c r="R243"/>
      <c r="S243"/>
      <c r="T243"/>
      <c r="V243" s="66" t="s">
        <v>257</v>
      </c>
      <c r="W243" s="16" t="str">
        <f>IFERROR(VLOOKUP(CLEAN($V243),'All Security Controls'!A:I, 2, FALSE),"---")</f>
        <v>Information Spillage Response | Exposure to Unauthorized Personnel</v>
      </c>
      <c r="X243" s="14" t="str">
        <f>IFERROR(VLOOKUP(CLEAN($V243),'All Security Controls'!$A:$I, 4, FALSE),"---")</f>
        <v>CRWG White Criticality Control</v>
      </c>
      <c r="Y243" s="14" t="str">
        <f>IFERROR(VLOOKUP(CLEAN($V243),'All Security Controls'!$A:$I,5, FALSE),"---")</f>
        <v>Annually</v>
      </c>
      <c r="Z243" s="14" t="str">
        <f>IFERROR(VLOOKUP(CLEAN($V243),'All Security Controls'!$A:$I,6, FALSE),"---")</f>
        <v>Manual</v>
      </c>
      <c r="AA243" s="14" t="str">
        <f>IFERROR(VLOOKUP(CLEAN($V243),'All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43" s="14" t="str">
        <f>IFERROR(VLOOKUP(CLEAN($V243),'All Security Controls'!$A:$I,8, FALSE),"---")</f>
        <v>POA&amp;M</v>
      </c>
      <c r="AC243" s="14" t="str">
        <f>IFERROR(VLOOKUP(CLEAN($V243),'All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43" s="26">
        <v>242</v>
      </c>
    </row>
    <row r="244" spans="1:30" s="10" customFormat="1">
      <c r="A244"/>
      <c r="B244"/>
      <c r="C244"/>
      <c r="D244"/>
      <c r="E244"/>
      <c r="F244"/>
      <c r="G244"/>
      <c r="H244"/>
      <c r="I244"/>
      <c r="J244"/>
      <c r="K244"/>
      <c r="L244"/>
      <c r="M244"/>
      <c r="N244"/>
      <c r="O244"/>
      <c r="P244"/>
      <c r="Q244"/>
      <c r="R244"/>
      <c r="S244"/>
      <c r="T244"/>
      <c r="V244" s="66" t="s">
        <v>258</v>
      </c>
      <c r="W244" s="16" t="str">
        <f>IFERROR(VLOOKUP(CLEAN($V244),'All Security Controls'!A:I, 2, FALSE),"---")</f>
        <v>Integrated Information Security Cell</v>
      </c>
      <c r="X244" s="14" t="str">
        <f>IFERROR(VLOOKUP(CLEAN($V244),'All Security Controls'!$A:$I, 4, FALSE),"---")</f>
        <v>CRWG White Criticality Control</v>
      </c>
      <c r="Y244" s="14" t="str">
        <f>IFERROR(VLOOKUP(CLEAN($V244),'All Security Controls'!$A:$I,5, FALSE),"---")</f>
        <v>Annually</v>
      </c>
      <c r="Z244" s="14" t="str">
        <f>IFERROR(VLOOKUP(CLEAN($V244),'All Security Controls'!$A:$I,6, FALSE),"---")</f>
        <v>Manual</v>
      </c>
      <c r="AA244" s="14" t="str">
        <f>IFERROR(VLOOKUP(CLEAN($V244),'All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44" s="14" t="str">
        <f>IFERROR(VLOOKUP(CLEAN($V244),'All Security Controls'!$A:$I,8, FALSE),"---")</f>
        <v>POA&amp;M</v>
      </c>
      <c r="AC244" s="14" t="str">
        <f>IFERROR(VLOOKUP(CLEAN($V244),'All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44" s="26">
        <v>243</v>
      </c>
    </row>
    <row r="245" spans="1:30" s="10" customFormat="1">
      <c r="A245"/>
      <c r="B245"/>
      <c r="C245"/>
      <c r="D245"/>
      <c r="E245"/>
      <c r="F245"/>
      <c r="G245"/>
      <c r="H245"/>
      <c r="I245"/>
      <c r="J245"/>
      <c r="K245"/>
      <c r="L245"/>
      <c r="M245"/>
      <c r="N245"/>
      <c r="O245"/>
      <c r="P245"/>
      <c r="Q245"/>
      <c r="R245"/>
      <c r="S245"/>
      <c r="T245"/>
      <c r="V245" s="66" t="s">
        <v>259</v>
      </c>
      <c r="W245" s="16" t="str">
        <f>IFERROR(VLOOKUP(CLEAN($V245),'All Security Controls'!A:I, 2, FALSE),"---")</f>
        <v xml:space="preserve">System Maintenance Policy And Procedures </v>
      </c>
      <c r="X245" s="14" t="str">
        <f>IFERROR(VLOOKUP(CLEAN($V245),'All Security Controls'!$A:$I, 4, FALSE),"---")</f>
        <v>CRWG White Criticality Control</v>
      </c>
      <c r="Y245" s="14" t="str">
        <f>IFERROR(VLOOKUP(CLEAN($V245),'All Security Controls'!$A:$I,5, FALSE),"---")</f>
        <v>Annually</v>
      </c>
      <c r="Z245" s="14" t="str">
        <f>IFERROR(VLOOKUP(CLEAN($V245),'All Security Controls'!$A:$I,6, FALSE),"---")</f>
        <v>Manual</v>
      </c>
      <c r="AA245" s="14" t="str">
        <f>IFERROR(VLOOKUP(CLEAN($V245),'All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45" s="14" t="str">
        <f>IFERROR(VLOOKUP(CLEAN($V245),'All Security Controls'!$A:$I,8, FALSE),"---")</f>
        <v>POA&amp;M</v>
      </c>
      <c r="AC245" s="14" t="str">
        <f>IFERROR(VLOOKUP(CLEAN($V245),'All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45" s="26">
        <v>244</v>
      </c>
    </row>
    <row r="246" spans="1:30" s="10" customFormat="1">
      <c r="A246"/>
      <c r="B246"/>
      <c r="C246"/>
      <c r="D246"/>
      <c r="E246"/>
      <c r="F246"/>
      <c r="G246"/>
      <c r="H246"/>
      <c r="I246"/>
      <c r="J246"/>
      <c r="K246"/>
      <c r="L246"/>
      <c r="M246"/>
      <c r="N246"/>
      <c r="O246"/>
      <c r="P246"/>
      <c r="Q246"/>
      <c r="R246"/>
      <c r="S246"/>
      <c r="T246"/>
      <c r="V246" s="66" t="s">
        <v>260</v>
      </c>
      <c r="W246" s="16" t="str">
        <f>IFERROR(VLOOKUP(CLEAN($V246),'All Security Controls'!A:I, 2, FALSE),"---")</f>
        <v xml:space="preserve">Controlled Maintenance </v>
      </c>
      <c r="X246" s="14" t="str">
        <f>IFERROR(VLOOKUP(CLEAN($V246),'All Security Controls'!$A:$I, 4, FALSE),"---")</f>
        <v>CRWG White Criticality Control</v>
      </c>
      <c r="Y246" s="14" t="str">
        <f>IFERROR(VLOOKUP(CLEAN($V246),'All Security Controls'!$A:$I,5, FALSE),"---")</f>
        <v>Annually</v>
      </c>
      <c r="Z246" s="14" t="str">
        <f>IFERROR(VLOOKUP(CLEAN($V246),'All Security Controls'!$A:$I,6, FALSE),"---")</f>
        <v>Manual</v>
      </c>
      <c r="AA246" s="14" t="str">
        <f>IFERROR(VLOOKUP(CLEAN($V246),'All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46" s="14" t="str">
        <f>IFERROR(VLOOKUP(CLEAN($V246),'All Security Controls'!$A:$I,8, FALSE),"---")</f>
        <v>POA&amp;M</v>
      </c>
      <c r="AC246" s="14" t="str">
        <f>IFERROR(VLOOKUP(CLEAN($V246),'All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46" s="26">
        <v>245</v>
      </c>
    </row>
    <row r="247" spans="1:30" s="10" customFormat="1">
      <c r="A247"/>
      <c r="B247"/>
      <c r="C247"/>
      <c r="D247"/>
      <c r="E247"/>
      <c r="F247"/>
      <c r="G247"/>
      <c r="H247"/>
      <c r="I247"/>
      <c r="J247"/>
      <c r="K247"/>
      <c r="L247"/>
      <c r="M247"/>
      <c r="N247"/>
      <c r="O247"/>
      <c r="P247"/>
      <c r="Q247"/>
      <c r="R247"/>
      <c r="S247"/>
      <c r="T247"/>
      <c r="V247" s="66" t="s">
        <v>261</v>
      </c>
      <c r="W247" s="16" t="str">
        <f>IFERROR(VLOOKUP(CLEAN($V247),'All Security Controls'!A:I, 2, FALSE),"---")</f>
        <v xml:space="preserve">Controlled Maintenance | Automated Maintenance Activities </v>
      </c>
      <c r="X247" s="14" t="str">
        <f>IFERROR(VLOOKUP(CLEAN($V247),'All Security Controls'!$A:$I, 4, FALSE),"---")</f>
        <v>CRWG White Criticality Control</v>
      </c>
      <c r="Y247" s="14" t="str">
        <f>IFERROR(VLOOKUP(CLEAN($V247),'All Security Controls'!$A:$I,5, FALSE),"---")</f>
        <v>Annually</v>
      </c>
      <c r="Z247" s="14" t="str">
        <f>IFERROR(VLOOKUP(CLEAN($V247),'All Security Controls'!$A:$I,6, FALSE),"---")</f>
        <v>Manual</v>
      </c>
      <c r="AA247" s="14" t="str">
        <f>IFERROR(VLOOKUP(CLEAN($V247),'All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47" s="14" t="str">
        <f>IFERROR(VLOOKUP(CLEAN($V247),'All Security Controls'!$A:$I,8, FALSE),"---")</f>
        <v>POA&amp;M</v>
      </c>
      <c r="AC247" s="14" t="str">
        <f>IFERROR(VLOOKUP(CLEAN($V247),'All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47" s="26">
        <v>246</v>
      </c>
    </row>
    <row r="248" spans="1:30" s="10" customFormat="1">
      <c r="A248"/>
      <c r="B248"/>
      <c r="C248"/>
      <c r="D248"/>
      <c r="E248"/>
      <c r="F248"/>
      <c r="G248"/>
      <c r="H248"/>
      <c r="I248"/>
      <c r="J248"/>
      <c r="K248"/>
      <c r="L248"/>
      <c r="M248"/>
      <c r="N248"/>
      <c r="O248"/>
      <c r="P248"/>
      <c r="Q248"/>
      <c r="R248"/>
      <c r="S248"/>
      <c r="T248"/>
      <c r="V248" s="66" t="s">
        <v>262</v>
      </c>
      <c r="W248" s="16" t="str">
        <f>IFERROR(VLOOKUP(CLEAN($V248),'All Security Controls'!A:I, 2, FALSE),"---")</f>
        <v xml:space="preserve">Maintenance Tools </v>
      </c>
      <c r="X248" s="14" t="str">
        <f>IFERROR(VLOOKUP(CLEAN($V248),'All Security Controls'!$A:$I, 4, FALSE),"---")</f>
        <v>CRWG White Criticality Control</v>
      </c>
      <c r="Y248" s="14" t="str">
        <f>IFERROR(VLOOKUP(CLEAN($V248),'All Security Controls'!$A:$I,5, FALSE),"---")</f>
        <v>Annually</v>
      </c>
      <c r="Z248" s="14" t="str">
        <f>IFERROR(VLOOKUP(CLEAN($V248),'All Security Controls'!$A:$I,6, FALSE),"---")</f>
        <v>Manual</v>
      </c>
      <c r="AA248" s="14" t="str">
        <f>IFERROR(VLOOKUP(CLEAN($V248),'All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48" s="14" t="str">
        <f>IFERROR(VLOOKUP(CLEAN($V248),'All Security Controls'!$A:$I,8, FALSE),"---")</f>
        <v>POA&amp;M</v>
      </c>
      <c r="AC248" s="14" t="str">
        <f>IFERROR(VLOOKUP(CLEAN($V248),'All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48" s="26">
        <v>247</v>
      </c>
    </row>
    <row r="249" spans="1:30" s="10" customFormat="1">
      <c r="A249"/>
      <c r="B249"/>
      <c r="C249"/>
      <c r="D249"/>
      <c r="E249"/>
      <c r="F249"/>
      <c r="G249"/>
      <c r="H249"/>
      <c r="I249"/>
      <c r="J249"/>
      <c r="K249"/>
      <c r="L249"/>
      <c r="M249"/>
      <c r="N249"/>
      <c r="O249"/>
      <c r="P249"/>
      <c r="Q249"/>
      <c r="R249"/>
      <c r="S249"/>
      <c r="T249"/>
      <c r="V249" s="66" t="s">
        <v>263</v>
      </c>
      <c r="W249" s="16" t="str">
        <f>IFERROR(VLOOKUP(CLEAN($V249),'All Security Controls'!A:I, 2, FALSE),"---")</f>
        <v>Maintenance Tools | Inspect Tools</v>
      </c>
      <c r="X249" s="14" t="str">
        <f>IFERROR(VLOOKUP(CLEAN($V249),'All Security Controls'!$A:$I, 4, FALSE),"---")</f>
        <v>CRWG White Criticality Control</v>
      </c>
      <c r="Y249" s="14" t="str">
        <f>IFERROR(VLOOKUP(CLEAN($V249),'All Security Controls'!$A:$I,5, FALSE),"---")</f>
        <v>Annually</v>
      </c>
      <c r="Z249" s="14" t="str">
        <f>IFERROR(VLOOKUP(CLEAN($V249),'All Security Controls'!$A:$I,6, FALSE),"---")</f>
        <v>Manual</v>
      </c>
      <c r="AA249" s="14" t="str">
        <f>IFERROR(VLOOKUP(CLEAN($V249),'All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49" s="14" t="str">
        <f>IFERROR(VLOOKUP(CLEAN($V249),'All Security Controls'!$A:$I,8, FALSE),"---")</f>
        <v>POA&amp;M</v>
      </c>
      <c r="AC249" s="14" t="str">
        <f>IFERROR(VLOOKUP(CLEAN($V249),'All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49" s="26">
        <v>248</v>
      </c>
    </row>
    <row r="250" spans="1:30" s="10" customFormat="1">
      <c r="A250"/>
      <c r="B250"/>
      <c r="C250"/>
      <c r="D250"/>
      <c r="E250"/>
      <c r="F250"/>
      <c r="G250"/>
      <c r="H250"/>
      <c r="I250"/>
      <c r="J250"/>
      <c r="K250"/>
      <c r="L250"/>
      <c r="M250"/>
      <c r="N250"/>
      <c r="O250"/>
      <c r="P250"/>
      <c r="Q250"/>
      <c r="R250"/>
      <c r="S250"/>
      <c r="T250"/>
      <c r="V250" s="66" t="s">
        <v>264</v>
      </c>
      <c r="W250" s="16" t="str">
        <f>IFERROR(VLOOKUP(CLEAN($V250),'All Security Controls'!A:I, 2, FALSE),"---")</f>
        <v>Maintenance Tools | Inspect Media</v>
      </c>
      <c r="X250" s="14" t="str">
        <f>IFERROR(VLOOKUP(CLEAN($V250),'All Security Controls'!$A:$I, 4, FALSE),"---")</f>
        <v>CRWG White Criticality Control</v>
      </c>
      <c r="Y250" s="14" t="str">
        <f>IFERROR(VLOOKUP(CLEAN($V250),'All Security Controls'!$A:$I,5, FALSE),"---")</f>
        <v>Annually</v>
      </c>
      <c r="Z250" s="14" t="str">
        <f>IFERROR(VLOOKUP(CLEAN($V250),'All Security Controls'!$A:$I,6, FALSE),"---")</f>
        <v>Manual</v>
      </c>
      <c r="AA250" s="14" t="str">
        <f>IFERROR(VLOOKUP(CLEAN($V250),'All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50" s="14" t="str">
        <f>IFERROR(VLOOKUP(CLEAN($V250),'All Security Controls'!$A:$I,8, FALSE),"---")</f>
        <v>POA&amp;M</v>
      </c>
      <c r="AC250" s="14" t="str">
        <f>IFERROR(VLOOKUP(CLEAN($V250),'All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50" s="26">
        <v>249</v>
      </c>
    </row>
    <row r="251" spans="1:30" s="10" customFormat="1">
      <c r="A251"/>
      <c r="B251"/>
      <c r="C251"/>
      <c r="D251"/>
      <c r="E251"/>
      <c r="F251"/>
      <c r="G251"/>
      <c r="H251"/>
      <c r="I251"/>
      <c r="J251"/>
      <c r="K251"/>
      <c r="L251"/>
      <c r="M251"/>
      <c r="N251"/>
      <c r="O251"/>
      <c r="P251"/>
      <c r="Q251"/>
      <c r="R251"/>
      <c r="S251"/>
      <c r="T251"/>
      <c r="V251" s="66" t="s">
        <v>265</v>
      </c>
      <c r="W251" s="16" t="str">
        <f>IFERROR(VLOOKUP(CLEAN($V251),'All Security Controls'!A:I, 2, FALSE),"---")</f>
        <v>Maintenance Tools | Prevent Unauthorized Removal</v>
      </c>
      <c r="X251" s="14" t="str">
        <f>IFERROR(VLOOKUP(CLEAN($V251),'All Security Controls'!$A:$I, 4, FALSE),"---")</f>
        <v>CRWG White Criticality Control</v>
      </c>
      <c r="Y251" s="14" t="str">
        <f>IFERROR(VLOOKUP(CLEAN($V251),'All Security Controls'!$A:$I,5, FALSE),"---")</f>
        <v>Annually</v>
      </c>
      <c r="Z251" s="14" t="str">
        <f>IFERROR(VLOOKUP(CLEAN($V251),'All Security Controls'!$A:$I,6, FALSE),"---")</f>
        <v>Manual</v>
      </c>
      <c r="AA251" s="14" t="str">
        <f>IFERROR(VLOOKUP(CLEAN($V251),'All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51" s="14" t="str">
        <f>IFERROR(VLOOKUP(CLEAN($V251),'All Security Controls'!$A:$I,8, FALSE),"---")</f>
        <v>POA&amp;M</v>
      </c>
      <c r="AC251" s="14" t="str">
        <f>IFERROR(VLOOKUP(CLEAN($V251),'All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51" s="26">
        <v>250</v>
      </c>
    </row>
    <row r="252" spans="1:30" s="10" customFormat="1">
      <c r="A252"/>
      <c r="B252"/>
      <c r="C252"/>
      <c r="D252"/>
      <c r="E252"/>
      <c r="F252"/>
      <c r="G252"/>
      <c r="H252"/>
      <c r="I252"/>
      <c r="J252"/>
      <c r="K252"/>
      <c r="L252"/>
      <c r="M252"/>
      <c r="N252"/>
      <c r="O252"/>
      <c r="P252"/>
      <c r="Q252"/>
      <c r="R252"/>
      <c r="S252"/>
      <c r="T252"/>
      <c r="V252" s="66" t="s">
        <v>266</v>
      </c>
      <c r="W252" s="16" t="str">
        <f>IFERROR(VLOOKUP(CLEAN($V252),'All Security Controls'!A:I, 2, FALSE),"---")</f>
        <v xml:space="preserve">Nonlocal Maintenance </v>
      </c>
      <c r="X252" s="14" t="str">
        <f>IFERROR(VLOOKUP(CLEAN($V252),'All Security Controls'!$A:$I, 4, FALSE),"---")</f>
        <v>CRWG Yellow Criticality Control</v>
      </c>
      <c r="Y252" s="14" t="str">
        <f>IFERROR(VLOOKUP(CLEAN($V252),'All Security Controls'!$A:$I,5, FALSE),"---")</f>
        <v>Quarterly</v>
      </c>
      <c r="Z252" s="14" t="str">
        <f>IFERROR(VLOOKUP(CLEAN($V252),'All Security Controls'!$A:$I,6, FALSE),"---")</f>
        <v>Manual</v>
      </c>
      <c r="AA252" s="14" t="str">
        <f>IFERROR(VLOOKUP(CLEAN($V252),'All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52" s="14" t="str">
        <f>IFERROR(VLOOKUP(CLEAN($V252),'All Security Controls'!$A:$I,8, FALSE),"---")</f>
        <v>POA&amp;M</v>
      </c>
      <c r="AC252" s="14" t="str">
        <f>IFERROR(VLOOKUP(CLEAN($V252),'All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52" s="26">
        <v>251</v>
      </c>
    </row>
    <row r="253" spans="1:30" s="10" customFormat="1">
      <c r="A253"/>
      <c r="B253"/>
      <c r="C253"/>
      <c r="D253"/>
      <c r="E253"/>
      <c r="F253"/>
      <c r="G253"/>
      <c r="H253"/>
      <c r="I253"/>
      <c r="J253"/>
      <c r="K253"/>
      <c r="L253"/>
      <c r="M253"/>
      <c r="N253"/>
      <c r="O253"/>
      <c r="P253"/>
      <c r="Q253"/>
      <c r="R253"/>
      <c r="S253"/>
      <c r="T253"/>
      <c r="V253" s="66" t="s">
        <v>267</v>
      </c>
      <c r="W253" s="16" t="str">
        <f>IFERROR(VLOOKUP(CLEAN($V253),'All Security Controls'!A:I, 2, FALSE),"---")</f>
        <v>Nonlocal Maintenance | Auditing and Review</v>
      </c>
      <c r="X253" s="14" t="str">
        <f>IFERROR(VLOOKUP(CLEAN($V253),'All Security Controls'!$A:$I, 4, FALSE),"---")</f>
        <v>CRWG Yellow Criticality Control</v>
      </c>
      <c r="Y253" s="14" t="str">
        <f>IFERROR(VLOOKUP(CLEAN($V253),'All Security Controls'!$A:$I,5, FALSE),"---")</f>
        <v>Quarterly</v>
      </c>
      <c r="Z253" s="14" t="str">
        <f>IFERROR(VLOOKUP(CLEAN($V253),'All Security Controls'!$A:$I,6, FALSE),"---")</f>
        <v>Manual</v>
      </c>
      <c r="AA253" s="14" t="str">
        <f>IFERROR(VLOOKUP(CLEAN($V253),'All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53" s="14" t="str">
        <f>IFERROR(VLOOKUP(CLEAN($V253),'All Security Controls'!$A:$I,8, FALSE),"---")</f>
        <v>POA&amp;M</v>
      </c>
      <c r="AC253" s="14" t="str">
        <f>IFERROR(VLOOKUP(CLEAN($V253),'All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53" s="26">
        <v>252</v>
      </c>
    </row>
    <row r="254" spans="1:30" s="10" customFormat="1">
      <c r="A254"/>
      <c r="B254"/>
      <c r="C254"/>
      <c r="D254"/>
      <c r="E254"/>
      <c r="F254"/>
      <c r="G254"/>
      <c r="H254"/>
      <c r="I254"/>
      <c r="J254"/>
      <c r="K254"/>
      <c r="L254"/>
      <c r="M254"/>
      <c r="N254"/>
      <c r="O254"/>
      <c r="P254"/>
      <c r="Q254"/>
      <c r="R254"/>
      <c r="S254"/>
      <c r="T254"/>
      <c r="V254" s="66" t="s">
        <v>268</v>
      </c>
      <c r="W254" s="16" t="str">
        <f>IFERROR(VLOOKUP(CLEAN($V254),'All Security Controls'!A:I, 2, FALSE),"---")</f>
        <v>Nonlocal Maintenance | Document Nonlocal Maintenance</v>
      </c>
      <c r="X254" s="14" t="str">
        <f>IFERROR(VLOOKUP(CLEAN($V254),'All Security Controls'!$A:$I, 4, FALSE),"---")</f>
        <v>CRWG White Criticality Control</v>
      </c>
      <c r="Y254" s="14" t="str">
        <f>IFERROR(VLOOKUP(CLEAN($V254),'All Security Controls'!$A:$I,5, FALSE),"---")</f>
        <v>Annually</v>
      </c>
      <c r="Z254" s="14" t="str">
        <f>IFERROR(VLOOKUP(CLEAN($V254),'All Security Controls'!$A:$I,6, FALSE),"---")</f>
        <v>Manual</v>
      </c>
      <c r="AA254" s="14" t="str">
        <f>IFERROR(VLOOKUP(CLEAN($V254),'All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54" s="14" t="str">
        <f>IFERROR(VLOOKUP(CLEAN($V254),'All Security Controls'!$A:$I,8, FALSE),"---")</f>
        <v>POA&amp;M</v>
      </c>
      <c r="AC254" s="14" t="str">
        <f>IFERROR(VLOOKUP(CLEAN($V254),'All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54" s="26">
        <v>253</v>
      </c>
    </row>
    <row r="255" spans="1:30" s="10" customFormat="1">
      <c r="A255"/>
      <c r="B255"/>
      <c r="C255"/>
      <c r="D255"/>
      <c r="E255"/>
      <c r="F255"/>
      <c r="G255"/>
      <c r="H255"/>
      <c r="I255"/>
      <c r="J255"/>
      <c r="K255"/>
      <c r="L255"/>
      <c r="M255"/>
      <c r="N255"/>
      <c r="O255"/>
      <c r="P255"/>
      <c r="Q255"/>
      <c r="R255"/>
      <c r="S255"/>
      <c r="T255"/>
      <c r="V255" s="66" t="s">
        <v>269</v>
      </c>
      <c r="W255" s="16" t="str">
        <f>IFERROR(VLOOKUP(CLEAN($V255),'All Security Controls'!A:I, 2, FALSE),"---")</f>
        <v>Nonlocal Maintenance | Comparable Security/ Sanitization</v>
      </c>
      <c r="X255" s="14" t="str">
        <f>IFERROR(VLOOKUP(CLEAN($V255),'All Security Controls'!$A:$I, 4, FALSE),"---")</f>
        <v>CRWG White Criticality Control</v>
      </c>
      <c r="Y255" s="14" t="str">
        <f>IFERROR(VLOOKUP(CLEAN($V255),'All Security Controls'!$A:$I,5, FALSE),"---")</f>
        <v>Annually</v>
      </c>
      <c r="Z255" s="14" t="str">
        <f>IFERROR(VLOOKUP(CLEAN($V255),'All Security Controls'!$A:$I,6, FALSE),"---")</f>
        <v>Manual</v>
      </c>
      <c r="AA255" s="14" t="str">
        <f>IFERROR(VLOOKUP(CLEAN($V255),'All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55" s="14" t="str">
        <f>IFERROR(VLOOKUP(CLEAN($V255),'All Security Controls'!$A:$I,8, FALSE),"---")</f>
        <v>POA&amp;M</v>
      </c>
      <c r="AC255" s="14" t="str">
        <f>IFERROR(VLOOKUP(CLEAN($V255),'All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55" s="26">
        <v>254</v>
      </c>
    </row>
    <row r="256" spans="1:30" s="10" customFormat="1">
      <c r="A256"/>
      <c r="B256"/>
      <c r="C256"/>
      <c r="D256"/>
      <c r="E256"/>
      <c r="F256"/>
      <c r="G256"/>
      <c r="H256"/>
      <c r="I256"/>
      <c r="J256"/>
      <c r="K256"/>
      <c r="L256"/>
      <c r="M256"/>
      <c r="N256"/>
      <c r="O256"/>
      <c r="P256"/>
      <c r="Q256"/>
      <c r="R256"/>
      <c r="S256"/>
      <c r="T256"/>
      <c r="V256" s="66" t="s">
        <v>270</v>
      </c>
      <c r="W256" s="16" t="str">
        <f>IFERROR(VLOOKUP(CLEAN($V256),'All Security Controls'!A:I, 2, FALSE),"---")</f>
        <v>Nonlocal Maintenance | Cryptographic Protection</v>
      </c>
      <c r="X256" s="14" t="str">
        <f>IFERROR(VLOOKUP(CLEAN($V256),'All Security Controls'!$A:$I, 4, FALSE),"---")</f>
        <v>CRWG Yellow Criticality Control</v>
      </c>
      <c r="Y256" s="14" t="str">
        <f>IFERROR(VLOOKUP(CLEAN($V256),'All Security Controls'!$A:$I,5, FALSE),"---")</f>
        <v>Quarterly</v>
      </c>
      <c r="Z256" s="14" t="str">
        <f>IFERROR(VLOOKUP(CLEAN($V256),'All Security Controls'!$A:$I,6, FALSE),"---")</f>
        <v>Manual</v>
      </c>
      <c r="AA256" s="14" t="str">
        <f>IFERROR(VLOOKUP(CLEAN($V256),'All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56" s="14" t="str">
        <f>IFERROR(VLOOKUP(CLEAN($V256),'All Security Controls'!$A:$I,8, FALSE),"---")</f>
        <v>POA&amp;M</v>
      </c>
      <c r="AC256" s="14" t="str">
        <f>IFERROR(VLOOKUP(CLEAN($V256),'All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56" s="26">
        <v>255</v>
      </c>
    </row>
    <row r="257" spans="1:30" s="10" customFormat="1">
      <c r="A257"/>
      <c r="B257"/>
      <c r="C257"/>
      <c r="D257"/>
      <c r="E257"/>
      <c r="F257"/>
      <c r="G257"/>
      <c r="H257"/>
      <c r="I257"/>
      <c r="J257"/>
      <c r="K257"/>
      <c r="L257"/>
      <c r="M257"/>
      <c r="N257"/>
      <c r="O257"/>
      <c r="P257"/>
      <c r="Q257"/>
      <c r="R257"/>
      <c r="S257"/>
      <c r="T257"/>
      <c r="V257" s="66" t="s">
        <v>271</v>
      </c>
      <c r="W257" s="16" t="str">
        <f>IFERROR(VLOOKUP(CLEAN($V257),'All Security Controls'!A:I, 2, FALSE),"---")</f>
        <v>Nonlocal Maintenance | Remote Disconnect Verification</v>
      </c>
      <c r="X257" s="14" t="str">
        <f>IFERROR(VLOOKUP(CLEAN($V257),'All Security Controls'!$A:$I, 4, FALSE),"---")</f>
        <v>CRWG White Criticality Control</v>
      </c>
      <c r="Y257" s="14" t="str">
        <f>IFERROR(VLOOKUP(CLEAN($V257),'All Security Controls'!$A:$I,5, FALSE),"---")</f>
        <v>Annually</v>
      </c>
      <c r="Z257" s="14" t="str">
        <f>IFERROR(VLOOKUP(CLEAN($V257),'All Security Controls'!$A:$I,6, FALSE),"---")</f>
        <v>Manual</v>
      </c>
      <c r="AA257" s="14" t="str">
        <f>IFERROR(VLOOKUP(CLEAN($V257),'All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57" s="14" t="str">
        <f>IFERROR(VLOOKUP(CLEAN($V257),'All Security Controls'!$A:$I,8, FALSE),"---")</f>
        <v>POA&amp;M</v>
      </c>
      <c r="AC257" s="14" t="str">
        <f>IFERROR(VLOOKUP(CLEAN($V257),'All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57" s="26">
        <v>256</v>
      </c>
    </row>
    <row r="258" spans="1:30" s="10" customFormat="1">
      <c r="A258"/>
      <c r="B258"/>
      <c r="C258"/>
      <c r="D258"/>
      <c r="E258"/>
      <c r="F258"/>
      <c r="G258"/>
      <c r="H258"/>
      <c r="I258"/>
      <c r="J258"/>
      <c r="K258"/>
      <c r="L258"/>
      <c r="M258"/>
      <c r="N258"/>
      <c r="O258"/>
      <c r="P258"/>
      <c r="Q258"/>
      <c r="R258"/>
      <c r="S258"/>
      <c r="T258"/>
      <c r="V258" s="66" t="s">
        <v>272</v>
      </c>
      <c r="W258" s="16" t="str">
        <f>IFERROR(VLOOKUP(CLEAN($V258),'All Security Controls'!A:I, 2, FALSE),"---")</f>
        <v xml:space="preserve">Maintenance Personnel </v>
      </c>
      <c r="X258" s="14" t="str">
        <f>IFERROR(VLOOKUP(CLEAN($V258),'All Security Controls'!$A:$I, 4, FALSE),"---")</f>
        <v>CRWG White Criticality Control</v>
      </c>
      <c r="Y258" s="14" t="str">
        <f>IFERROR(VLOOKUP(CLEAN($V258),'All Security Controls'!$A:$I,5, FALSE),"---")</f>
        <v>Annually</v>
      </c>
      <c r="Z258" s="14" t="str">
        <f>IFERROR(VLOOKUP(CLEAN($V258),'All Security Controls'!$A:$I,6, FALSE),"---")</f>
        <v>Manual</v>
      </c>
      <c r="AA258" s="14" t="str">
        <f>IFERROR(VLOOKUP(CLEAN($V258),'All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58" s="14" t="str">
        <f>IFERROR(VLOOKUP(CLEAN($V258),'All Security Controls'!$A:$I,8, FALSE),"---")</f>
        <v>POA&amp;M</v>
      </c>
      <c r="AC258" s="14" t="str">
        <f>IFERROR(VLOOKUP(CLEAN($V258),'All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58" s="26">
        <v>257</v>
      </c>
    </row>
    <row r="259" spans="1:30" s="10" customFormat="1">
      <c r="A259"/>
      <c r="B259"/>
      <c r="C259"/>
      <c r="D259"/>
      <c r="E259"/>
      <c r="F259"/>
      <c r="G259"/>
      <c r="H259"/>
      <c r="I259"/>
      <c r="J259"/>
      <c r="K259"/>
      <c r="L259"/>
      <c r="M259"/>
      <c r="N259"/>
      <c r="O259"/>
      <c r="P259"/>
      <c r="Q259"/>
      <c r="R259"/>
      <c r="S259"/>
      <c r="T259"/>
      <c r="V259" s="66" t="s">
        <v>273</v>
      </c>
      <c r="W259" s="16" t="str">
        <f>IFERROR(VLOOKUP(CLEAN($V259),'All Security Controls'!A:I, 2, FALSE),"---")</f>
        <v>Maintenance Personnel | Individuals without Appropriate Access</v>
      </c>
      <c r="X259" s="14" t="str">
        <f>IFERROR(VLOOKUP(CLEAN($V259),'All Security Controls'!$A:$I, 4, FALSE),"---")</f>
        <v>CRWG White Criticality Control</v>
      </c>
      <c r="Y259" s="14" t="str">
        <f>IFERROR(VLOOKUP(CLEAN($V259),'All Security Controls'!$A:$I,5, FALSE),"---")</f>
        <v>Annually</v>
      </c>
      <c r="Z259" s="14" t="str">
        <f>IFERROR(VLOOKUP(CLEAN($V259),'All Security Controls'!$A:$I,6, FALSE),"---")</f>
        <v>Manual</v>
      </c>
      <c r="AA259" s="14" t="str">
        <f>IFERROR(VLOOKUP(CLEAN($V259),'All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59" s="14" t="str">
        <f>IFERROR(VLOOKUP(CLEAN($V259),'All Security Controls'!$A:$I,8, FALSE),"---")</f>
        <v>POA&amp;M</v>
      </c>
      <c r="AC259" s="14" t="str">
        <f>IFERROR(VLOOKUP(CLEAN($V259),'All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59" s="26">
        <v>258</v>
      </c>
    </row>
    <row r="260" spans="1:30" s="10" customFormat="1">
      <c r="A260"/>
      <c r="B260"/>
      <c r="C260"/>
      <c r="D260"/>
      <c r="E260"/>
      <c r="F260"/>
      <c r="G260"/>
      <c r="H260"/>
      <c r="I260"/>
      <c r="J260"/>
      <c r="K260"/>
      <c r="L260"/>
      <c r="M260"/>
      <c r="N260"/>
      <c r="O260"/>
      <c r="P260"/>
      <c r="Q260"/>
      <c r="R260"/>
      <c r="S260"/>
      <c r="T260"/>
      <c r="V260" s="66" t="s">
        <v>274</v>
      </c>
      <c r="W260" s="16" t="str">
        <f>IFERROR(VLOOKUP(CLEAN($V260),'All Security Controls'!A:I, 2, FALSE),"---")</f>
        <v xml:space="preserve">Media Protection Policy And Procedures </v>
      </c>
      <c r="X260" s="14" t="str">
        <f>IFERROR(VLOOKUP(CLEAN($V260),'All Security Controls'!$A:$I, 4, FALSE),"---")</f>
        <v>CRWG White Criticality Control</v>
      </c>
      <c r="Y260" s="14" t="str">
        <f>IFERROR(VLOOKUP(CLEAN($V260),'All Security Controls'!$A:$I,5, FALSE),"---")</f>
        <v>Annually</v>
      </c>
      <c r="Z260" s="14" t="str">
        <f>IFERROR(VLOOKUP(CLEAN($V260),'All Security Controls'!$A:$I,6, FALSE),"---")</f>
        <v>Manual</v>
      </c>
      <c r="AA260" s="14" t="str">
        <f>IFERROR(VLOOKUP(CLEAN($V260),'All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60" s="14" t="str">
        <f>IFERROR(VLOOKUP(CLEAN($V260),'All Security Controls'!$A:$I,8, FALSE),"---")</f>
        <v>POA&amp;M</v>
      </c>
      <c r="AC260" s="14" t="str">
        <f>IFERROR(VLOOKUP(CLEAN($V260),'All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60" s="26">
        <v>259</v>
      </c>
    </row>
    <row r="261" spans="1:30" s="10" customFormat="1">
      <c r="A261"/>
      <c r="B261"/>
      <c r="C261"/>
      <c r="D261"/>
      <c r="E261"/>
      <c r="F261"/>
      <c r="G261"/>
      <c r="H261"/>
      <c r="I261"/>
      <c r="J261"/>
      <c r="K261"/>
      <c r="L261"/>
      <c r="M261"/>
      <c r="N261"/>
      <c r="O261"/>
      <c r="P261"/>
      <c r="Q261"/>
      <c r="R261"/>
      <c r="S261"/>
      <c r="T261"/>
      <c r="V261" s="66" t="s">
        <v>275</v>
      </c>
      <c r="W261" s="16" t="str">
        <f>IFERROR(VLOOKUP(CLEAN($V261),'All Security Controls'!A:I, 2, FALSE),"---")</f>
        <v xml:space="preserve">Media Access </v>
      </c>
      <c r="X261" s="14" t="str">
        <f>IFERROR(VLOOKUP(CLEAN($V261),'All Security Controls'!$A:$I, 4, FALSE),"---")</f>
        <v>CRWG White Criticality Control</v>
      </c>
      <c r="Y261" s="14" t="str">
        <f>IFERROR(VLOOKUP(CLEAN($V261),'All Security Controls'!$A:$I,5, FALSE),"---")</f>
        <v>Annually</v>
      </c>
      <c r="Z261" s="14" t="str">
        <f>IFERROR(VLOOKUP(CLEAN($V261),'All Security Controls'!$A:$I,6, FALSE),"---")</f>
        <v>Manual</v>
      </c>
      <c r="AA261" s="14" t="str">
        <f>IFERROR(VLOOKUP(CLEAN($V261),'All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61" s="14" t="str">
        <f>IFERROR(VLOOKUP(CLEAN($V261),'All Security Controls'!$A:$I,8, FALSE),"---")</f>
        <v>POA&amp;M</v>
      </c>
      <c r="AC261" s="14" t="str">
        <f>IFERROR(VLOOKUP(CLEAN($V261),'All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61" s="26">
        <v>260</v>
      </c>
    </row>
    <row r="262" spans="1:30" s="10" customFormat="1">
      <c r="A262"/>
      <c r="B262"/>
      <c r="C262"/>
      <c r="D262"/>
      <c r="E262"/>
      <c r="F262"/>
      <c r="G262"/>
      <c r="H262"/>
      <c r="I262"/>
      <c r="J262"/>
      <c r="K262"/>
      <c r="L262"/>
      <c r="M262"/>
      <c r="N262"/>
      <c r="O262"/>
      <c r="P262"/>
      <c r="Q262"/>
      <c r="R262"/>
      <c r="S262"/>
      <c r="T262"/>
      <c r="V262" s="66" t="s">
        <v>276</v>
      </c>
      <c r="W262" s="16" t="str">
        <f>IFERROR(VLOOKUP(CLEAN($V262),'All Security Controls'!A:I, 2, FALSE),"---")</f>
        <v xml:space="preserve">Media Marking </v>
      </c>
      <c r="X262" s="14" t="str">
        <f>IFERROR(VLOOKUP(CLEAN($V262),'All Security Controls'!$A:$I, 4, FALSE),"---")</f>
        <v>CRWG Yellow Criticality Control</v>
      </c>
      <c r="Y262" s="14" t="str">
        <f>IFERROR(VLOOKUP(CLEAN($V262),'All Security Controls'!$A:$I,5, FALSE),"---")</f>
        <v>Annually</v>
      </c>
      <c r="Z262" s="14" t="str">
        <f>IFERROR(VLOOKUP(CLEAN($V262),'All Security Controls'!$A:$I,6, FALSE),"---")</f>
        <v>Manual</v>
      </c>
      <c r="AA262" s="14" t="str">
        <f>IFERROR(VLOOKUP(CLEAN($V262),'All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62" s="14" t="str">
        <f>IFERROR(VLOOKUP(CLEAN($V262),'All Security Controls'!$A:$I,8, FALSE),"---")</f>
        <v>POA&amp;M</v>
      </c>
      <c r="AC262" s="14" t="str">
        <f>IFERROR(VLOOKUP(CLEAN($V262),'All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62" s="26">
        <v>261</v>
      </c>
    </row>
    <row r="263" spans="1:30" s="10" customFormat="1">
      <c r="A263"/>
      <c r="B263"/>
      <c r="C263"/>
      <c r="D263"/>
      <c r="E263"/>
      <c r="F263"/>
      <c r="G263"/>
      <c r="H263"/>
      <c r="I263"/>
      <c r="J263"/>
      <c r="K263"/>
      <c r="L263"/>
      <c r="M263"/>
      <c r="N263"/>
      <c r="O263"/>
      <c r="P263"/>
      <c r="Q263"/>
      <c r="R263"/>
      <c r="S263"/>
      <c r="T263"/>
      <c r="V263" s="66" t="s">
        <v>277</v>
      </c>
      <c r="W263" s="16" t="str">
        <f>IFERROR(VLOOKUP(CLEAN($V263),'All Security Controls'!A:I, 2, FALSE),"---")</f>
        <v xml:space="preserve">Media Storage </v>
      </c>
      <c r="X263" s="14" t="str">
        <f>IFERROR(VLOOKUP(CLEAN($V263),'All Security Controls'!$A:$I, 4, FALSE),"---")</f>
        <v>CRWG White Criticality Control</v>
      </c>
      <c r="Y263" s="14" t="str">
        <f>IFERROR(VLOOKUP(CLEAN($V263),'All Security Controls'!$A:$I,5, FALSE),"---")</f>
        <v>Annually</v>
      </c>
      <c r="Z263" s="14" t="str">
        <f>IFERROR(VLOOKUP(CLEAN($V263),'All Security Controls'!$A:$I,6, FALSE),"---")</f>
        <v>Manual</v>
      </c>
      <c r="AA263" s="14" t="str">
        <f>IFERROR(VLOOKUP(CLEAN($V263),'All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63" s="14" t="str">
        <f>IFERROR(VLOOKUP(CLEAN($V263),'All Security Controls'!$A:$I,8, FALSE),"---")</f>
        <v>POA&amp;M</v>
      </c>
      <c r="AC263" s="14" t="str">
        <f>IFERROR(VLOOKUP(CLEAN($V263),'All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63" s="26">
        <v>262</v>
      </c>
    </row>
    <row r="264" spans="1:30" s="10" customFormat="1">
      <c r="A264"/>
      <c r="B264"/>
      <c r="C264"/>
      <c r="D264"/>
      <c r="E264"/>
      <c r="F264"/>
      <c r="G264"/>
      <c r="H264"/>
      <c r="I264"/>
      <c r="J264"/>
      <c r="K264"/>
      <c r="L264"/>
      <c r="M264"/>
      <c r="N264"/>
      <c r="O264"/>
      <c r="P264"/>
      <c r="Q264"/>
      <c r="R264"/>
      <c r="S264"/>
      <c r="T264"/>
      <c r="V264" s="66" t="s">
        <v>278</v>
      </c>
      <c r="W264" s="16" t="str">
        <f>IFERROR(VLOOKUP(CLEAN($V264),'All Security Controls'!A:I, 2, FALSE),"---")</f>
        <v xml:space="preserve">Media Transport </v>
      </c>
      <c r="X264" s="14" t="str">
        <f>IFERROR(VLOOKUP(CLEAN($V264),'All Security Controls'!$A:$I, 4, FALSE),"---")</f>
        <v>CRWG White Criticality Control</v>
      </c>
      <c r="Y264" s="14" t="str">
        <f>IFERROR(VLOOKUP(CLEAN($V264),'All Security Controls'!$A:$I,5, FALSE),"---")</f>
        <v>Annually</v>
      </c>
      <c r="Z264" s="14" t="str">
        <f>IFERROR(VLOOKUP(CLEAN($V264),'All Security Controls'!$A:$I,6, FALSE),"---")</f>
        <v>Manual</v>
      </c>
      <c r="AA264" s="14" t="str">
        <f>IFERROR(VLOOKUP(CLEAN($V264),'All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64" s="14" t="str">
        <f>IFERROR(VLOOKUP(CLEAN($V264),'All Security Controls'!$A:$I,8, FALSE),"---")</f>
        <v>POA&amp;M</v>
      </c>
      <c r="AC264" s="14" t="str">
        <f>IFERROR(VLOOKUP(CLEAN($V264),'All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64" s="26">
        <v>263</v>
      </c>
    </row>
    <row r="265" spans="1:30" s="10" customFormat="1">
      <c r="A265"/>
      <c r="B265"/>
      <c r="C265"/>
      <c r="D265"/>
      <c r="E265"/>
      <c r="F265"/>
      <c r="G265"/>
      <c r="H265"/>
      <c r="I265"/>
      <c r="J265"/>
      <c r="K265"/>
      <c r="L265"/>
      <c r="M265"/>
      <c r="N265"/>
      <c r="O265"/>
      <c r="P265"/>
      <c r="Q265"/>
      <c r="R265"/>
      <c r="S265"/>
      <c r="T265"/>
      <c r="V265" s="66" t="s">
        <v>279</v>
      </c>
      <c r="W265" s="16" t="str">
        <f>IFERROR(VLOOKUP(CLEAN($V265),'All Security Controls'!A:I, 2, FALSE),"---")</f>
        <v>Media Transport | Cryptographic Protection</v>
      </c>
      <c r="X265" s="14" t="str">
        <f>IFERROR(VLOOKUP(CLEAN($V265),'All Security Controls'!$A:$I, 4, FALSE),"---")</f>
        <v>CRWG White Criticality Control</v>
      </c>
      <c r="Y265" s="14" t="str">
        <f>IFERROR(VLOOKUP(CLEAN($V265),'All Security Controls'!$A:$I,5, FALSE),"---")</f>
        <v>Annually</v>
      </c>
      <c r="Z265" s="14" t="str">
        <f>IFERROR(VLOOKUP(CLEAN($V265),'All Security Controls'!$A:$I,6, FALSE),"---")</f>
        <v>Manual</v>
      </c>
      <c r="AA265" s="14" t="str">
        <f>IFERROR(VLOOKUP(CLEAN($V265),'All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65" s="14" t="str">
        <f>IFERROR(VLOOKUP(CLEAN($V265),'All Security Controls'!$A:$I,8, FALSE),"---")</f>
        <v>POA&amp;M</v>
      </c>
      <c r="AC265" s="14" t="str">
        <f>IFERROR(VLOOKUP(CLEAN($V265),'All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65" s="26">
        <v>264</v>
      </c>
    </row>
    <row r="266" spans="1:30" s="10" customFormat="1">
      <c r="A266"/>
      <c r="B266"/>
      <c r="C266"/>
      <c r="D266"/>
      <c r="E266"/>
      <c r="F266"/>
      <c r="G266"/>
      <c r="H266"/>
      <c r="I266"/>
      <c r="J266"/>
      <c r="K266"/>
      <c r="L266"/>
      <c r="M266"/>
      <c r="N266"/>
      <c r="O266"/>
      <c r="P266"/>
      <c r="Q266"/>
      <c r="R266"/>
      <c r="S266"/>
      <c r="T266"/>
      <c r="V266" s="66" t="s">
        <v>280</v>
      </c>
      <c r="W266" s="16" t="str">
        <f>IFERROR(VLOOKUP(CLEAN($V266),'All Security Controls'!A:I, 2, FALSE),"---")</f>
        <v xml:space="preserve">Media Sanitization </v>
      </c>
      <c r="X266" s="14" t="str">
        <f>IFERROR(VLOOKUP(CLEAN($V266),'All Security Controls'!$A:$I, 4, FALSE),"---")</f>
        <v>CRWG Yellow Criticality Control</v>
      </c>
      <c r="Y266" s="14" t="str">
        <f>IFERROR(VLOOKUP(CLEAN($V266),'All Security Controls'!$A:$I,5, FALSE),"---")</f>
        <v>Annually</v>
      </c>
      <c r="Z266" s="14" t="str">
        <f>IFERROR(VLOOKUP(CLEAN($V266),'All Security Controls'!$A:$I,6, FALSE),"---")</f>
        <v>Manual</v>
      </c>
      <c r="AA266" s="14" t="str">
        <f>IFERROR(VLOOKUP(CLEAN($V266),'All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66" s="14" t="str">
        <f>IFERROR(VLOOKUP(CLEAN($V266),'All Security Controls'!$A:$I,8, FALSE),"---")</f>
        <v>POA&amp;M</v>
      </c>
      <c r="AC266" s="14" t="str">
        <f>IFERROR(VLOOKUP(CLEAN($V266),'All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66" s="26">
        <v>265</v>
      </c>
    </row>
    <row r="267" spans="1:30" s="10" customFormat="1">
      <c r="A267"/>
      <c r="B267"/>
      <c r="C267"/>
      <c r="D267"/>
      <c r="E267"/>
      <c r="F267"/>
      <c r="G267"/>
      <c r="H267"/>
      <c r="I267"/>
      <c r="J267"/>
      <c r="K267"/>
      <c r="L267"/>
      <c r="M267"/>
      <c r="N267"/>
      <c r="O267"/>
      <c r="P267"/>
      <c r="Q267"/>
      <c r="R267"/>
      <c r="S267"/>
      <c r="T267"/>
      <c r="V267" s="66" t="s">
        <v>281</v>
      </c>
      <c r="W267" s="16" t="str">
        <f>IFERROR(VLOOKUP(CLEAN($V267),'All Security Controls'!A:I, 2, FALSE),"---")</f>
        <v>Media Sanitization | Review/ Approve/ Track/ Document/ Verify</v>
      </c>
      <c r="X267" s="14" t="str">
        <f>IFERROR(VLOOKUP(CLEAN($V267),'All Security Controls'!$A:$I, 4, FALSE),"---")</f>
        <v>CRWG White Criticality Control</v>
      </c>
      <c r="Y267" s="14" t="str">
        <f>IFERROR(VLOOKUP(CLEAN($V267),'All Security Controls'!$A:$I,5, FALSE),"---")</f>
        <v>Annually</v>
      </c>
      <c r="Z267" s="14" t="str">
        <f>IFERROR(VLOOKUP(CLEAN($V267),'All Security Controls'!$A:$I,6, FALSE),"---")</f>
        <v>Manual</v>
      </c>
      <c r="AA267" s="14" t="str">
        <f>IFERROR(VLOOKUP(CLEAN($V267),'All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67" s="14" t="str">
        <f>IFERROR(VLOOKUP(CLEAN($V267),'All Security Controls'!$A:$I,8, FALSE),"---")</f>
        <v>POA&amp;M</v>
      </c>
      <c r="AC267" s="14" t="str">
        <f>IFERROR(VLOOKUP(CLEAN($V267),'All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67" s="26">
        <v>266</v>
      </c>
    </row>
    <row r="268" spans="1:30" s="10" customFormat="1">
      <c r="A268"/>
      <c r="B268"/>
      <c r="C268"/>
      <c r="D268"/>
      <c r="E268"/>
      <c r="F268"/>
      <c r="G268"/>
      <c r="H268"/>
      <c r="I268"/>
      <c r="J268"/>
      <c r="K268"/>
      <c r="L268"/>
      <c r="M268"/>
      <c r="N268"/>
      <c r="O268"/>
      <c r="P268"/>
      <c r="Q268"/>
      <c r="R268"/>
      <c r="S268"/>
      <c r="T268"/>
      <c r="V268" s="66" t="s">
        <v>282</v>
      </c>
      <c r="W268" s="16" t="str">
        <f>IFERROR(VLOOKUP(CLEAN($V268),'All Security Controls'!A:I, 2, FALSE),"---")</f>
        <v>Media Sanitization | Equipment Testing</v>
      </c>
      <c r="X268" s="14" t="str">
        <f>IFERROR(VLOOKUP(CLEAN($V268),'All Security Controls'!$A:$I, 4, FALSE),"---")</f>
        <v>CRWG White Criticality Control</v>
      </c>
      <c r="Y268" s="14" t="str">
        <f>IFERROR(VLOOKUP(CLEAN($V268),'All Security Controls'!$A:$I,5, FALSE),"---")</f>
        <v>Annually</v>
      </c>
      <c r="Z268" s="14" t="str">
        <f>IFERROR(VLOOKUP(CLEAN($V268),'All Security Controls'!$A:$I,6, FALSE),"---")</f>
        <v>Manual</v>
      </c>
      <c r="AA268" s="14" t="str">
        <f>IFERROR(VLOOKUP(CLEAN($V268),'All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68" s="14" t="str">
        <f>IFERROR(VLOOKUP(CLEAN($V268),'All Security Controls'!$A:$I,8, FALSE),"---")</f>
        <v>POA&amp;M</v>
      </c>
      <c r="AC268" s="14" t="str">
        <f>IFERROR(VLOOKUP(CLEAN($V268),'All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68" s="26">
        <v>267</v>
      </c>
    </row>
    <row r="269" spans="1:30" s="10" customFormat="1">
      <c r="A269"/>
      <c r="B269"/>
      <c r="C269"/>
      <c r="D269"/>
      <c r="E269"/>
      <c r="F269"/>
      <c r="G269"/>
      <c r="H269"/>
      <c r="I269"/>
      <c r="J269"/>
      <c r="K269"/>
      <c r="L269"/>
      <c r="M269"/>
      <c r="N269"/>
      <c r="O269"/>
      <c r="P269"/>
      <c r="Q269"/>
      <c r="R269"/>
      <c r="S269"/>
      <c r="T269"/>
      <c r="V269" s="66" t="s">
        <v>283</v>
      </c>
      <c r="W269" s="16" t="str">
        <f>IFERROR(VLOOKUP(CLEAN($V269),'All Security Controls'!A:I, 2, FALSE),"---")</f>
        <v>Media Sanitization | Nondestructive Techniques</v>
      </c>
      <c r="X269" s="14" t="str">
        <f>IFERROR(VLOOKUP(CLEAN($V269),'All Security Controls'!$A:$I, 4, FALSE),"---")</f>
        <v>CRWG White Criticality Control</v>
      </c>
      <c r="Y269" s="14" t="str">
        <f>IFERROR(VLOOKUP(CLEAN($V269),'All Security Controls'!$A:$I,5, FALSE),"---")</f>
        <v>Annually</v>
      </c>
      <c r="Z269" s="14" t="str">
        <f>IFERROR(VLOOKUP(CLEAN($V269),'All Security Controls'!$A:$I,6, FALSE),"---")</f>
        <v>Manual</v>
      </c>
      <c r="AA269" s="14" t="str">
        <f>IFERROR(VLOOKUP(CLEAN($V269),'All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69" s="14" t="str">
        <f>IFERROR(VLOOKUP(CLEAN($V269),'All Security Controls'!$A:$I,8, FALSE),"---")</f>
        <v>POA&amp;M</v>
      </c>
      <c r="AC269" s="14" t="str">
        <f>IFERROR(VLOOKUP(CLEAN($V269),'All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69" s="26">
        <v>268</v>
      </c>
    </row>
    <row r="270" spans="1:30" s="10" customFormat="1">
      <c r="A270"/>
      <c r="B270"/>
      <c r="C270"/>
      <c r="D270"/>
      <c r="E270"/>
      <c r="F270"/>
      <c r="G270"/>
      <c r="H270"/>
      <c r="I270"/>
      <c r="J270"/>
      <c r="K270"/>
      <c r="L270"/>
      <c r="M270"/>
      <c r="N270"/>
      <c r="O270"/>
      <c r="P270"/>
      <c r="Q270"/>
      <c r="R270"/>
      <c r="S270"/>
      <c r="T270"/>
      <c r="V270" s="66" t="s">
        <v>284</v>
      </c>
      <c r="W270" s="16" t="str">
        <f>IFERROR(VLOOKUP(CLEAN($V270),'All Security Controls'!A:I, 2, FALSE),"---")</f>
        <v>Media Use</v>
      </c>
      <c r="X270" s="14" t="str">
        <f>IFERROR(VLOOKUP(CLEAN($V270),'All Security Controls'!$A:$I, 4, FALSE),"---")</f>
        <v>CRWG Yellow Criticality Control</v>
      </c>
      <c r="Y270" s="14" t="str">
        <f>IFERROR(VLOOKUP(CLEAN($V270),'All Security Controls'!$A:$I,5, FALSE),"---")</f>
        <v>Annually</v>
      </c>
      <c r="Z270" s="14" t="str">
        <f>IFERROR(VLOOKUP(CLEAN($V270),'All Security Controls'!$A:$I,6, FALSE),"---")</f>
        <v>Manual</v>
      </c>
      <c r="AA270" s="14" t="str">
        <f>IFERROR(VLOOKUP(CLEAN($V270),'All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70" s="14" t="str">
        <f>IFERROR(VLOOKUP(CLEAN($V270),'All Security Controls'!$A:$I,8, FALSE),"---")</f>
        <v>POA&amp;M</v>
      </c>
      <c r="AC270" s="14" t="str">
        <f>IFERROR(VLOOKUP(CLEAN($V270),'All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70" s="26">
        <v>269</v>
      </c>
    </row>
    <row r="271" spans="1:30" s="10" customFormat="1">
      <c r="A271"/>
      <c r="B271"/>
      <c r="C271"/>
      <c r="D271"/>
      <c r="E271"/>
      <c r="F271"/>
      <c r="G271"/>
      <c r="H271"/>
      <c r="I271"/>
      <c r="J271"/>
      <c r="K271"/>
      <c r="L271"/>
      <c r="M271"/>
      <c r="N271"/>
      <c r="O271"/>
      <c r="P271"/>
      <c r="Q271"/>
      <c r="R271"/>
      <c r="S271"/>
      <c r="T271"/>
      <c r="V271" s="66" t="s">
        <v>285</v>
      </c>
      <c r="W271" s="16" t="str">
        <f>IFERROR(VLOOKUP(CLEAN($V271),'All Security Controls'!A:I, 2, FALSE),"---")</f>
        <v>Media Use | Prohibit Use without Owner</v>
      </c>
      <c r="X271" s="14" t="str">
        <f>IFERROR(VLOOKUP(CLEAN($V271),'All Security Controls'!$A:$I, 4, FALSE),"---")</f>
        <v>CRWG White Criticality Control</v>
      </c>
      <c r="Y271" s="14" t="str">
        <f>IFERROR(VLOOKUP(CLEAN($V271),'All Security Controls'!$A:$I,5, FALSE),"---")</f>
        <v>Annually</v>
      </c>
      <c r="Z271" s="14" t="str">
        <f>IFERROR(VLOOKUP(CLEAN($V271),'All Security Controls'!$A:$I,6, FALSE),"---")</f>
        <v>Manual</v>
      </c>
      <c r="AA271" s="14" t="str">
        <f>IFERROR(VLOOKUP(CLEAN($V271),'All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71" s="14" t="str">
        <f>IFERROR(VLOOKUP(CLEAN($V271),'All Security Controls'!$A:$I,8, FALSE),"---")</f>
        <v>POA&amp;M</v>
      </c>
      <c r="AC271" s="14" t="str">
        <f>IFERROR(VLOOKUP(CLEAN($V271),'All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71" s="26">
        <v>270</v>
      </c>
    </row>
    <row r="272" spans="1:30" s="10" customFormat="1">
      <c r="A272"/>
      <c r="B272"/>
      <c r="C272"/>
      <c r="D272"/>
      <c r="E272"/>
      <c r="F272"/>
      <c r="G272"/>
      <c r="H272"/>
      <c r="I272"/>
      <c r="J272"/>
      <c r="K272"/>
      <c r="L272"/>
      <c r="M272"/>
      <c r="N272"/>
      <c r="O272"/>
      <c r="P272"/>
      <c r="Q272"/>
      <c r="R272"/>
      <c r="S272"/>
      <c r="T272"/>
      <c r="V272" s="66" t="s">
        <v>286</v>
      </c>
      <c r="W272" s="16" t="str">
        <f>IFERROR(VLOOKUP(CLEAN($V272),'All Security Controls'!A:I, 2, FALSE),"---")</f>
        <v xml:space="preserve">Physical And Environmental Protection Policy And Procedures </v>
      </c>
      <c r="X272" s="14" t="str">
        <f>IFERROR(VLOOKUP(CLEAN($V272),'All Security Controls'!$A:$I, 4, FALSE),"---")</f>
        <v>CRWG White Criticality Control</v>
      </c>
      <c r="Y272" s="14" t="str">
        <f>IFERROR(VLOOKUP(CLEAN($V272),'All Security Controls'!$A:$I,5, FALSE),"---")</f>
        <v>Annually</v>
      </c>
      <c r="Z272" s="14" t="str">
        <f>IFERROR(VLOOKUP(CLEAN($V272),'All Security Controls'!$A:$I,6, FALSE),"---")</f>
        <v>Manual</v>
      </c>
      <c r="AA272" s="14" t="str">
        <f>IFERROR(VLOOKUP(CLEAN($V272),'All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72" s="14" t="str">
        <f>IFERROR(VLOOKUP(CLEAN($V272),'All Security Controls'!$A:$I,8, FALSE),"---")</f>
        <v>POA&amp;M</v>
      </c>
      <c r="AC272" s="14" t="str">
        <f>IFERROR(VLOOKUP(CLEAN($V272),'All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72" s="26">
        <v>271</v>
      </c>
    </row>
    <row r="273" spans="1:30" s="10" customFormat="1">
      <c r="A273"/>
      <c r="B273"/>
      <c r="C273"/>
      <c r="D273"/>
      <c r="E273"/>
      <c r="F273"/>
      <c r="G273"/>
      <c r="H273"/>
      <c r="I273"/>
      <c r="J273"/>
      <c r="K273"/>
      <c r="L273"/>
      <c r="M273"/>
      <c r="N273"/>
      <c r="O273"/>
      <c r="P273"/>
      <c r="Q273"/>
      <c r="R273"/>
      <c r="S273"/>
      <c r="T273"/>
      <c r="V273" s="66" t="s">
        <v>287</v>
      </c>
      <c r="W273" s="16" t="str">
        <f>IFERROR(VLOOKUP(CLEAN($V273),'All Security Controls'!A:I, 2, FALSE),"---")</f>
        <v xml:space="preserve">Physical Access Authorizations </v>
      </c>
      <c r="X273" s="14" t="str">
        <f>IFERROR(VLOOKUP(CLEAN($V273),'All Security Controls'!$A:$I, 4, FALSE),"---")</f>
        <v>CRWG White Criticality Control</v>
      </c>
      <c r="Y273" s="14" t="str">
        <f>IFERROR(VLOOKUP(CLEAN($V273),'All Security Controls'!$A:$I,5, FALSE),"---")</f>
        <v>Annually</v>
      </c>
      <c r="Z273" s="14" t="str">
        <f>IFERROR(VLOOKUP(CLEAN($V273),'All Security Controls'!$A:$I,6, FALSE),"---")</f>
        <v>Manual</v>
      </c>
      <c r="AA273" s="14" t="str">
        <f>IFERROR(VLOOKUP(CLEAN($V273),'All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73" s="14" t="str">
        <f>IFERROR(VLOOKUP(CLEAN($V273),'All Security Controls'!$A:$I,8, FALSE),"---")</f>
        <v>POA&amp;M</v>
      </c>
      <c r="AC273" s="14" t="str">
        <f>IFERROR(VLOOKUP(CLEAN($V273),'All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73" s="26">
        <v>272</v>
      </c>
    </row>
    <row r="274" spans="1:30" s="10" customFormat="1">
      <c r="A274"/>
      <c r="B274"/>
      <c r="C274"/>
      <c r="D274"/>
      <c r="E274"/>
      <c r="F274"/>
      <c r="G274"/>
      <c r="H274"/>
      <c r="I274"/>
      <c r="J274"/>
      <c r="K274"/>
      <c r="L274"/>
      <c r="M274"/>
      <c r="N274"/>
      <c r="O274"/>
      <c r="P274"/>
      <c r="Q274"/>
      <c r="R274"/>
      <c r="S274"/>
      <c r="T274"/>
      <c r="V274" s="66" t="s">
        <v>288</v>
      </c>
      <c r="W274" s="16" t="str">
        <f>IFERROR(VLOOKUP(CLEAN($V274),'All Security Controls'!A:I, 2, FALSE),"---")</f>
        <v xml:space="preserve">Physical Access Control </v>
      </c>
      <c r="X274" s="14" t="str">
        <f>IFERROR(VLOOKUP(CLEAN($V274),'All Security Controls'!$A:$I, 4, FALSE),"---")</f>
        <v>CRWG Yellow Criticality Control</v>
      </c>
      <c r="Y274" s="14" t="str">
        <f>IFERROR(VLOOKUP(CLEAN($V274),'All Security Controls'!$A:$I,5, FALSE),"---")</f>
        <v>Annually</v>
      </c>
      <c r="Z274" s="14" t="str">
        <f>IFERROR(VLOOKUP(CLEAN($V274),'All Security Controls'!$A:$I,6, FALSE),"---")</f>
        <v>Manual</v>
      </c>
      <c r="AA274" s="14" t="str">
        <f>IFERROR(VLOOKUP(CLEAN($V274),'All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74" s="14" t="str">
        <f>IFERROR(VLOOKUP(CLEAN($V274),'All Security Controls'!$A:$I,8, FALSE),"---")</f>
        <v>POA&amp;M</v>
      </c>
      <c r="AC274" s="14" t="str">
        <f>IFERROR(VLOOKUP(CLEAN($V274),'All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74" s="26">
        <v>273</v>
      </c>
    </row>
    <row r="275" spans="1:30" s="10" customFormat="1">
      <c r="A275"/>
      <c r="B275"/>
      <c r="C275"/>
      <c r="D275"/>
      <c r="E275"/>
      <c r="F275"/>
      <c r="G275"/>
      <c r="H275"/>
      <c r="I275"/>
      <c r="J275"/>
      <c r="K275"/>
      <c r="L275"/>
      <c r="M275"/>
      <c r="N275"/>
      <c r="O275"/>
      <c r="P275"/>
      <c r="Q275"/>
      <c r="R275"/>
      <c r="S275"/>
      <c r="T275"/>
      <c r="V275" s="66" t="s">
        <v>289</v>
      </c>
      <c r="W275" s="16" t="str">
        <f>IFERROR(VLOOKUP(CLEAN($V275),'All Security Controls'!A:I, 2, FALSE),"---")</f>
        <v>Physical Access Control | Information System Access</v>
      </c>
      <c r="X275" s="14" t="str">
        <f>IFERROR(VLOOKUP(CLEAN($V275),'All Security Controls'!$A:$I, 4, FALSE),"---")</f>
        <v>CRWG White Criticality Control</v>
      </c>
      <c r="Y275" s="14" t="str">
        <f>IFERROR(VLOOKUP(CLEAN($V275),'All Security Controls'!$A:$I,5, FALSE),"---")</f>
        <v>Annually</v>
      </c>
      <c r="Z275" s="14" t="str">
        <f>IFERROR(VLOOKUP(CLEAN($V275),'All Security Controls'!$A:$I,6, FALSE),"---")</f>
        <v>Manual</v>
      </c>
      <c r="AA275" s="14" t="str">
        <f>IFERROR(VLOOKUP(CLEAN($V275),'All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75" s="14" t="str">
        <f>IFERROR(VLOOKUP(CLEAN($V275),'All Security Controls'!$A:$I,8, FALSE),"---")</f>
        <v>POA&amp;M</v>
      </c>
      <c r="AC275" s="14" t="str">
        <f>IFERROR(VLOOKUP(CLEAN($V275),'All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75" s="26">
        <v>274</v>
      </c>
    </row>
    <row r="276" spans="1:30" s="10" customFormat="1">
      <c r="A276"/>
      <c r="B276"/>
      <c r="C276"/>
      <c r="D276"/>
      <c r="E276"/>
      <c r="F276"/>
      <c r="G276"/>
      <c r="H276"/>
      <c r="I276"/>
      <c r="J276"/>
      <c r="K276"/>
      <c r="L276"/>
      <c r="M276"/>
      <c r="N276"/>
      <c r="O276"/>
      <c r="P276"/>
      <c r="Q276"/>
      <c r="R276"/>
      <c r="S276"/>
      <c r="T276"/>
      <c r="V276" s="66" t="s">
        <v>290</v>
      </c>
      <c r="W276" s="16" t="str">
        <f>IFERROR(VLOOKUP(CLEAN($V276),'All Security Controls'!A:I, 2, FALSE),"---")</f>
        <v xml:space="preserve">Access Control For Transmission Medium </v>
      </c>
      <c r="X276" s="14" t="str">
        <f>IFERROR(VLOOKUP(CLEAN($V276),'All Security Controls'!$A:$I, 4, FALSE),"---")</f>
        <v>CRWG Yellow Criticality Control</v>
      </c>
      <c r="Y276" s="14" t="str">
        <f>IFERROR(VLOOKUP(CLEAN($V276),'All Security Controls'!$A:$I,5, FALSE),"---")</f>
        <v>Annually</v>
      </c>
      <c r="Z276" s="14" t="str">
        <f>IFERROR(VLOOKUP(CLEAN($V276),'All Security Controls'!$A:$I,6, FALSE),"---")</f>
        <v>Manual</v>
      </c>
      <c r="AA276" s="14" t="str">
        <f>IFERROR(VLOOKUP(CLEAN($V276),'All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76" s="14" t="str">
        <f>IFERROR(VLOOKUP(CLEAN($V276),'All Security Controls'!$A:$I,8, FALSE),"---")</f>
        <v>POA&amp;M</v>
      </c>
      <c r="AC276" s="14" t="str">
        <f>IFERROR(VLOOKUP(CLEAN($V276),'All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76" s="26">
        <v>275</v>
      </c>
    </row>
    <row r="277" spans="1:30" s="10" customFormat="1">
      <c r="A277"/>
      <c r="B277"/>
      <c r="C277"/>
      <c r="D277"/>
      <c r="E277"/>
      <c r="F277"/>
      <c r="G277"/>
      <c r="H277"/>
      <c r="I277"/>
      <c r="J277"/>
      <c r="K277"/>
      <c r="L277"/>
      <c r="M277"/>
      <c r="N277"/>
      <c r="O277"/>
      <c r="P277"/>
      <c r="Q277"/>
      <c r="R277"/>
      <c r="S277"/>
      <c r="T277"/>
      <c r="V277" s="66" t="s">
        <v>291</v>
      </c>
      <c r="W277" s="16" t="str">
        <f>IFERROR(VLOOKUP(CLEAN($V277),'All Security Controls'!A:I, 2, FALSE),"---")</f>
        <v xml:space="preserve">Access Control For Output Devices </v>
      </c>
      <c r="X277" s="14" t="str">
        <f>IFERROR(VLOOKUP(CLEAN($V277),'All Security Controls'!$A:$I, 4, FALSE),"---")</f>
        <v>CRWG White Criticality Control</v>
      </c>
      <c r="Y277" s="14" t="str">
        <f>IFERROR(VLOOKUP(CLEAN($V277),'All Security Controls'!$A:$I,5, FALSE),"---")</f>
        <v>Annually</v>
      </c>
      <c r="Z277" s="14" t="str">
        <f>IFERROR(VLOOKUP(CLEAN($V277),'All Security Controls'!$A:$I,6, FALSE),"---")</f>
        <v>Manual</v>
      </c>
      <c r="AA277" s="14" t="str">
        <f>IFERROR(VLOOKUP(CLEAN($V277),'All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77" s="14" t="str">
        <f>IFERROR(VLOOKUP(CLEAN($V277),'All Security Controls'!$A:$I,8, FALSE),"---")</f>
        <v>POA&amp;M</v>
      </c>
      <c r="AC277" s="14" t="str">
        <f>IFERROR(VLOOKUP(CLEAN($V277),'All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77" s="26">
        <v>276</v>
      </c>
    </row>
    <row r="278" spans="1:30" s="10" customFormat="1">
      <c r="A278"/>
      <c r="B278"/>
      <c r="C278"/>
      <c r="D278"/>
      <c r="E278"/>
      <c r="F278"/>
      <c r="G278"/>
      <c r="H278"/>
      <c r="I278"/>
      <c r="J278"/>
      <c r="K278"/>
      <c r="L278"/>
      <c r="M278"/>
      <c r="N278"/>
      <c r="O278"/>
      <c r="P278"/>
      <c r="Q278"/>
      <c r="R278"/>
      <c r="S278"/>
      <c r="T278"/>
      <c r="V278" s="66" t="s">
        <v>292</v>
      </c>
      <c r="W278" s="16" t="str">
        <f>IFERROR(VLOOKUP(CLEAN($V278),'All Security Controls'!A:I, 2, FALSE),"---")</f>
        <v xml:space="preserve">Monitoring Physical Access </v>
      </c>
      <c r="X278" s="14" t="str">
        <f>IFERROR(VLOOKUP(CLEAN($V278),'All Security Controls'!$A:$I, 4, FALSE),"---")</f>
        <v>CRWG Yellow Criticality Control</v>
      </c>
      <c r="Y278" s="14" t="str">
        <f>IFERROR(VLOOKUP(CLEAN($V278),'All Security Controls'!$A:$I,5, FALSE),"---")</f>
        <v>Annually</v>
      </c>
      <c r="Z278" s="14" t="str">
        <f>IFERROR(VLOOKUP(CLEAN($V278),'All Security Controls'!$A:$I,6, FALSE),"---")</f>
        <v>Manual</v>
      </c>
      <c r="AA278" s="14" t="str">
        <f>IFERROR(VLOOKUP(CLEAN($V278),'All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278" s="14" t="str">
        <f>IFERROR(VLOOKUP(CLEAN($V278),'All Security Controls'!$A:$I,8, FALSE),"---")</f>
        <v>POA&amp;M</v>
      </c>
      <c r="AC278" s="14" t="str">
        <f>IFERROR(VLOOKUP(CLEAN($V278),'All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78" s="26">
        <v>277</v>
      </c>
    </row>
    <row r="279" spans="1:30" s="10" customFormat="1">
      <c r="A279"/>
      <c r="B279"/>
      <c r="C279"/>
      <c r="D279"/>
      <c r="E279"/>
      <c r="F279"/>
      <c r="G279"/>
      <c r="H279"/>
      <c r="I279"/>
      <c r="J279"/>
      <c r="K279"/>
      <c r="L279"/>
      <c r="M279"/>
      <c r="N279"/>
      <c r="O279"/>
      <c r="P279"/>
      <c r="Q279"/>
      <c r="R279"/>
      <c r="S279"/>
      <c r="T279"/>
      <c r="V279" s="66" t="s">
        <v>293</v>
      </c>
      <c r="W279" s="16" t="str">
        <f>IFERROR(VLOOKUP(CLEAN($V279),'All Security Controls'!A:I, 2, FALSE),"---")</f>
        <v>Monitoring Physical Access | Intrusion Alarms/ Surveillance Equipment</v>
      </c>
      <c r="X279" s="14" t="str">
        <f>IFERROR(VLOOKUP(CLEAN($V279),'All Security Controls'!$A:$I, 4, FALSE),"---")</f>
        <v>CRWG White Criticality Control</v>
      </c>
      <c r="Y279" s="14" t="str">
        <f>IFERROR(VLOOKUP(CLEAN($V279),'All Security Controls'!$A:$I,5, FALSE),"---")</f>
        <v>Annually</v>
      </c>
      <c r="Z279" s="14" t="str">
        <f>IFERROR(VLOOKUP(CLEAN($V279),'All Security Controls'!$A:$I,6, FALSE),"---")</f>
        <v>Manual</v>
      </c>
      <c r="AA279" s="14" t="str">
        <f>IFERROR(VLOOKUP(CLEAN($V279),'All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79" s="14" t="str">
        <f>IFERROR(VLOOKUP(CLEAN($V279),'All Security Controls'!$A:$I,8, FALSE),"---")</f>
        <v>POA&amp;M</v>
      </c>
      <c r="AC279" s="14" t="str">
        <f>IFERROR(VLOOKUP(CLEAN($V279),'All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79" s="26">
        <v>278</v>
      </c>
    </row>
    <row r="280" spans="1:30" s="10" customFormat="1">
      <c r="A280"/>
      <c r="B280"/>
      <c r="C280"/>
      <c r="D280"/>
      <c r="E280"/>
      <c r="F280"/>
      <c r="G280"/>
      <c r="H280"/>
      <c r="I280"/>
      <c r="J280"/>
      <c r="K280"/>
      <c r="L280"/>
      <c r="M280"/>
      <c r="N280"/>
      <c r="O280"/>
      <c r="P280"/>
      <c r="Q280"/>
      <c r="R280"/>
      <c r="S280"/>
      <c r="T280"/>
      <c r="V280" s="66" t="s">
        <v>294</v>
      </c>
      <c r="W280" s="16" t="str">
        <f>IFERROR(VLOOKUP(CLEAN($V280),'All Security Controls'!A:I, 2, FALSE),"---")</f>
        <v>Monitoring Physical Access | Monitoring Physical Access to Information Systems</v>
      </c>
      <c r="X280" s="14" t="str">
        <f>IFERROR(VLOOKUP(CLEAN($V280),'All Security Controls'!$A:$I, 4, FALSE),"---")</f>
        <v>CRWG White Criticality Control</v>
      </c>
      <c r="Y280" s="14" t="str">
        <f>IFERROR(VLOOKUP(CLEAN($V280),'All Security Controls'!$A:$I,5, FALSE),"---")</f>
        <v>Annually</v>
      </c>
      <c r="Z280" s="14" t="str">
        <f>IFERROR(VLOOKUP(CLEAN($V280),'All Security Controls'!$A:$I,6, FALSE),"---")</f>
        <v>Manual</v>
      </c>
      <c r="AA280" s="14" t="str">
        <f>IFERROR(VLOOKUP(CLEAN($V280),'All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80" s="14" t="str">
        <f>IFERROR(VLOOKUP(CLEAN($V280),'All Security Controls'!$A:$I,8, FALSE),"---")</f>
        <v>POA&amp;M</v>
      </c>
      <c r="AC280" s="14" t="str">
        <f>IFERROR(VLOOKUP(CLEAN($V280),'All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80" s="26">
        <v>279</v>
      </c>
    </row>
    <row r="281" spans="1:30" s="10" customFormat="1">
      <c r="A281"/>
      <c r="B281"/>
      <c r="C281"/>
      <c r="D281"/>
      <c r="E281"/>
      <c r="F281"/>
      <c r="G281"/>
      <c r="H281"/>
      <c r="I281"/>
      <c r="J281"/>
      <c r="K281"/>
      <c r="L281"/>
      <c r="M281"/>
      <c r="N281"/>
      <c r="O281"/>
      <c r="P281"/>
      <c r="Q281"/>
      <c r="R281"/>
      <c r="S281"/>
      <c r="T281"/>
      <c r="V281" s="66" t="s">
        <v>295</v>
      </c>
      <c r="W281" s="16" t="str">
        <f>IFERROR(VLOOKUP(CLEAN($V281),'All Security Controls'!A:I, 2, FALSE),"---")</f>
        <v xml:space="preserve">Visitor Access Records </v>
      </c>
      <c r="X281" s="14" t="str">
        <f>IFERROR(VLOOKUP(CLEAN($V281),'All Security Controls'!$A:$I, 4, FALSE),"---")</f>
        <v>CRWG White Criticality Control</v>
      </c>
      <c r="Y281" s="14" t="str">
        <f>IFERROR(VLOOKUP(CLEAN($V281),'All Security Controls'!$A:$I,5, FALSE),"---")</f>
        <v>Annually</v>
      </c>
      <c r="Z281" s="14" t="str">
        <f>IFERROR(VLOOKUP(CLEAN($V281),'All Security Controls'!$A:$I,6, FALSE),"---")</f>
        <v>Manual</v>
      </c>
      <c r="AA281" s="14" t="str">
        <f>IFERROR(VLOOKUP(CLEAN($V281),'All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81" s="14" t="str">
        <f>IFERROR(VLOOKUP(CLEAN($V281),'All Security Controls'!$A:$I,8, FALSE),"---")</f>
        <v>POA&amp;M</v>
      </c>
      <c r="AC281" s="14" t="str">
        <f>IFERROR(VLOOKUP(CLEAN($V281),'All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81" s="26">
        <v>280</v>
      </c>
    </row>
    <row r="282" spans="1:30" s="10" customFormat="1">
      <c r="A282"/>
      <c r="B282"/>
      <c r="C282"/>
      <c r="D282"/>
      <c r="E282"/>
      <c r="F282"/>
      <c r="G282"/>
      <c r="H282"/>
      <c r="I282"/>
      <c r="J282"/>
      <c r="K282"/>
      <c r="L282"/>
      <c r="M282"/>
      <c r="N282"/>
      <c r="O282"/>
      <c r="P282"/>
      <c r="Q282"/>
      <c r="R282"/>
      <c r="S282"/>
      <c r="T282"/>
      <c r="V282" s="66" t="s">
        <v>296</v>
      </c>
      <c r="W282" s="16" t="str">
        <f>IFERROR(VLOOKUP(CLEAN($V282),'All Security Controls'!A:I, 2, FALSE),"---")</f>
        <v xml:space="preserve">Visitor Access Records | Automated Records Maintenance/ Review </v>
      </c>
      <c r="X282" s="14" t="str">
        <f>IFERROR(VLOOKUP(CLEAN($V282),'All Security Controls'!$A:$I, 4, FALSE),"---")</f>
        <v>CRWG White Criticality Control</v>
      </c>
      <c r="Y282" s="14" t="str">
        <f>IFERROR(VLOOKUP(CLEAN($V282),'All Security Controls'!$A:$I,5, FALSE),"---")</f>
        <v>Annually</v>
      </c>
      <c r="Z282" s="14" t="str">
        <f>IFERROR(VLOOKUP(CLEAN($V282),'All Security Controls'!$A:$I,6, FALSE),"---")</f>
        <v>Manual</v>
      </c>
      <c r="AA282" s="14" t="str">
        <f>IFERROR(VLOOKUP(CLEAN($V282),'All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82" s="14" t="str">
        <f>IFERROR(VLOOKUP(CLEAN($V282),'All Security Controls'!$A:$I,8, FALSE),"---")</f>
        <v>POA&amp;M</v>
      </c>
      <c r="AC282" s="14" t="str">
        <f>IFERROR(VLOOKUP(CLEAN($V282),'All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82" s="26">
        <v>281</v>
      </c>
    </row>
    <row r="283" spans="1:30" s="10" customFormat="1">
      <c r="A283"/>
      <c r="B283"/>
      <c r="C283"/>
      <c r="D283"/>
      <c r="E283"/>
      <c r="F283"/>
      <c r="G283"/>
      <c r="H283"/>
      <c r="I283"/>
      <c r="J283"/>
      <c r="K283"/>
      <c r="L283"/>
      <c r="M283"/>
      <c r="N283"/>
      <c r="O283"/>
      <c r="P283"/>
      <c r="Q283"/>
      <c r="R283"/>
      <c r="S283"/>
      <c r="T283"/>
      <c r="V283" s="66" t="s">
        <v>297</v>
      </c>
      <c r="W283" s="16" t="str">
        <f>IFERROR(VLOOKUP(CLEAN($V283),'All Security Controls'!A:I, 2, FALSE),"---")</f>
        <v xml:space="preserve">Emergency Lighting </v>
      </c>
      <c r="X283" s="14" t="str">
        <f>IFERROR(VLOOKUP(CLEAN($V283),'All Security Controls'!$A:$I, 4, FALSE),"---")</f>
        <v>CRWG White Criticality Control</v>
      </c>
      <c r="Y283" s="14" t="str">
        <f>IFERROR(VLOOKUP(CLEAN($V283),'All Security Controls'!$A:$I,5, FALSE),"---")</f>
        <v>Annually</v>
      </c>
      <c r="Z283" s="14" t="str">
        <f>IFERROR(VLOOKUP(CLEAN($V283),'All Security Controls'!$A:$I,6, FALSE),"---")</f>
        <v>Manual</v>
      </c>
      <c r="AA283" s="14" t="str">
        <f>IFERROR(VLOOKUP(CLEAN($V283),'All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83" s="14" t="str">
        <f>IFERROR(VLOOKUP(CLEAN($V283),'All Security Controls'!$A:$I,8, FALSE),"---")</f>
        <v>POA&amp;M</v>
      </c>
      <c r="AC283" s="14" t="str">
        <f>IFERROR(VLOOKUP(CLEAN($V283),'All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83" s="26">
        <v>282</v>
      </c>
    </row>
    <row r="284" spans="1:30" s="10" customFormat="1">
      <c r="A284"/>
      <c r="B284"/>
      <c r="C284"/>
      <c r="D284"/>
      <c r="E284"/>
      <c r="F284"/>
      <c r="G284"/>
      <c r="H284"/>
      <c r="I284"/>
      <c r="J284"/>
      <c r="K284"/>
      <c r="L284"/>
      <c r="M284"/>
      <c r="N284"/>
      <c r="O284"/>
      <c r="P284"/>
      <c r="Q284"/>
      <c r="R284"/>
      <c r="S284"/>
      <c r="T284"/>
      <c r="V284" s="66" t="s">
        <v>298</v>
      </c>
      <c r="W284" s="16" t="str">
        <f>IFERROR(VLOOKUP(CLEAN($V284),'All Security Controls'!A:I, 2, FALSE),"---")</f>
        <v xml:space="preserve">Fire Protection </v>
      </c>
      <c r="X284" s="14" t="str">
        <f>IFERROR(VLOOKUP(CLEAN($V284),'All Security Controls'!$A:$I, 4, FALSE),"---")</f>
        <v>CRWG White Criticality Control</v>
      </c>
      <c r="Y284" s="14" t="str">
        <f>IFERROR(VLOOKUP(CLEAN($V284),'All Security Controls'!$A:$I,5, FALSE),"---")</f>
        <v>Annually</v>
      </c>
      <c r="Z284" s="14" t="str">
        <f>IFERROR(VLOOKUP(CLEAN($V284),'All Security Controls'!$A:$I,6, FALSE),"---")</f>
        <v>Manual</v>
      </c>
      <c r="AA284" s="14" t="str">
        <f>IFERROR(VLOOKUP(CLEAN($V284),'All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84" s="14" t="str">
        <f>IFERROR(VLOOKUP(CLEAN($V284),'All Security Controls'!$A:$I,8, FALSE),"---")</f>
        <v>POA&amp;M</v>
      </c>
      <c r="AC284" s="14" t="str">
        <f>IFERROR(VLOOKUP(CLEAN($V284),'All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84" s="26">
        <v>283</v>
      </c>
    </row>
    <row r="285" spans="1:30" s="10" customFormat="1">
      <c r="A285"/>
      <c r="B285"/>
      <c r="C285"/>
      <c r="D285"/>
      <c r="E285"/>
      <c r="F285"/>
      <c r="G285"/>
      <c r="H285"/>
      <c r="I285"/>
      <c r="J285"/>
      <c r="K285"/>
      <c r="L285"/>
      <c r="M285"/>
      <c r="N285"/>
      <c r="O285"/>
      <c r="P285"/>
      <c r="Q285"/>
      <c r="R285"/>
      <c r="S285"/>
      <c r="T285"/>
      <c r="V285" s="66" t="s">
        <v>299</v>
      </c>
      <c r="W285" s="16" t="str">
        <f>IFERROR(VLOOKUP(CLEAN($V285),'All Security Controls'!A:I, 2, FALSE),"---")</f>
        <v xml:space="preserve">Temperature And Humidity Controls </v>
      </c>
      <c r="X285" s="14" t="str">
        <f>IFERROR(VLOOKUP(CLEAN($V285),'All Security Controls'!$A:$I, 4, FALSE),"---")</f>
        <v>CRWG White Criticality Control</v>
      </c>
      <c r="Y285" s="14" t="str">
        <f>IFERROR(VLOOKUP(CLEAN($V285),'All Security Controls'!$A:$I,5, FALSE),"---")</f>
        <v>Annually</v>
      </c>
      <c r="Z285" s="14" t="str">
        <f>IFERROR(VLOOKUP(CLEAN($V285),'All Security Controls'!$A:$I,6, FALSE),"---")</f>
        <v>Manual</v>
      </c>
      <c r="AA285" s="14" t="str">
        <f>IFERROR(VLOOKUP(CLEAN($V285),'All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85" s="14" t="str">
        <f>IFERROR(VLOOKUP(CLEAN($V285),'All Security Controls'!$A:$I,8, FALSE),"---")</f>
        <v>POA&amp;M</v>
      </c>
      <c r="AC285" s="14" t="str">
        <f>IFERROR(VLOOKUP(CLEAN($V285),'All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85" s="26">
        <v>284</v>
      </c>
    </row>
    <row r="286" spans="1:30" s="10" customFormat="1">
      <c r="A286"/>
      <c r="B286"/>
      <c r="C286"/>
      <c r="D286"/>
      <c r="E286"/>
      <c r="F286"/>
      <c r="G286"/>
      <c r="H286"/>
      <c r="I286"/>
      <c r="J286"/>
      <c r="K286"/>
      <c r="L286"/>
      <c r="M286"/>
      <c r="N286"/>
      <c r="O286"/>
      <c r="P286"/>
      <c r="Q286"/>
      <c r="R286"/>
      <c r="S286"/>
      <c r="T286"/>
      <c r="V286" s="66" t="s">
        <v>300</v>
      </c>
      <c r="W286" s="16" t="str">
        <f>IFERROR(VLOOKUP(CLEAN($V286),'All Security Controls'!A:I, 2, FALSE),"---")</f>
        <v xml:space="preserve">Water Damage Protection </v>
      </c>
      <c r="X286" s="14" t="str">
        <f>IFERROR(VLOOKUP(CLEAN($V286),'All Security Controls'!$A:$I, 4, FALSE),"---")</f>
        <v>CRWG White Criticality Control</v>
      </c>
      <c r="Y286" s="14" t="str">
        <f>IFERROR(VLOOKUP(CLEAN($V286),'All Security Controls'!$A:$I,5, FALSE),"---")</f>
        <v>Annually</v>
      </c>
      <c r="Z286" s="14" t="str">
        <f>IFERROR(VLOOKUP(CLEAN($V286),'All Security Controls'!$A:$I,6, FALSE),"---")</f>
        <v>Manual</v>
      </c>
      <c r="AA286" s="14" t="str">
        <f>IFERROR(VLOOKUP(CLEAN($V286),'All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86" s="14" t="str">
        <f>IFERROR(VLOOKUP(CLEAN($V286),'All Security Controls'!$A:$I,8, FALSE),"---")</f>
        <v>POA&amp;M</v>
      </c>
      <c r="AC286" s="14" t="str">
        <f>IFERROR(VLOOKUP(CLEAN($V286),'All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86" s="26">
        <v>285</v>
      </c>
    </row>
    <row r="287" spans="1:30" s="10" customFormat="1">
      <c r="A287"/>
      <c r="B287"/>
      <c r="C287"/>
      <c r="D287"/>
      <c r="E287"/>
      <c r="F287"/>
      <c r="G287"/>
      <c r="H287"/>
      <c r="I287"/>
      <c r="J287"/>
      <c r="K287"/>
      <c r="L287"/>
      <c r="M287"/>
      <c r="N287"/>
      <c r="O287"/>
      <c r="P287"/>
      <c r="Q287"/>
      <c r="R287"/>
      <c r="S287"/>
      <c r="T287"/>
      <c r="V287" s="66" t="s">
        <v>301</v>
      </c>
      <c r="W287" s="16" t="str">
        <f>IFERROR(VLOOKUP(CLEAN($V287),'All Security Controls'!A:I, 2, FALSE),"---")</f>
        <v xml:space="preserve">Delivery And Removal </v>
      </c>
      <c r="X287" s="14" t="str">
        <f>IFERROR(VLOOKUP(CLEAN($V287),'All Security Controls'!$A:$I, 4, FALSE),"---")</f>
        <v>CRWG White Criticality Control</v>
      </c>
      <c r="Y287" s="14" t="str">
        <f>IFERROR(VLOOKUP(CLEAN($V287),'All Security Controls'!$A:$I,5, FALSE),"---")</f>
        <v>Annually</v>
      </c>
      <c r="Z287" s="14" t="str">
        <f>IFERROR(VLOOKUP(CLEAN($V287),'All Security Controls'!$A:$I,6, FALSE),"---")</f>
        <v>Manual</v>
      </c>
      <c r="AA287" s="14" t="str">
        <f>IFERROR(VLOOKUP(CLEAN($V287),'All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87" s="14" t="str">
        <f>IFERROR(VLOOKUP(CLEAN($V287),'All Security Controls'!$A:$I,8, FALSE),"---")</f>
        <v>POA&amp;M</v>
      </c>
      <c r="AC287" s="14" t="str">
        <f>IFERROR(VLOOKUP(CLEAN($V287),'All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87" s="26">
        <v>286</v>
      </c>
    </row>
    <row r="288" spans="1:30" s="10" customFormat="1">
      <c r="A288"/>
      <c r="B288"/>
      <c r="C288"/>
      <c r="D288"/>
      <c r="E288"/>
      <c r="F288"/>
      <c r="G288"/>
      <c r="H288"/>
      <c r="I288"/>
      <c r="J288"/>
      <c r="K288"/>
      <c r="L288"/>
      <c r="M288"/>
      <c r="N288"/>
      <c r="O288"/>
      <c r="P288"/>
      <c r="Q288"/>
      <c r="R288"/>
      <c r="S288"/>
      <c r="T288"/>
      <c r="V288" s="66" t="s">
        <v>302</v>
      </c>
      <c r="W288" s="16" t="str">
        <f>IFERROR(VLOOKUP(CLEAN($V288),'All Security Controls'!A:I, 2, FALSE),"---")</f>
        <v xml:space="preserve">Alternate Work Site </v>
      </c>
      <c r="X288" s="14" t="str">
        <f>IFERROR(VLOOKUP(CLEAN($V288),'All Security Controls'!$A:$I, 4, FALSE),"---")</f>
        <v>CRWG White Criticality Control</v>
      </c>
      <c r="Y288" s="14" t="str">
        <f>IFERROR(VLOOKUP(CLEAN($V288),'All Security Controls'!$A:$I,5, FALSE),"---")</f>
        <v>Annually</v>
      </c>
      <c r="Z288" s="14" t="str">
        <f>IFERROR(VLOOKUP(CLEAN($V288),'All Security Controls'!$A:$I,6, FALSE),"---")</f>
        <v>Manual</v>
      </c>
      <c r="AA288" s="14" t="str">
        <f>IFERROR(VLOOKUP(CLEAN($V288),'All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88" s="14" t="str">
        <f>IFERROR(VLOOKUP(CLEAN($V288),'All Security Controls'!$A:$I,8, FALSE),"---")</f>
        <v>POA&amp;M</v>
      </c>
      <c r="AC288" s="14" t="str">
        <f>IFERROR(VLOOKUP(CLEAN($V288),'All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88" s="26">
        <v>287</v>
      </c>
    </row>
    <row r="289" spans="1:30" s="10" customFormat="1">
      <c r="A289"/>
      <c r="B289"/>
      <c r="C289"/>
      <c r="D289"/>
      <c r="E289"/>
      <c r="F289"/>
      <c r="G289"/>
      <c r="H289"/>
      <c r="I289"/>
      <c r="J289"/>
      <c r="K289"/>
      <c r="L289"/>
      <c r="M289"/>
      <c r="N289"/>
      <c r="O289"/>
      <c r="P289"/>
      <c r="Q289"/>
      <c r="R289"/>
      <c r="S289"/>
      <c r="T289"/>
      <c r="V289" s="66" t="s">
        <v>303</v>
      </c>
      <c r="W289" s="16" t="str">
        <f>IFERROR(VLOOKUP(CLEAN($V289),'All Security Controls'!A:I, 2, FALSE),"---")</f>
        <v xml:space="preserve">Security Planning Policy And Procedures </v>
      </c>
      <c r="X289" s="14" t="str">
        <f>IFERROR(VLOOKUP(CLEAN($V289),'All Security Controls'!$A:$I, 4, FALSE),"---")</f>
        <v>CRWG White Criticality Control</v>
      </c>
      <c r="Y289" s="14" t="str">
        <f>IFERROR(VLOOKUP(CLEAN($V289),'All Security Controls'!$A:$I,5, FALSE),"---")</f>
        <v>Annually</v>
      </c>
      <c r="Z289" s="14" t="str">
        <f>IFERROR(VLOOKUP(CLEAN($V289),'All Security Controls'!$A:$I,6, FALSE),"---")</f>
        <v>Manual</v>
      </c>
      <c r="AA289" s="14" t="str">
        <f>IFERROR(VLOOKUP(CLEAN($V289),'All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89" s="14" t="str">
        <f>IFERROR(VLOOKUP(CLEAN($V289),'All Security Controls'!$A:$I,8, FALSE),"---")</f>
        <v>POA&amp;M</v>
      </c>
      <c r="AC289" s="14" t="str">
        <f>IFERROR(VLOOKUP(CLEAN($V289),'All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89" s="26">
        <v>288</v>
      </c>
    </row>
    <row r="290" spans="1:30" s="10" customFormat="1">
      <c r="A290"/>
      <c r="B290"/>
      <c r="C290"/>
      <c r="D290"/>
      <c r="E290"/>
      <c r="F290"/>
      <c r="G290"/>
      <c r="H290"/>
      <c r="I290"/>
      <c r="J290"/>
      <c r="K290"/>
      <c r="L290"/>
      <c r="M290"/>
      <c r="N290"/>
      <c r="O290"/>
      <c r="P290"/>
      <c r="Q290"/>
      <c r="R290"/>
      <c r="S290"/>
      <c r="T290"/>
      <c r="V290" s="66" t="s">
        <v>304</v>
      </c>
      <c r="W290" s="16" t="str">
        <f>IFERROR(VLOOKUP(CLEAN($V290),'All Security Controls'!A:I, 2, FALSE),"---")</f>
        <v xml:space="preserve">System Security Plan </v>
      </c>
      <c r="X290" s="14" t="str">
        <f>IFERROR(VLOOKUP(CLEAN($V290),'All Security Controls'!$A:$I, 4, FALSE),"---")</f>
        <v>CRWG White Criticality Control</v>
      </c>
      <c r="Y290" s="14" t="str">
        <f>IFERROR(VLOOKUP(CLEAN($V290),'All Security Controls'!$A:$I,5, FALSE),"---")</f>
        <v>Annually</v>
      </c>
      <c r="Z290" s="14" t="str">
        <f>IFERROR(VLOOKUP(CLEAN($V290),'All Security Controls'!$A:$I,6, FALSE),"---")</f>
        <v>Manual</v>
      </c>
      <c r="AA290" s="14" t="str">
        <f>IFERROR(VLOOKUP(CLEAN($V290),'All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90" s="14" t="str">
        <f>IFERROR(VLOOKUP(CLEAN($V290),'All Security Controls'!$A:$I,8, FALSE),"---")</f>
        <v>POA&amp;M</v>
      </c>
      <c r="AC290" s="14" t="str">
        <f>IFERROR(VLOOKUP(CLEAN($V290),'All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90" s="26">
        <v>289</v>
      </c>
    </row>
    <row r="291" spans="1:30" s="10" customFormat="1">
      <c r="A291"/>
      <c r="B291"/>
      <c r="C291"/>
      <c r="D291"/>
      <c r="E291"/>
      <c r="F291"/>
      <c r="G291"/>
      <c r="H291"/>
      <c r="I291"/>
      <c r="J291"/>
      <c r="K291"/>
      <c r="L291"/>
      <c r="M291"/>
      <c r="N291"/>
      <c r="O291"/>
      <c r="P291"/>
      <c r="Q291"/>
      <c r="R291"/>
      <c r="S291"/>
      <c r="T291"/>
      <c r="V291" s="66" t="s">
        <v>305</v>
      </c>
      <c r="W291" s="16" t="str">
        <f>IFERROR(VLOOKUP(CLEAN($V291),'All Security Controls'!A:I, 2, FALSE),"---")</f>
        <v>System Security Plan | Plan/ Coordinate with Other Organizational Entities</v>
      </c>
      <c r="X291" s="14" t="str">
        <f>IFERROR(VLOOKUP(CLEAN($V291),'All Security Controls'!$A:$I, 4, FALSE),"---")</f>
        <v>CRWG White Criticality Control</v>
      </c>
      <c r="Y291" s="14" t="str">
        <f>IFERROR(VLOOKUP(CLEAN($V291),'All Security Controls'!$A:$I,5, FALSE),"---")</f>
        <v>Annually</v>
      </c>
      <c r="Z291" s="14" t="str">
        <f>IFERROR(VLOOKUP(CLEAN($V291),'All Security Controls'!$A:$I,6, FALSE),"---")</f>
        <v>Manual</v>
      </c>
      <c r="AA291" s="14" t="str">
        <f>IFERROR(VLOOKUP(CLEAN($V291),'All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91" s="14" t="str">
        <f>IFERROR(VLOOKUP(CLEAN($V291),'All Security Controls'!$A:$I,8, FALSE),"---")</f>
        <v>POA&amp;M</v>
      </c>
      <c r="AC291" s="14" t="str">
        <f>IFERROR(VLOOKUP(CLEAN($V291),'All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91" s="26">
        <v>290</v>
      </c>
    </row>
    <row r="292" spans="1:30" s="10" customFormat="1">
      <c r="A292"/>
      <c r="B292"/>
      <c r="C292"/>
      <c r="D292"/>
      <c r="E292"/>
      <c r="F292"/>
      <c r="G292"/>
      <c r="H292"/>
      <c r="I292"/>
      <c r="J292"/>
      <c r="K292"/>
      <c r="L292"/>
      <c r="M292"/>
      <c r="N292"/>
      <c r="O292"/>
      <c r="P292"/>
      <c r="Q292"/>
      <c r="R292"/>
      <c r="S292"/>
      <c r="T292"/>
      <c r="V292" s="66" t="s">
        <v>306</v>
      </c>
      <c r="W292" s="16" t="str">
        <f>IFERROR(VLOOKUP(CLEAN($V292),'All Security Controls'!A:I, 2, FALSE),"---")</f>
        <v xml:space="preserve">Rules Of Behavior </v>
      </c>
      <c r="X292" s="14" t="str">
        <f>IFERROR(VLOOKUP(CLEAN($V292),'All Security Controls'!$A:$I, 4, FALSE),"---")</f>
        <v>CRWG White Criticality Control</v>
      </c>
      <c r="Y292" s="14" t="str">
        <f>IFERROR(VLOOKUP(CLEAN($V292),'All Security Controls'!$A:$I,5, FALSE),"---")</f>
        <v>Annually</v>
      </c>
      <c r="Z292" s="14" t="str">
        <f>IFERROR(VLOOKUP(CLEAN($V292),'All Security Controls'!$A:$I,6, FALSE),"---")</f>
        <v>Manual</v>
      </c>
      <c r="AA292" s="14" t="str">
        <f>IFERROR(VLOOKUP(CLEAN($V292),'All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92" s="14" t="str">
        <f>IFERROR(VLOOKUP(CLEAN($V292),'All Security Controls'!$A:$I,8, FALSE),"---")</f>
        <v>POA&amp;M</v>
      </c>
      <c r="AC292" s="14" t="str">
        <f>IFERROR(VLOOKUP(CLEAN($V292),'All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92" s="26">
        <v>291</v>
      </c>
    </row>
    <row r="293" spans="1:30" s="10" customFormat="1">
      <c r="A293"/>
      <c r="B293"/>
      <c r="C293"/>
      <c r="D293"/>
      <c r="E293"/>
      <c r="F293"/>
      <c r="G293"/>
      <c r="H293"/>
      <c r="I293"/>
      <c r="J293"/>
      <c r="K293"/>
      <c r="L293"/>
      <c r="M293"/>
      <c r="N293"/>
      <c r="O293"/>
      <c r="P293"/>
      <c r="Q293"/>
      <c r="R293"/>
      <c r="S293"/>
      <c r="T293"/>
      <c r="V293" s="66" t="s">
        <v>307</v>
      </c>
      <c r="W293" s="16" t="str">
        <f>IFERROR(VLOOKUP(CLEAN($V293),'All Security Controls'!A:I, 2, FALSE),"---")</f>
        <v>Rules Of Behavior | Social Media and Networking Restrictions</v>
      </c>
      <c r="X293" s="14" t="str">
        <f>IFERROR(VLOOKUP(CLEAN($V293),'All Security Controls'!$A:$I, 4, FALSE),"---")</f>
        <v>CRWG White Criticality Control</v>
      </c>
      <c r="Y293" s="14" t="str">
        <f>IFERROR(VLOOKUP(CLEAN($V293),'All Security Controls'!$A:$I,5, FALSE),"---")</f>
        <v>Annually</v>
      </c>
      <c r="Z293" s="14" t="str">
        <f>IFERROR(VLOOKUP(CLEAN($V293),'All Security Controls'!$A:$I,6, FALSE),"---")</f>
        <v>Manual</v>
      </c>
      <c r="AA293" s="14" t="str">
        <f>IFERROR(VLOOKUP(CLEAN($V293),'All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93" s="14" t="str">
        <f>IFERROR(VLOOKUP(CLEAN($V293),'All Security Controls'!$A:$I,8, FALSE),"---")</f>
        <v>POA&amp;M</v>
      </c>
      <c r="AC293" s="14" t="str">
        <f>IFERROR(VLOOKUP(CLEAN($V293),'All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93" s="26">
        <v>292</v>
      </c>
    </row>
    <row r="294" spans="1:30" s="10" customFormat="1">
      <c r="A294"/>
      <c r="B294"/>
      <c r="C294"/>
      <c r="D294"/>
      <c r="E294"/>
      <c r="F294"/>
      <c r="G294"/>
      <c r="H294"/>
      <c r="I294"/>
      <c r="J294"/>
      <c r="K294"/>
      <c r="L294"/>
      <c r="M294"/>
      <c r="N294"/>
      <c r="O294"/>
      <c r="P294"/>
      <c r="Q294"/>
      <c r="R294"/>
      <c r="S294"/>
      <c r="T294"/>
      <c r="V294" s="66" t="s">
        <v>308</v>
      </c>
      <c r="W294" s="16" t="str">
        <f>IFERROR(VLOOKUP(CLEAN($V294),'All Security Controls'!A:I, 2, FALSE),"---")</f>
        <v>Information Security Architecture</v>
      </c>
      <c r="X294" s="14" t="str">
        <f>IFERROR(VLOOKUP(CLEAN($V294),'All Security Controls'!$A:$I, 4, FALSE),"---")</f>
        <v>CRWG White Criticality Control</v>
      </c>
      <c r="Y294" s="14" t="str">
        <f>IFERROR(VLOOKUP(CLEAN($V294),'All Security Controls'!$A:$I,5, FALSE),"---")</f>
        <v>Annually</v>
      </c>
      <c r="Z294" s="14" t="str">
        <f>IFERROR(VLOOKUP(CLEAN($V294),'All Security Controls'!$A:$I,6, FALSE),"---")</f>
        <v>Manual</v>
      </c>
      <c r="AA294" s="14" t="str">
        <f>IFERROR(VLOOKUP(CLEAN($V294),'All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94" s="14" t="str">
        <f>IFERROR(VLOOKUP(CLEAN($V294),'All Security Controls'!$A:$I,8, FALSE),"---")</f>
        <v>POA&amp;M</v>
      </c>
      <c r="AC294" s="14" t="str">
        <f>IFERROR(VLOOKUP(CLEAN($V294),'All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94" s="26">
        <v>293</v>
      </c>
    </row>
    <row r="295" spans="1:30" s="10" customFormat="1">
      <c r="A295"/>
      <c r="B295"/>
      <c r="C295"/>
      <c r="D295"/>
      <c r="E295"/>
      <c r="F295"/>
      <c r="G295"/>
      <c r="H295"/>
      <c r="I295"/>
      <c r="J295"/>
      <c r="K295"/>
      <c r="L295"/>
      <c r="M295"/>
      <c r="N295"/>
      <c r="O295"/>
      <c r="P295"/>
      <c r="Q295"/>
      <c r="R295"/>
      <c r="S295"/>
      <c r="T295"/>
      <c r="V295" s="66" t="s">
        <v>309</v>
      </c>
      <c r="W295" s="16" t="str">
        <f>IFERROR(VLOOKUP(CLEAN($V295),'All Security Controls'!A:I, 2, FALSE),"---")</f>
        <v>Information Security Architecture | Defense-in-Depth</v>
      </c>
      <c r="X295" s="14" t="str">
        <f>IFERROR(VLOOKUP(CLEAN($V295),'All Security Controls'!$A:$I, 4, FALSE),"---")</f>
        <v>CRWG White Criticality Control</v>
      </c>
      <c r="Y295" s="14" t="str">
        <f>IFERROR(VLOOKUP(CLEAN($V295),'All Security Controls'!$A:$I,5, FALSE),"---")</f>
        <v>Annually</v>
      </c>
      <c r="Z295" s="14" t="str">
        <f>IFERROR(VLOOKUP(CLEAN($V295),'All Security Controls'!$A:$I,6, FALSE),"---")</f>
        <v>Manual</v>
      </c>
      <c r="AA295" s="14" t="str">
        <f>IFERROR(VLOOKUP(CLEAN($V295),'All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95" s="14" t="str">
        <f>IFERROR(VLOOKUP(CLEAN($V295),'All Security Controls'!$A:$I,8, FALSE),"---")</f>
        <v>POA&amp;M</v>
      </c>
      <c r="AC295" s="14" t="str">
        <f>IFERROR(VLOOKUP(CLEAN($V295),'All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95" s="26">
        <v>294</v>
      </c>
    </row>
    <row r="296" spans="1:30" s="10" customFormat="1">
      <c r="A296"/>
      <c r="B296"/>
      <c r="C296"/>
      <c r="D296"/>
      <c r="E296"/>
      <c r="F296"/>
      <c r="G296"/>
      <c r="H296"/>
      <c r="I296"/>
      <c r="J296"/>
      <c r="K296"/>
      <c r="L296"/>
      <c r="M296"/>
      <c r="N296"/>
      <c r="O296"/>
      <c r="P296"/>
      <c r="Q296"/>
      <c r="R296"/>
      <c r="S296"/>
      <c r="T296"/>
      <c r="V296" s="66" t="s">
        <v>310</v>
      </c>
      <c r="W296" s="16" t="str">
        <f>IFERROR(VLOOKUP(CLEAN($V296),'All Security Controls'!A:I, 2, FALSE),"---")</f>
        <v>Information Security Architecture | Supplier Diversity</v>
      </c>
      <c r="X296" s="14" t="str">
        <f>IFERROR(VLOOKUP(CLEAN($V296),'All Security Controls'!$A:$I, 4, FALSE),"---")</f>
        <v>CRWG White Criticality Control</v>
      </c>
      <c r="Y296" s="14" t="str">
        <f>IFERROR(VLOOKUP(CLEAN($V296),'All Security Controls'!$A:$I,5, FALSE),"---")</f>
        <v>Annually</v>
      </c>
      <c r="Z296" s="14" t="str">
        <f>IFERROR(VLOOKUP(CLEAN($V296),'All Security Controls'!$A:$I,6, FALSE),"---")</f>
        <v>Manual</v>
      </c>
      <c r="AA296" s="14" t="str">
        <f>IFERROR(VLOOKUP(CLEAN($V296),'All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96" s="14" t="str">
        <f>IFERROR(VLOOKUP(CLEAN($V296),'All Security Controls'!$A:$I,8, FALSE),"---")</f>
        <v>POA&amp;M</v>
      </c>
      <c r="AC296" s="14" t="str">
        <f>IFERROR(VLOOKUP(CLEAN($V296),'All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96" s="26">
        <v>295</v>
      </c>
    </row>
    <row r="297" spans="1:30" s="10" customFormat="1">
      <c r="A297"/>
      <c r="B297"/>
      <c r="C297"/>
      <c r="D297"/>
      <c r="E297"/>
      <c r="F297"/>
      <c r="G297"/>
      <c r="H297"/>
      <c r="I297"/>
      <c r="J297"/>
      <c r="K297"/>
      <c r="L297"/>
      <c r="M297"/>
      <c r="N297"/>
      <c r="O297"/>
      <c r="P297"/>
      <c r="Q297"/>
      <c r="R297"/>
      <c r="S297"/>
      <c r="T297"/>
      <c r="V297" s="66" t="s">
        <v>311</v>
      </c>
      <c r="W297" s="16" t="str">
        <f>IFERROR(VLOOKUP(CLEAN($V297),'All Security Controls'!A:I, 2, FALSE),"---")</f>
        <v xml:space="preserve">Information Security Program Plan </v>
      </c>
      <c r="X297" s="14" t="str">
        <f>IFERROR(VLOOKUP(CLEAN($V297),'All Security Controls'!$A:$I, 4, FALSE),"---")</f>
        <v>CRWG White Criticality Control</v>
      </c>
      <c r="Y297" s="14" t="str">
        <f>IFERROR(VLOOKUP(CLEAN($V297),'All Security Controls'!$A:$I,5, FALSE),"---")</f>
        <v>Annually</v>
      </c>
      <c r="Z297" s="14" t="str">
        <f>IFERROR(VLOOKUP(CLEAN($V297),'All Security Controls'!$A:$I,6, FALSE),"---")</f>
        <v>Manual</v>
      </c>
      <c r="AA297" s="14" t="str">
        <f>IFERROR(VLOOKUP(CLEAN($V297),'All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97" s="14" t="str">
        <f>IFERROR(VLOOKUP(CLEAN($V297),'All Security Controls'!$A:$I,8, FALSE),"---")</f>
        <v>POA&amp;M</v>
      </c>
      <c r="AC297" s="14" t="str">
        <f>IFERROR(VLOOKUP(CLEAN($V297),'All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97" s="26">
        <v>296</v>
      </c>
    </row>
    <row r="298" spans="1:30" s="10" customFormat="1">
      <c r="A298"/>
      <c r="B298"/>
      <c r="C298"/>
      <c r="D298"/>
      <c r="E298"/>
      <c r="F298"/>
      <c r="G298"/>
      <c r="H298"/>
      <c r="I298"/>
      <c r="J298"/>
      <c r="K298"/>
      <c r="L298"/>
      <c r="M298"/>
      <c r="N298"/>
      <c r="O298"/>
      <c r="P298"/>
      <c r="Q298"/>
      <c r="R298"/>
      <c r="S298"/>
      <c r="T298"/>
      <c r="V298" s="66" t="s">
        <v>312</v>
      </c>
      <c r="W298" s="16" t="str">
        <f>IFERROR(VLOOKUP(CLEAN($V298),'All Security Controls'!A:I, 2, FALSE),"---")</f>
        <v xml:space="preserve">Senior Information Security Officer </v>
      </c>
      <c r="X298" s="14" t="str">
        <f>IFERROR(VLOOKUP(CLEAN($V298),'All Security Controls'!$A:$I, 4, FALSE),"---")</f>
        <v>CRWG White Criticality Control</v>
      </c>
      <c r="Y298" s="14" t="str">
        <f>IFERROR(VLOOKUP(CLEAN($V298),'All Security Controls'!$A:$I,5, FALSE),"---")</f>
        <v>Annually</v>
      </c>
      <c r="Z298" s="14" t="str">
        <f>IFERROR(VLOOKUP(CLEAN($V298),'All Security Controls'!$A:$I,6, FALSE),"---")</f>
        <v>Manual</v>
      </c>
      <c r="AA298" s="14" t="str">
        <f>IFERROR(VLOOKUP(CLEAN($V298),'All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98" s="14" t="str">
        <f>IFERROR(VLOOKUP(CLEAN($V298),'All Security Controls'!$A:$I,8, FALSE),"---")</f>
        <v>POA&amp;M</v>
      </c>
      <c r="AC298" s="14" t="str">
        <f>IFERROR(VLOOKUP(CLEAN($V298),'All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98" s="26">
        <v>297</v>
      </c>
    </row>
    <row r="299" spans="1:30" s="10" customFormat="1">
      <c r="A299"/>
      <c r="B299"/>
      <c r="C299"/>
      <c r="D299"/>
      <c r="E299"/>
      <c r="F299"/>
      <c r="G299"/>
      <c r="H299"/>
      <c r="I299"/>
      <c r="J299"/>
      <c r="K299"/>
      <c r="L299"/>
      <c r="M299"/>
      <c r="N299"/>
      <c r="O299"/>
      <c r="P299"/>
      <c r="Q299"/>
      <c r="R299"/>
      <c r="S299"/>
      <c r="T299"/>
      <c r="V299" s="66" t="s">
        <v>313</v>
      </c>
      <c r="W299" s="16" t="str">
        <f>IFERROR(VLOOKUP(CLEAN($V299),'All Security Controls'!A:I, 2, FALSE),"---")</f>
        <v xml:space="preserve">Information Security Resources </v>
      </c>
      <c r="X299" s="14" t="str">
        <f>IFERROR(VLOOKUP(CLEAN($V299),'All Security Controls'!$A:$I, 4, FALSE),"---")</f>
        <v>CRWG White Criticality Control</v>
      </c>
      <c r="Y299" s="14" t="str">
        <f>IFERROR(VLOOKUP(CLEAN($V299),'All Security Controls'!$A:$I,5, FALSE),"---")</f>
        <v>Annually</v>
      </c>
      <c r="Z299" s="14" t="str">
        <f>IFERROR(VLOOKUP(CLEAN($V299),'All Security Controls'!$A:$I,6, FALSE),"---")</f>
        <v>Manual</v>
      </c>
      <c r="AA299" s="14" t="str">
        <f>IFERROR(VLOOKUP(CLEAN($V299),'All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299" s="14" t="str">
        <f>IFERROR(VLOOKUP(CLEAN($V299),'All Security Controls'!$A:$I,8, FALSE),"---")</f>
        <v>POA&amp;M</v>
      </c>
      <c r="AC299" s="14" t="str">
        <f>IFERROR(VLOOKUP(CLEAN($V299),'All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299" s="26">
        <v>298</v>
      </c>
    </row>
    <row r="300" spans="1:30" s="10" customFormat="1">
      <c r="A300"/>
      <c r="B300"/>
      <c r="C300"/>
      <c r="D300"/>
      <c r="E300"/>
      <c r="F300"/>
      <c r="G300"/>
      <c r="H300"/>
      <c r="I300"/>
      <c r="J300"/>
      <c r="K300"/>
      <c r="L300"/>
      <c r="M300"/>
      <c r="N300"/>
      <c r="O300"/>
      <c r="P300"/>
      <c r="Q300"/>
      <c r="R300"/>
      <c r="S300"/>
      <c r="T300"/>
      <c r="V300" s="66" t="s">
        <v>314</v>
      </c>
      <c r="W300" s="16" t="str">
        <f>IFERROR(VLOOKUP(CLEAN($V300),'All Security Controls'!A:I, 2, FALSE),"---")</f>
        <v xml:space="preserve">Plan of Action and Milestones Process </v>
      </c>
      <c r="X300" s="14" t="str">
        <f>IFERROR(VLOOKUP(CLEAN($V300),'All Security Controls'!$A:$I, 4, FALSE),"---")</f>
        <v>CRWG White Criticality Control</v>
      </c>
      <c r="Y300" s="14" t="str">
        <f>IFERROR(VLOOKUP(CLEAN($V300),'All Security Controls'!$A:$I,5, FALSE),"---")</f>
        <v>Annually</v>
      </c>
      <c r="Z300" s="14" t="str">
        <f>IFERROR(VLOOKUP(CLEAN($V300),'All Security Controls'!$A:$I,6, FALSE),"---")</f>
        <v>Manual</v>
      </c>
      <c r="AA300" s="14" t="str">
        <f>IFERROR(VLOOKUP(CLEAN($V300),'All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00" s="14" t="str">
        <f>IFERROR(VLOOKUP(CLEAN($V300),'All Security Controls'!$A:$I,8, FALSE),"---")</f>
        <v>POA&amp;M</v>
      </c>
      <c r="AC300" s="14" t="str">
        <f>IFERROR(VLOOKUP(CLEAN($V300),'All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00" s="26">
        <v>299</v>
      </c>
    </row>
    <row r="301" spans="1:30" s="10" customFormat="1">
      <c r="A301"/>
      <c r="B301"/>
      <c r="C301"/>
      <c r="D301"/>
      <c r="E301"/>
      <c r="F301"/>
      <c r="G301"/>
      <c r="H301"/>
      <c r="I301"/>
      <c r="J301"/>
      <c r="K301"/>
      <c r="L301"/>
      <c r="M301"/>
      <c r="N301"/>
      <c r="O301"/>
      <c r="P301"/>
      <c r="Q301"/>
      <c r="R301"/>
      <c r="S301"/>
      <c r="T301"/>
      <c r="V301" s="66" t="s">
        <v>315</v>
      </c>
      <c r="W301" s="16" t="str">
        <f>IFERROR(VLOOKUP(CLEAN($V301),'All Security Controls'!A:I, 2, FALSE),"---")</f>
        <v xml:space="preserve">Information System Inventory </v>
      </c>
      <c r="X301" s="14" t="str">
        <f>IFERROR(VLOOKUP(CLEAN($V301),'All Security Controls'!$A:$I, 4, FALSE),"---")</f>
        <v>CRWG White Criticality Control</v>
      </c>
      <c r="Y301" s="14" t="str">
        <f>IFERROR(VLOOKUP(CLEAN($V301),'All Security Controls'!$A:$I,5, FALSE),"---")</f>
        <v>Annually</v>
      </c>
      <c r="Z301" s="14" t="str">
        <f>IFERROR(VLOOKUP(CLEAN($V301),'All Security Controls'!$A:$I,6, FALSE),"---")</f>
        <v>Manual</v>
      </c>
      <c r="AA301" s="14" t="str">
        <f>IFERROR(VLOOKUP(CLEAN($V301),'All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01" s="14" t="str">
        <f>IFERROR(VLOOKUP(CLEAN($V301),'All Security Controls'!$A:$I,8, FALSE),"---")</f>
        <v>POA&amp;M</v>
      </c>
      <c r="AC301" s="14" t="str">
        <f>IFERROR(VLOOKUP(CLEAN($V301),'All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01" s="26">
        <v>300</v>
      </c>
    </row>
    <row r="302" spans="1:30" s="10" customFormat="1">
      <c r="A302"/>
      <c r="B302"/>
      <c r="C302"/>
      <c r="D302"/>
      <c r="E302"/>
      <c r="F302"/>
      <c r="G302"/>
      <c r="H302"/>
      <c r="I302"/>
      <c r="J302"/>
      <c r="K302"/>
      <c r="L302"/>
      <c r="M302"/>
      <c r="N302"/>
      <c r="O302"/>
      <c r="P302"/>
      <c r="Q302"/>
      <c r="R302"/>
      <c r="S302"/>
      <c r="T302"/>
      <c r="V302" s="66" t="s">
        <v>316</v>
      </c>
      <c r="W302" s="16" t="str">
        <f>IFERROR(VLOOKUP(CLEAN($V302),'All Security Controls'!A:I, 2, FALSE),"---")</f>
        <v xml:space="preserve">Information Security Measures of Performance </v>
      </c>
      <c r="X302" s="14" t="str">
        <f>IFERROR(VLOOKUP(CLEAN($V302),'All Security Controls'!$A:$I, 4, FALSE),"---")</f>
        <v>CRWG White Criticality Control</v>
      </c>
      <c r="Y302" s="14" t="str">
        <f>IFERROR(VLOOKUP(CLEAN($V302),'All Security Controls'!$A:$I,5, FALSE),"---")</f>
        <v>Annually</v>
      </c>
      <c r="Z302" s="14" t="str">
        <f>IFERROR(VLOOKUP(CLEAN($V302),'All Security Controls'!$A:$I,6, FALSE),"---")</f>
        <v>Manual</v>
      </c>
      <c r="AA302" s="14" t="str">
        <f>IFERROR(VLOOKUP(CLEAN($V302),'All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02" s="14" t="str">
        <f>IFERROR(VLOOKUP(CLEAN($V302),'All Security Controls'!$A:$I,8, FALSE),"---")</f>
        <v>POA&amp;M</v>
      </c>
      <c r="AC302" s="14" t="str">
        <f>IFERROR(VLOOKUP(CLEAN($V302),'All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02" s="26">
        <v>301</v>
      </c>
    </row>
    <row r="303" spans="1:30" s="10" customFormat="1">
      <c r="A303"/>
      <c r="B303"/>
      <c r="C303"/>
      <c r="D303"/>
      <c r="E303"/>
      <c r="F303"/>
      <c r="G303"/>
      <c r="H303"/>
      <c r="I303"/>
      <c r="J303"/>
      <c r="K303"/>
      <c r="L303"/>
      <c r="M303"/>
      <c r="N303"/>
      <c r="O303"/>
      <c r="P303"/>
      <c r="Q303"/>
      <c r="R303"/>
      <c r="S303"/>
      <c r="T303"/>
      <c r="V303" s="66" t="s">
        <v>317</v>
      </c>
      <c r="W303" s="16" t="str">
        <f>IFERROR(VLOOKUP(CLEAN($V303),'All Security Controls'!A:I, 2, FALSE),"---")</f>
        <v xml:space="preserve">Enterprise Architecture </v>
      </c>
      <c r="X303" s="14" t="str">
        <f>IFERROR(VLOOKUP(CLEAN($V303),'All Security Controls'!$A:$I, 4, FALSE),"---")</f>
        <v>CRWG White Criticality Control</v>
      </c>
      <c r="Y303" s="14" t="str">
        <f>IFERROR(VLOOKUP(CLEAN($V303),'All Security Controls'!$A:$I,5, FALSE),"---")</f>
        <v>Annually</v>
      </c>
      <c r="Z303" s="14" t="str">
        <f>IFERROR(VLOOKUP(CLEAN($V303),'All Security Controls'!$A:$I,6, FALSE),"---")</f>
        <v>Manual</v>
      </c>
      <c r="AA303" s="14" t="str">
        <f>IFERROR(VLOOKUP(CLEAN($V303),'All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03" s="14" t="str">
        <f>IFERROR(VLOOKUP(CLEAN($V303),'All Security Controls'!$A:$I,8, FALSE),"---")</f>
        <v>POA&amp;M</v>
      </c>
      <c r="AC303" s="14" t="str">
        <f>IFERROR(VLOOKUP(CLEAN($V303),'All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03" s="26">
        <v>302</v>
      </c>
    </row>
    <row r="304" spans="1:30" s="10" customFormat="1">
      <c r="A304"/>
      <c r="B304"/>
      <c r="C304"/>
      <c r="D304"/>
      <c r="E304"/>
      <c r="F304"/>
      <c r="G304"/>
      <c r="H304"/>
      <c r="I304"/>
      <c r="J304"/>
      <c r="K304"/>
      <c r="L304"/>
      <c r="M304"/>
      <c r="N304"/>
      <c r="O304"/>
      <c r="P304"/>
      <c r="Q304"/>
      <c r="R304"/>
      <c r="S304"/>
      <c r="T304"/>
      <c r="V304" s="66" t="s">
        <v>318</v>
      </c>
      <c r="W304" s="16" t="str">
        <f>IFERROR(VLOOKUP(CLEAN($V304),'All Security Controls'!A:I, 2, FALSE),"---")</f>
        <v xml:space="preserve">Critical Infrastructure Plan </v>
      </c>
      <c r="X304" s="14" t="str">
        <f>IFERROR(VLOOKUP(CLEAN($V304),'All Security Controls'!$A:$I, 4, FALSE),"---")</f>
        <v>CRWG White Criticality Control</v>
      </c>
      <c r="Y304" s="14" t="str">
        <f>IFERROR(VLOOKUP(CLEAN($V304),'All Security Controls'!$A:$I,5, FALSE),"---")</f>
        <v>Annually</v>
      </c>
      <c r="Z304" s="14" t="str">
        <f>IFERROR(VLOOKUP(CLEAN($V304),'All Security Controls'!$A:$I,6, FALSE),"---")</f>
        <v>Manual</v>
      </c>
      <c r="AA304" s="14" t="str">
        <f>IFERROR(VLOOKUP(CLEAN($V304),'All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04" s="14" t="str">
        <f>IFERROR(VLOOKUP(CLEAN($V304),'All Security Controls'!$A:$I,8, FALSE),"---")</f>
        <v>POA&amp;M</v>
      </c>
      <c r="AC304" s="14" t="str">
        <f>IFERROR(VLOOKUP(CLEAN($V304),'All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04" s="26">
        <v>303</v>
      </c>
    </row>
    <row r="305" spans="1:30" s="10" customFormat="1">
      <c r="A305"/>
      <c r="B305"/>
      <c r="C305"/>
      <c r="D305"/>
      <c r="E305"/>
      <c r="F305"/>
      <c r="G305"/>
      <c r="H305"/>
      <c r="I305"/>
      <c r="J305"/>
      <c r="K305"/>
      <c r="L305"/>
      <c r="M305"/>
      <c r="N305"/>
      <c r="O305"/>
      <c r="P305"/>
      <c r="Q305"/>
      <c r="R305"/>
      <c r="S305"/>
      <c r="T305"/>
      <c r="V305" s="66" t="s">
        <v>319</v>
      </c>
      <c r="W305" s="16" t="str">
        <f>IFERROR(VLOOKUP(CLEAN($V305),'All Security Controls'!A:I, 2, FALSE),"---")</f>
        <v xml:space="preserve">Risk Management Strategy </v>
      </c>
      <c r="X305" s="14" t="str">
        <f>IFERROR(VLOOKUP(CLEAN($V305),'All Security Controls'!$A:$I, 4, FALSE),"---")</f>
        <v>CRWG White Criticality Control</v>
      </c>
      <c r="Y305" s="14" t="str">
        <f>IFERROR(VLOOKUP(CLEAN($V305),'All Security Controls'!$A:$I,5, FALSE),"---")</f>
        <v>Annually</v>
      </c>
      <c r="Z305" s="14" t="str">
        <f>IFERROR(VLOOKUP(CLEAN($V305),'All Security Controls'!$A:$I,6, FALSE),"---")</f>
        <v>Manual</v>
      </c>
      <c r="AA305" s="14" t="str">
        <f>IFERROR(VLOOKUP(CLEAN($V305),'All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05" s="14" t="str">
        <f>IFERROR(VLOOKUP(CLEAN($V305),'All Security Controls'!$A:$I,8, FALSE),"---")</f>
        <v>POA&amp;M</v>
      </c>
      <c r="AC305" s="14" t="str">
        <f>IFERROR(VLOOKUP(CLEAN($V305),'All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05" s="26">
        <v>304</v>
      </c>
    </row>
    <row r="306" spans="1:30" s="10" customFormat="1">
      <c r="A306"/>
      <c r="B306"/>
      <c r="C306"/>
      <c r="D306"/>
      <c r="E306"/>
      <c r="F306"/>
      <c r="G306"/>
      <c r="H306"/>
      <c r="I306"/>
      <c r="J306"/>
      <c r="K306"/>
      <c r="L306"/>
      <c r="M306"/>
      <c r="N306"/>
      <c r="O306"/>
      <c r="P306"/>
      <c r="Q306"/>
      <c r="R306"/>
      <c r="S306"/>
      <c r="T306"/>
      <c r="V306" s="66" t="s">
        <v>320</v>
      </c>
      <c r="W306" s="16" t="str">
        <f>IFERROR(VLOOKUP(CLEAN($V306),'All Security Controls'!A:I, 2, FALSE),"---")</f>
        <v xml:space="preserve">Security Authorization Process </v>
      </c>
      <c r="X306" s="14" t="str">
        <f>IFERROR(VLOOKUP(CLEAN($V306),'All Security Controls'!$A:$I, 4, FALSE),"---")</f>
        <v>CRWG White Criticality Control</v>
      </c>
      <c r="Y306" s="14" t="str">
        <f>IFERROR(VLOOKUP(CLEAN($V306),'All Security Controls'!$A:$I,5, FALSE),"---")</f>
        <v>Annually</v>
      </c>
      <c r="Z306" s="14" t="str">
        <f>IFERROR(VLOOKUP(CLEAN($V306),'All Security Controls'!$A:$I,6, FALSE),"---")</f>
        <v>Manual</v>
      </c>
      <c r="AA306" s="14" t="str">
        <f>IFERROR(VLOOKUP(CLEAN($V306),'All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06" s="14" t="str">
        <f>IFERROR(VLOOKUP(CLEAN($V306),'All Security Controls'!$A:$I,8, FALSE),"---")</f>
        <v>POA&amp;M</v>
      </c>
      <c r="AC306" s="14" t="str">
        <f>IFERROR(VLOOKUP(CLEAN($V306),'All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06" s="26">
        <v>305</v>
      </c>
    </row>
    <row r="307" spans="1:30" s="10" customFormat="1">
      <c r="A307"/>
      <c r="B307"/>
      <c r="C307"/>
      <c r="D307"/>
      <c r="E307"/>
      <c r="F307"/>
      <c r="G307"/>
      <c r="H307"/>
      <c r="I307"/>
      <c r="J307"/>
      <c r="K307"/>
      <c r="L307"/>
      <c r="M307"/>
      <c r="N307"/>
      <c r="O307"/>
      <c r="P307"/>
      <c r="Q307"/>
      <c r="R307"/>
      <c r="S307"/>
      <c r="T307"/>
      <c r="V307" s="66" t="s">
        <v>321</v>
      </c>
      <c r="W307" s="16" t="str">
        <f>IFERROR(VLOOKUP(CLEAN($V307),'All Security Controls'!A:I, 2, FALSE),"---")</f>
        <v xml:space="preserve">Mission/Business Process Definition </v>
      </c>
      <c r="X307" s="14" t="str">
        <f>IFERROR(VLOOKUP(CLEAN($V307),'All Security Controls'!$A:$I, 4, FALSE),"---")</f>
        <v>CRWG White Criticality Control</v>
      </c>
      <c r="Y307" s="14" t="str">
        <f>IFERROR(VLOOKUP(CLEAN($V307),'All Security Controls'!$A:$I,5, FALSE),"---")</f>
        <v>Annually</v>
      </c>
      <c r="Z307" s="14" t="str">
        <f>IFERROR(VLOOKUP(CLEAN($V307),'All Security Controls'!$A:$I,6, FALSE),"---")</f>
        <v>Manual</v>
      </c>
      <c r="AA307" s="14" t="str">
        <f>IFERROR(VLOOKUP(CLEAN($V307),'All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07" s="14" t="str">
        <f>IFERROR(VLOOKUP(CLEAN($V307),'All Security Controls'!$A:$I,8, FALSE),"---")</f>
        <v>POA&amp;M</v>
      </c>
      <c r="AC307" s="14" t="str">
        <f>IFERROR(VLOOKUP(CLEAN($V307),'All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07" s="26">
        <v>306</v>
      </c>
    </row>
    <row r="308" spans="1:30" s="10" customFormat="1">
      <c r="A308"/>
      <c r="B308"/>
      <c r="C308"/>
      <c r="D308"/>
      <c r="E308"/>
      <c r="F308"/>
      <c r="G308"/>
      <c r="H308"/>
      <c r="I308"/>
      <c r="J308"/>
      <c r="K308"/>
      <c r="L308"/>
      <c r="M308"/>
      <c r="N308"/>
      <c r="O308"/>
      <c r="P308"/>
      <c r="Q308"/>
      <c r="R308"/>
      <c r="S308"/>
      <c r="T308"/>
      <c r="V308" s="66" t="s">
        <v>322</v>
      </c>
      <c r="W308" s="16" t="str">
        <f>IFERROR(VLOOKUP(CLEAN($V308),'All Security Controls'!A:I, 2, FALSE),"---")</f>
        <v>Insider Threat Program</v>
      </c>
      <c r="X308" s="14" t="str">
        <f>IFERROR(VLOOKUP(CLEAN($V308),'All Security Controls'!$A:$I, 4, FALSE),"---")</f>
        <v>CRWG White Criticality Control</v>
      </c>
      <c r="Y308" s="14" t="str">
        <f>IFERROR(VLOOKUP(CLEAN($V308),'All Security Controls'!$A:$I,5, FALSE),"---")</f>
        <v>Annually</v>
      </c>
      <c r="Z308" s="14" t="str">
        <f>IFERROR(VLOOKUP(CLEAN($V308),'All Security Controls'!$A:$I,6, FALSE),"---")</f>
        <v>Manual</v>
      </c>
      <c r="AA308" s="14" t="str">
        <f>IFERROR(VLOOKUP(CLEAN($V308),'All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08" s="14" t="str">
        <f>IFERROR(VLOOKUP(CLEAN($V308),'All Security Controls'!$A:$I,8, FALSE),"---")</f>
        <v>POA&amp;M</v>
      </c>
      <c r="AC308" s="14" t="str">
        <f>IFERROR(VLOOKUP(CLEAN($V308),'All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08" s="26">
        <v>307</v>
      </c>
    </row>
    <row r="309" spans="1:30" s="10" customFormat="1">
      <c r="A309"/>
      <c r="B309"/>
      <c r="C309"/>
      <c r="D309"/>
      <c r="E309"/>
      <c r="F309"/>
      <c r="G309"/>
      <c r="H309"/>
      <c r="I309"/>
      <c r="J309"/>
      <c r="K309"/>
      <c r="L309"/>
      <c r="M309"/>
      <c r="N309"/>
      <c r="O309"/>
      <c r="P309"/>
      <c r="Q309"/>
      <c r="R309"/>
      <c r="S309"/>
      <c r="T309"/>
      <c r="V309" s="66" t="s">
        <v>323</v>
      </c>
      <c r="W309" s="16" t="str">
        <f>IFERROR(VLOOKUP(CLEAN($V309),'All Security Controls'!A:I, 2, FALSE),"---")</f>
        <v>Information Security Workforce</v>
      </c>
      <c r="X309" s="14" t="str">
        <f>IFERROR(VLOOKUP(CLEAN($V309),'All Security Controls'!$A:$I, 4, FALSE),"---")</f>
        <v>CRWG White Criticality Control</v>
      </c>
      <c r="Y309" s="14" t="str">
        <f>IFERROR(VLOOKUP(CLEAN($V309),'All Security Controls'!$A:$I,5, FALSE),"---")</f>
        <v>Annually</v>
      </c>
      <c r="Z309" s="14" t="str">
        <f>IFERROR(VLOOKUP(CLEAN($V309),'All Security Controls'!$A:$I,6, FALSE),"---")</f>
        <v>Manual</v>
      </c>
      <c r="AA309" s="14" t="str">
        <f>IFERROR(VLOOKUP(CLEAN($V309),'All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09" s="14" t="str">
        <f>IFERROR(VLOOKUP(CLEAN($V309),'All Security Controls'!$A:$I,8, FALSE),"---")</f>
        <v>POA&amp;M</v>
      </c>
      <c r="AC309" s="14" t="str">
        <f>IFERROR(VLOOKUP(CLEAN($V309),'All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09" s="26">
        <v>308</v>
      </c>
    </row>
    <row r="310" spans="1:30" s="10" customFormat="1">
      <c r="A310"/>
      <c r="B310"/>
      <c r="C310"/>
      <c r="D310"/>
      <c r="E310"/>
      <c r="F310"/>
      <c r="G310"/>
      <c r="H310"/>
      <c r="I310"/>
      <c r="J310"/>
      <c r="K310"/>
      <c r="L310"/>
      <c r="M310"/>
      <c r="N310"/>
      <c r="O310"/>
      <c r="P310"/>
      <c r="Q310"/>
      <c r="R310"/>
      <c r="S310"/>
      <c r="T310"/>
      <c r="V310" s="66" t="s">
        <v>324</v>
      </c>
      <c r="W310" s="16" t="str">
        <f>IFERROR(VLOOKUP(CLEAN($V310),'All Security Controls'!A:I, 2, FALSE),"---")</f>
        <v>Testing, Training, and Monitoring</v>
      </c>
      <c r="X310" s="14" t="str">
        <f>IFERROR(VLOOKUP(CLEAN($V310),'All Security Controls'!$A:$I, 4, FALSE),"---")</f>
        <v>CRWG White Criticality Control</v>
      </c>
      <c r="Y310" s="14" t="str">
        <f>IFERROR(VLOOKUP(CLEAN($V310),'All Security Controls'!$A:$I,5, FALSE),"---")</f>
        <v>Annually</v>
      </c>
      <c r="Z310" s="14" t="str">
        <f>IFERROR(VLOOKUP(CLEAN($V310),'All Security Controls'!$A:$I,6, FALSE),"---")</f>
        <v>Manual</v>
      </c>
      <c r="AA310" s="14" t="str">
        <f>IFERROR(VLOOKUP(CLEAN($V310),'All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10" s="14" t="str">
        <f>IFERROR(VLOOKUP(CLEAN($V310),'All Security Controls'!$A:$I,8, FALSE),"---")</f>
        <v>POA&amp;M</v>
      </c>
      <c r="AC310" s="14" t="str">
        <f>IFERROR(VLOOKUP(CLEAN($V310),'All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10" s="26">
        <v>309</v>
      </c>
    </row>
    <row r="311" spans="1:30" s="10" customFormat="1">
      <c r="A311"/>
      <c r="B311"/>
      <c r="C311"/>
      <c r="D311"/>
      <c r="E311"/>
      <c r="F311"/>
      <c r="G311"/>
      <c r="H311"/>
      <c r="I311"/>
      <c r="J311"/>
      <c r="K311"/>
      <c r="L311"/>
      <c r="M311"/>
      <c r="N311"/>
      <c r="O311"/>
      <c r="P311"/>
      <c r="Q311"/>
      <c r="R311"/>
      <c r="S311"/>
      <c r="T311"/>
      <c r="V311" s="66" t="s">
        <v>325</v>
      </c>
      <c r="W311" s="16" t="str">
        <f>IFERROR(VLOOKUP(CLEAN($V311),'All Security Controls'!A:I, 2, FALSE),"---")</f>
        <v>Contacts with Security Groups and Associations</v>
      </c>
      <c r="X311" s="14" t="str">
        <f>IFERROR(VLOOKUP(CLEAN($V311),'All Security Controls'!$A:$I, 4, FALSE),"---")</f>
        <v>CRWG White Criticality Control</v>
      </c>
      <c r="Y311" s="14" t="str">
        <f>IFERROR(VLOOKUP(CLEAN($V311),'All Security Controls'!$A:$I,5, FALSE),"---")</f>
        <v>Annually</v>
      </c>
      <c r="Z311" s="14" t="str">
        <f>IFERROR(VLOOKUP(CLEAN($V311),'All Security Controls'!$A:$I,6, FALSE),"---")</f>
        <v>Manual</v>
      </c>
      <c r="AA311" s="14" t="str">
        <f>IFERROR(VLOOKUP(CLEAN($V311),'All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11" s="14" t="str">
        <f>IFERROR(VLOOKUP(CLEAN($V311),'All Security Controls'!$A:$I,8, FALSE),"---")</f>
        <v>POA&amp;M</v>
      </c>
      <c r="AC311" s="14" t="str">
        <f>IFERROR(VLOOKUP(CLEAN($V311),'All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11" s="26">
        <v>310</v>
      </c>
    </row>
    <row r="312" spans="1:30" s="10" customFormat="1">
      <c r="A312"/>
      <c r="B312"/>
      <c r="C312"/>
      <c r="D312"/>
      <c r="E312"/>
      <c r="F312"/>
      <c r="G312"/>
      <c r="H312"/>
      <c r="I312"/>
      <c r="J312"/>
      <c r="K312"/>
      <c r="L312"/>
      <c r="M312"/>
      <c r="N312"/>
      <c r="O312"/>
      <c r="P312"/>
      <c r="Q312"/>
      <c r="R312"/>
      <c r="S312"/>
      <c r="T312"/>
      <c r="V312" s="66" t="s">
        <v>326</v>
      </c>
      <c r="W312" s="16" t="str">
        <f>IFERROR(VLOOKUP(CLEAN($V312),'All Security Controls'!A:I, 2, FALSE),"---")</f>
        <v>Threat Awareness Program</v>
      </c>
      <c r="X312" s="14" t="str">
        <f>IFERROR(VLOOKUP(CLEAN($V312),'All Security Controls'!$A:$I, 4, FALSE),"---")</f>
        <v>CRWG White Criticality Control</v>
      </c>
      <c r="Y312" s="14" t="str">
        <f>IFERROR(VLOOKUP(CLEAN($V312),'All Security Controls'!$A:$I,5, FALSE),"---")</f>
        <v>Annually</v>
      </c>
      <c r="Z312" s="14" t="str">
        <f>IFERROR(VLOOKUP(CLEAN($V312),'All Security Controls'!$A:$I,6, FALSE),"---")</f>
        <v>Manual</v>
      </c>
      <c r="AA312" s="14" t="str">
        <f>IFERROR(VLOOKUP(CLEAN($V312),'All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12" s="14" t="str">
        <f>IFERROR(VLOOKUP(CLEAN($V312),'All Security Controls'!$A:$I,8, FALSE),"---")</f>
        <v>POA&amp;M</v>
      </c>
      <c r="AC312" s="14" t="str">
        <f>IFERROR(VLOOKUP(CLEAN($V312),'All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12" s="26">
        <v>311</v>
      </c>
    </row>
    <row r="313" spans="1:30" s="10" customFormat="1">
      <c r="A313"/>
      <c r="B313"/>
      <c r="C313"/>
      <c r="D313"/>
      <c r="E313"/>
      <c r="F313"/>
      <c r="G313"/>
      <c r="H313"/>
      <c r="I313"/>
      <c r="J313"/>
      <c r="K313"/>
      <c r="L313"/>
      <c r="M313"/>
      <c r="N313"/>
      <c r="O313"/>
      <c r="P313"/>
      <c r="Q313"/>
      <c r="R313"/>
      <c r="S313"/>
      <c r="T313"/>
      <c r="V313" s="66" t="s">
        <v>327</v>
      </c>
      <c r="W313" s="16" t="str">
        <f>IFERROR(VLOOKUP(CLEAN($V313),'All Security Controls'!A:I, 2, FALSE),"---")</f>
        <v xml:space="preserve">Personnel Security Policy And Procedures </v>
      </c>
      <c r="X313" s="14" t="str">
        <f>IFERROR(VLOOKUP(CLEAN($V313),'All Security Controls'!$A:$I, 4, FALSE),"---")</f>
        <v>CRWG White Criticality Control</v>
      </c>
      <c r="Y313" s="14" t="str">
        <f>IFERROR(VLOOKUP(CLEAN($V313),'All Security Controls'!$A:$I,5, FALSE),"---")</f>
        <v>Annually</v>
      </c>
      <c r="Z313" s="14" t="str">
        <f>IFERROR(VLOOKUP(CLEAN($V313),'All Security Controls'!$A:$I,6, FALSE),"---")</f>
        <v>Manual</v>
      </c>
      <c r="AA313" s="14" t="str">
        <f>IFERROR(VLOOKUP(CLEAN($V313),'All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13" s="14" t="str">
        <f>IFERROR(VLOOKUP(CLEAN($V313),'All Security Controls'!$A:$I,8, FALSE),"---")</f>
        <v>POA&amp;M</v>
      </c>
      <c r="AC313" s="14" t="str">
        <f>IFERROR(VLOOKUP(CLEAN($V313),'All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13" s="26">
        <v>312</v>
      </c>
    </row>
    <row r="314" spans="1:30" s="10" customFormat="1">
      <c r="A314"/>
      <c r="B314"/>
      <c r="C314"/>
      <c r="D314"/>
      <c r="E314"/>
      <c r="F314"/>
      <c r="G314"/>
      <c r="H314"/>
      <c r="I314"/>
      <c r="J314"/>
      <c r="K314"/>
      <c r="L314"/>
      <c r="M314"/>
      <c r="N314"/>
      <c r="O314"/>
      <c r="P314"/>
      <c r="Q314"/>
      <c r="R314"/>
      <c r="S314"/>
      <c r="T314"/>
      <c r="V314" s="66" t="s">
        <v>328</v>
      </c>
      <c r="W314" s="16" t="str">
        <f>IFERROR(VLOOKUP(CLEAN($V314),'All Security Controls'!A:I, 2, FALSE),"---")</f>
        <v>Position Risk Designation</v>
      </c>
      <c r="X314" s="14" t="str">
        <f>IFERROR(VLOOKUP(CLEAN($V314),'All Security Controls'!$A:$I, 4, FALSE),"---")</f>
        <v>CRWG White Criticality Control</v>
      </c>
      <c r="Y314" s="14" t="str">
        <f>IFERROR(VLOOKUP(CLEAN($V314),'All Security Controls'!$A:$I,5, FALSE),"---")</f>
        <v>Annually</v>
      </c>
      <c r="Z314" s="14" t="str">
        <f>IFERROR(VLOOKUP(CLEAN($V314),'All Security Controls'!$A:$I,6, FALSE),"---")</f>
        <v>Manual</v>
      </c>
      <c r="AA314" s="14" t="str">
        <f>IFERROR(VLOOKUP(CLEAN($V314),'All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14" s="14" t="str">
        <f>IFERROR(VLOOKUP(CLEAN($V314),'All Security Controls'!$A:$I,8, FALSE),"---")</f>
        <v>POA&amp;M</v>
      </c>
      <c r="AC314" s="14" t="str">
        <f>IFERROR(VLOOKUP(CLEAN($V314),'All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14" s="26">
        <v>313</v>
      </c>
    </row>
    <row r="315" spans="1:30" s="10" customFormat="1">
      <c r="A315"/>
      <c r="B315"/>
      <c r="C315"/>
      <c r="D315"/>
      <c r="E315"/>
      <c r="F315"/>
      <c r="G315"/>
      <c r="H315"/>
      <c r="I315"/>
      <c r="J315"/>
      <c r="K315"/>
      <c r="L315"/>
      <c r="M315"/>
      <c r="N315"/>
      <c r="O315"/>
      <c r="P315"/>
      <c r="Q315"/>
      <c r="R315"/>
      <c r="S315"/>
      <c r="T315"/>
      <c r="V315" s="66" t="s">
        <v>329</v>
      </c>
      <c r="W315" s="16" t="str">
        <f>IFERROR(VLOOKUP(CLEAN($V315),'All Security Controls'!A:I, 2, FALSE),"---")</f>
        <v xml:space="preserve">Personnel Screening </v>
      </c>
      <c r="X315" s="14" t="str">
        <f>IFERROR(VLOOKUP(CLEAN($V315),'All Security Controls'!$A:$I, 4, FALSE),"---")</f>
        <v>CRWG White Criticality Control</v>
      </c>
      <c r="Y315" s="14" t="str">
        <f>IFERROR(VLOOKUP(CLEAN($V315),'All Security Controls'!$A:$I,5, FALSE),"---")</f>
        <v>Annually</v>
      </c>
      <c r="Z315" s="14" t="str">
        <f>IFERROR(VLOOKUP(CLEAN($V315),'All Security Controls'!$A:$I,6, FALSE),"---")</f>
        <v>Manual</v>
      </c>
      <c r="AA315" s="14" t="str">
        <f>IFERROR(VLOOKUP(CLEAN($V315),'All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15" s="14" t="str">
        <f>IFERROR(VLOOKUP(CLEAN($V315),'All Security Controls'!$A:$I,8, FALSE),"---")</f>
        <v>POA&amp;M</v>
      </c>
      <c r="AC315" s="14" t="str">
        <f>IFERROR(VLOOKUP(CLEAN($V315),'All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15" s="26">
        <v>314</v>
      </c>
    </row>
    <row r="316" spans="1:30" s="10" customFormat="1">
      <c r="A316"/>
      <c r="B316"/>
      <c r="C316"/>
      <c r="D316"/>
      <c r="E316"/>
      <c r="F316"/>
      <c r="G316"/>
      <c r="H316"/>
      <c r="I316"/>
      <c r="J316"/>
      <c r="K316"/>
      <c r="L316"/>
      <c r="M316"/>
      <c r="N316"/>
      <c r="O316"/>
      <c r="P316"/>
      <c r="Q316"/>
      <c r="R316"/>
      <c r="S316"/>
      <c r="T316"/>
      <c r="V316" s="66" t="s">
        <v>330</v>
      </c>
      <c r="W316" s="16" t="str">
        <f>IFERROR(VLOOKUP(CLEAN($V316),'All Security Controls'!A:I, 2, FALSE),"---")</f>
        <v>Personnel Screening | Information with Special Protection Measures</v>
      </c>
      <c r="X316" s="14" t="str">
        <f>IFERROR(VLOOKUP(CLEAN($V316),'All Security Controls'!$A:$I, 4, FALSE),"---")</f>
        <v>CRWG White Criticality Control</v>
      </c>
      <c r="Y316" s="14" t="str">
        <f>IFERROR(VLOOKUP(CLEAN($V316),'All Security Controls'!$A:$I,5, FALSE),"---")</f>
        <v>Annually</v>
      </c>
      <c r="Z316" s="14" t="str">
        <f>IFERROR(VLOOKUP(CLEAN($V316),'All Security Controls'!$A:$I,6, FALSE),"---")</f>
        <v>Manual</v>
      </c>
      <c r="AA316" s="14" t="str">
        <f>IFERROR(VLOOKUP(CLEAN($V316),'All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16" s="14" t="str">
        <f>IFERROR(VLOOKUP(CLEAN($V316),'All Security Controls'!$A:$I,8, FALSE),"---")</f>
        <v>POA&amp;M</v>
      </c>
      <c r="AC316" s="14" t="str">
        <f>IFERROR(VLOOKUP(CLEAN($V316),'All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16" s="26">
        <v>315</v>
      </c>
    </row>
    <row r="317" spans="1:30" s="10" customFormat="1">
      <c r="A317"/>
      <c r="B317"/>
      <c r="C317"/>
      <c r="D317"/>
      <c r="E317"/>
      <c r="F317"/>
      <c r="G317"/>
      <c r="H317"/>
      <c r="I317"/>
      <c r="J317"/>
      <c r="K317"/>
      <c r="L317"/>
      <c r="M317"/>
      <c r="N317"/>
      <c r="O317"/>
      <c r="P317"/>
      <c r="Q317"/>
      <c r="R317"/>
      <c r="S317"/>
      <c r="T317"/>
      <c r="V317" s="66" t="s">
        <v>331</v>
      </c>
      <c r="W317" s="16" t="str">
        <f>IFERROR(VLOOKUP(CLEAN($V317),'All Security Controls'!A:I, 2, FALSE),"---")</f>
        <v xml:space="preserve">Personnel Termination </v>
      </c>
      <c r="X317" s="14" t="str">
        <f>IFERROR(VLOOKUP(CLEAN($V317),'All Security Controls'!$A:$I, 4, FALSE),"---")</f>
        <v>CRWG Yellow Criticality Control</v>
      </c>
      <c r="Y317" s="14" t="str">
        <f>IFERROR(VLOOKUP(CLEAN($V317),'All Security Controls'!$A:$I,5, FALSE),"---")</f>
        <v>Quarterly</v>
      </c>
      <c r="Z317" s="14" t="str">
        <f>IFERROR(VLOOKUP(CLEAN($V317),'All Security Controls'!$A:$I,6, FALSE),"---")</f>
        <v>Manual</v>
      </c>
      <c r="AA317" s="14" t="str">
        <f>IFERROR(VLOOKUP(CLEAN($V317),'All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17" s="14" t="str">
        <f>IFERROR(VLOOKUP(CLEAN($V317),'All Security Controls'!$A:$I,8, FALSE),"---")</f>
        <v>POA&amp;M</v>
      </c>
      <c r="AC317" s="14" t="str">
        <f>IFERROR(VLOOKUP(CLEAN($V317),'All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17" s="26">
        <v>316</v>
      </c>
    </row>
    <row r="318" spans="1:30" s="10" customFormat="1">
      <c r="A318"/>
      <c r="B318"/>
      <c r="C318"/>
      <c r="D318"/>
      <c r="E318"/>
      <c r="F318"/>
      <c r="G318"/>
      <c r="H318"/>
      <c r="I318"/>
      <c r="J318"/>
      <c r="K318"/>
      <c r="L318"/>
      <c r="M318"/>
      <c r="N318"/>
      <c r="O318"/>
      <c r="P318"/>
      <c r="Q318"/>
      <c r="R318"/>
      <c r="S318"/>
      <c r="T318"/>
      <c r="V318" s="66" t="s">
        <v>332</v>
      </c>
      <c r="W318" s="16" t="str">
        <f>IFERROR(VLOOKUP(CLEAN($V318),'All Security Controls'!A:I, 2, FALSE),"---")</f>
        <v xml:space="preserve">Personnel Termination | Post-Employment Requirements </v>
      </c>
      <c r="X318" s="14" t="str">
        <f>IFERROR(VLOOKUP(CLEAN($V318),'All Security Controls'!$A:$I, 4, FALSE),"---")</f>
        <v>CRWG White Criticality Control</v>
      </c>
      <c r="Y318" s="14" t="str">
        <f>IFERROR(VLOOKUP(CLEAN($V318),'All Security Controls'!$A:$I,5, FALSE),"---")</f>
        <v>Annually</v>
      </c>
      <c r="Z318" s="14" t="str">
        <f>IFERROR(VLOOKUP(CLEAN($V318),'All Security Controls'!$A:$I,6, FALSE),"---")</f>
        <v>Manual</v>
      </c>
      <c r="AA318" s="14" t="str">
        <f>IFERROR(VLOOKUP(CLEAN($V318),'All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18" s="14" t="str">
        <f>IFERROR(VLOOKUP(CLEAN($V318),'All Security Controls'!$A:$I,8, FALSE),"---")</f>
        <v>POA&amp;M</v>
      </c>
      <c r="AC318" s="14" t="str">
        <f>IFERROR(VLOOKUP(CLEAN($V318),'All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18" s="26">
        <v>317</v>
      </c>
    </row>
    <row r="319" spans="1:30" s="10" customFormat="1">
      <c r="A319"/>
      <c r="B319"/>
      <c r="C319"/>
      <c r="D319"/>
      <c r="E319"/>
      <c r="F319"/>
      <c r="G319"/>
      <c r="H319"/>
      <c r="I319"/>
      <c r="J319"/>
      <c r="K319"/>
      <c r="L319"/>
      <c r="M319"/>
      <c r="N319"/>
      <c r="O319"/>
      <c r="P319"/>
      <c r="Q319"/>
      <c r="R319"/>
      <c r="S319"/>
      <c r="T319"/>
      <c r="V319" s="66" t="s">
        <v>333</v>
      </c>
      <c r="W319" s="16" t="str">
        <f>IFERROR(VLOOKUP(CLEAN($V319),'All Security Controls'!A:I, 2, FALSE),"---")</f>
        <v xml:space="preserve">Personnel Termination | Automated Notification </v>
      </c>
      <c r="X319" s="14" t="str">
        <f>IFERROR(VLOOKUP(CLEAN($V319),'All Security Controls'!$A:$I, 4, FALSE),"---")</f>
        <v>CRWG White Criticality Control</v>
      </c>
      <c r="Y319" s="14" t="str">
        <f>IFERROR(VLOOKUP(CLEAN($V319),'All Security Controls'!$A:$I,5, FALSE),"---")</f>
        <v>Annually</v>
      </c>
      <c r="Z319" s="14" t="str">
        <f>IFERROR(VLOOKUP(CLEAN($V319),'All Security Controls'!$A:$I,6, FALSE),"---")</f>
        <v>Manual</v>
      </c>
      <c r="AA319" s="14" t="str">
        <f>IFERROR(VLOOKUP(CLEAN($V319),'All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19" s="14" t="str">
        <f>IFERROR(VLOOKUP(CLEAN($V319),'All Security Controls'!$A:$I,8, FALSE),"---")</f>
        <v>POA&amp;M</v>
      </c>
      <c r="AC319" s="14" t="str">
        <f>IFERROR(VLOOKUP(CLEAN($V319),'All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19" s="26">
        <v>318</v>
      </c>
    </row>
    <row r="320" spans="1:30" s="10" customFormat="1">
      <c r="A320"/>
      <c r="B320"/>
      <c r="C320"/>
      <c r="D320"/>
      <c r="E320"/>
      <c r="F320"/>
      <c r="G320"/>
      <c r="H320"/>
      <c r="I320"/>
      <c r="J320"/>
      <c r="K320"/>
      <c r="L320"/>
      <c r="M320"/>
      <c r="N320"/>
      <c r="O320"/>
      <c r="P320"/>
      <c r="Q320"/>
      <c r="R320"/>
      <c r="S320"/>
      <c r="T320"/>
      <c r="V320" s="66" t="s">
        <v>334</v>
      </c>
      <c r="W320" s="16" t="str">
        <f>IFERROR(VLOOKUP(CLEAN($V320),'All Security Controls'!A:I, 2, FALSE),"---")</f>
        <v xml:space="preserve">Personnel Transfer </v>
      </c>
      <c r="X320" s="14" t="str">
        <f>IFERROR(VLOOKUP(CLEAN($V320),'All Security Controls'!$A:$I, 4, FALSE),"---")</f>
        <v>CRWG White Criticality Control</v>
      </c>
      <c r="Y320" s="14" t="str">
        <f>IFERROR(VLOOKUP(CLEAN($V320),'All Security Controls'!$A:$I,5, FALSE),"---")</f>
        <v>Annually</v>
      </c>
      <c r="Z320" s="14" t="str">
        <f>IFERROR(VLOOKUP(CLEAN($V320),'All Security Controls'!$A:$I,6, FALSE),"---")</f>
        <v>Manual</v>
      </c>
      <c r="AA320" s="14" t="str">
        <f>IFERROR(VLOOKUP(CLEAN($V320),'All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20" s="14" t="str">
        <f>IFERROR(VLOOKUP(CLEAN($V320),'All Security Controls'!$A:$I,8, FALSE),"---")</f>
        <v>POA&amp;M</v>
      </c>
      <c r="AC320" s="14" t="str">
        <f>IFERROR(VLOOKUP(CLEAN($V320),'All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20" s="26">
        <v>319</v>
      </c>
    </row>
    <row r="321" spans="1:30" s="10" customFormat="1">
      <c r="A321"/>
      <c r="B321"/>
      <c r="C321"/>
      <c r="D321"/>
      <c r="E321"/>
      <c r="F321"/>
      <c r="G321"/>
      <c r="H321"/>
      <c r="I321"/>
      <c r="J321"/>
      <c r="K321"/>
      <c r="L321"/>
      <c r="M321"/>
      <c r="N321"/>
      <c r="O321"/>
      <c r="P321"/>
      <c r="Q321"/>
      <c r="R321"/>
      <c r="S321"/>
      <c r="T321"/>
      <c r="V321" s="66" t="s">
        <v>335</v>
      </c>
      <c r="W321" s="16" t="str">
        <f>IFERROR(VLOOKUP(CLEAN($V321),'All Security Controls'!A:I, 2, FALSE),"---")</f>
        <v xml:space="preserve">Access Agreements </v>
      </c>
      <c r="X321" s="14" t="str">
        <f>IFERROR(VLOOKUP(CLEAN($V321),'All Security Controls'!$A:$I, 4, FALSE),"---")</f>
        <v>CRWG White Criticality Control</v>
      </c>
      <c r="Y321" s="14" t="str">
        <f>IFERROR(VLOOKUP(CLEAN($V321),'All Security Controls'!$A:$I,5, FALSE),"---")</f>
        <v>Annually</v>
      </c>
      <c r="Z321" s="14" t="str">
        <f>IFERROR(VLOOKUP(CLEAN($V321),'All Security Controls'!$A:$I,6, FALSE),"---")</f>
        <v>Manual</v>
      </c>
      <c r="AA321" s="14" t="str">
        <f>IFERROR(VLOOKUP(CLEAN($V321),'All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21" s="14" t="str">
        <f>IFERROR(VLOOKUP(CLEAN($V321),'All Security Controls'!$A:$I,8, FALSE),"---")</f>
        <v>POA&amp;M</v>
      </c>
      <c r="AC321" s="14" t="str">
        <f>IFERROR(VLOOKUP(CLEAN($V321),'All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21" s="26">
        <v>320</v>
      </c>
    </row>
    <row r="322" spans="1:30" s="10" customFormat="1">
      <c r="A322"/>
      <c r="B322"/>
      <c r="C322"/>
      <c r="D322"/>
      <c r="E322"/>
      <c r="F322"/>
      <c r="G322"/>
      <c r="H322"/>
      <c r="I322"/>
      <c r="J322"/>
      <c r="K322"/>
      <c r="L322"/>
      <c r="M322"/>
      <c r="N322"/>
      <c r="O322"/>
      <c r="P322"/>
      <c r="Q322"/>
      <c r="R322"/>
      <c r="S322"/>
      <c r="T322"/>
      <c r="V322" s="66" t="s">
        <v>336</v>
      </c>
      <c r="W322" s="16" t="str">
        <f>IFERROR(VLOOKUP(CLEAN($V322),'All Security Controls'!A:I, 2, FALSE),"---")</f>
        <v>Access Agreements | Post-Employment Requirements</v>
      </c>
      <c r="X322" s="14" t="str">
        <f>IFERROR(VLOOKUP(CLEAN($V322),'All Security Controls'!$A:$I, 4, FALSE),"---")</f>
        <v>CRWG White Criticality Control</v>
      </c>
      <c r="Y322" s="14" t="str">
        <f>IFERROR(VLOOKUP(CLEAN($V322),'All Security Controls'!$A:$I,5, FALSE),"---")</f>
        <v>Annually</v>
      </c>
      <c r="Z322" s="14" t="str">
        <f>IFERROR(VLOOKUP(CLEAN($V322),'All Security Controls'!$A:$I,6, FALSE),"---")</f>
        <v>Manual</v>
      </c>
      <c r="AA322" s="14" t="str">
        <f>IFERROR(VLOOKUP(CLEAN($V322),'All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22" s="14" t="str">
        <f>IFERROR(VLOOKUP(CLEAN($V322),'All Security Controls'!$A:$I,8, FALSE),"---")</f>
        <v>POA&amp;M</v>
      </c>
      <c r="AC322" s="14" t="str">
        <f>IFERROR(VLOOKUP(CLEAN($V322),'All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22" s="26">
        <v>321</v>
      </c>
    </row>
    <row r="323" spans="1:30" s="10" customFormat="1">
      <c r="A323"/>
      <c r="B323"/>
      <c r="C323"/>
      <c r="D323"/>
      <c r="E323"/>
      <c r="F323"/>
      <c r="G323"/>
      <c r="H323"/>
      <c r="I323"/>
      <c r="J323"/>
      <c r="K323"/>
      <c r="L323"/>
      <c r="M323"/>
      <c r="N323"/>
      <c r="O323"/>
      <c r="P323"/>
      <c r="Q323"/>
      <c r="R323"/>
      <c r="S323"/>
      <c r="T323"/>
      <c r="V323" s="66" t="s">
        <v>337</v>
      </c>
      <c r="W323" s="16" t="str">
        <f>IFERROR(VLOOKUP(CLEAN($V323),'All Security Controls'!A:I, 2, FALSE),"---")</f>
        <v xml:space="preserve">Third-Party Personnel Security </v>
      </c>
      <c r="X323" s="14" t="str">
        <f>IFERROR(VLOOKUP(CLEAN($V323),'All Security Controls'!$A:$I, 4, FALSE),"---")</f>
        <v>CRWG White Criticality Control</v>
      </c>
      <c r="Y323" s="14" t="str">
        <f>IFERROR(VLOOKUP(CLEAN($V323),'All Security Controls'!$A:$I,5, FALSE),"---")</f>
        <v>Annually</v>
      </c>
      <c r="Z323" s="14" t="str">
        <f>IFERROR(VLOOKUP(CLEAN($V323),'All Security Controls'!$A:$I,6, FALSE),"---")</f>
        <v>Manual</v>
      </c>
      <c r="AA323" s="14" t="str">
        <f>IFERROR(VLOOKUP(CLEAN($V323),'All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23" s="14" t="str">
        <f>IFERROR(VLOOKUP(CLEAN($V323),'All Security Controls'!$A:$I,8, FALSE),"---")</f>
        <v>POA&amp;M</v>
      </c>
      <c r="AC323" s="14" t="str">
        <f>IFERROR(VLOOKUP(CLEAN($V323),'All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23" s="26">
        <v>322</v>
      </c>
    </row>
    <row r="324" spans="1:30" s="10" customFormat="1">
      <c r="A324"/>
      <c r="B324"/>
      <c r="C324"/>
      <c r="D324"/>
      <c r="E324"/>
      <c r="F324"/>
      <c r="G324"/>
      <c r="H324"/>
      <c r="I324"/>
      <c r="J324"/>
      <c r="K324"/>
      <c r="L324"/>
      <c r="M324"/>
      <c r="N324"/>
      <c r="O324"/>
      <c r="P324"/>
      <c r="Q324"/>
      <c r="R324"/>
      <c r="S324"/>
      <c r="T324"/>
      <c r="V324" s="66" t="s">
        <v>338</v>
      </c>
      <c r="W324" s="16" t="str">
        <f>IFERROR(VLOOKUP(CLEAN($V324),'All Security Controls'!A:I, 2, FALSE),"---")</f>
        <v xml:space="preserve">Personnel Sanctions </v>
      </c>
      <c r="X324" s="14" t="str">
        <f>IFERROR(VLOOKUP(CLEAN($V324),'All Security Controls'!$A:$I, 4, FALSE),"---")</f>
        <v>CRWG Yellow Criticality Control</v>
      </c>
      <c r="Y324" s="14" t="str">
        <f>IFERROR(VLOOKUP(CLEAN($V324),'All Security Controls'!$A:$I,5, FALSE),"---")</f>
        <v>Quarterly</v>
      </c>
      <c r="Z324" s="14" t="str">
        <f>IFERROR(VLOOKUP(CLEAN($V324),'All Security Controls'!$A:$I,6, FALSE),"---")</f>
        <v>Manual</v>
      </c>
      <c r="AA324" s="14" t="str">
        <f>IFERROR(VLOOKUP(CLEAN($V324),'All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24" s="14" t="str">
        <f>IFERROR(VLOOKUP(CLEAN($V324),'All Security Controls'!$A:$I,8, FALSE),"---")</f>
        <v>POA&amp;M</v>
      </c>
      <c r="AC324" s="14" t="str">
        <f>IFERROR(VLOOKUP(CLEAN($V324),'All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24" s="26">
        <v>323</v>
      </c>
    </row>
    <row r="325" spans="1:30" s="10" customFormat="1">
      <c r="A325"/>
      <c r="B325"/>
      <c r="C325"/>
      <c r="D325"/>
      <c r="E325"/>
      <c r="F325"/>
      <c r="G325"/>
      <c r="H325"/>
      <c r="I325"/>
      <c r="J325"/>
      <c r="K325"/>
      <c r="L325"/>
      <c r="M325"/>
      <c r="N325"/>
      <c r="O325"/>
      <c r="P325"/>
      <c r="Q325"/>
      <c r="R325"/>
      <c r="S325"/>
      <c r="T325"/>
      <c r="V325" s="66" t="s">
        <v>339</v>
      </c>
      <c r="W325" s="16" t="str">
        <f>IFERROR(VLOOKUP(CLEAN($V325),'All Security Controls'!A:I, 2, FALSE),"---")</f>
        <v xml:space="preserve">Risk Assessment Policy And Procedures </v>
      </c>
      <c r="X325" s="14" t="str">
        <f>IFERROR(VLOOKUP(CLEAN($V325),'All Security Controls'!$A:$I, 4, FALSE),"---")</f>
        <v>CRWG White Criticality Control</v>
      </c>
      <c r="Y325" s="14" t="str">
        <f>IFERROR(VLOOKUP(CLEAN($V325),'All Security Controls'!$A:$I,5, FALSE),"---")</f>
        <v>Annually</v>
      </c>
      <c r="Z325" s="14" t="str">
        <f>IFERROR(VLOOKUP(CLEAN($V325),'All Security Controls'!$A:$I,6, FALSE),"---")</f>
        <v>Manual</v>
      </c>
      <c r="AA325" s="14" t="str">
        <f>IFERROR(VLOOKUP(CLEAN($V325),'All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25" s="14" t="str">
        <f>IFERROR(VLOOKUP(CLEAN($V325),'All Security Controls'!$A:$I,8, FALSE),"---")</f>
        <v>POA&amp;M</v>
      </c>
      <c r="AC325" s="14" t="str">
        <f>IFERROR(VLOOKUP(CLEAN($V325),'All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25" s="26">
        <v>324</v>
      </c>
    </row>
    <row r="326" spans="1:30" s="10" customFormat="1">
      <c r="A326"/>
      <c r="B326"/>
      <c r="C326"/>
      <c r="D326"/>
      <c r="E326"/>
      <c r="F326"/>
      <c r="G326"/>
      <c r="H326"/>
      <c r="I326"/>
      <c r="J326"/>
      <c r="K326"/>
      <c r="L326"/>
      <c r="M326"/>
      <c r="N326"/>
      <c r="O326"/>
      <c r="P326"/>
      <c r="Q326"/>
      <c r="R326"/>
      <c r="S326"/>
      <c r="T326"/>
      <c r="V326" s="66" t="s">
        <v>340</v>
      </c>
      <c r="W326" s="16" t="str">
        <f>IFERROR(VLOOKUP(CLEAN($V326),'All Security Controls'!A:I, 2, FALSE),"---")</f>
        <v xml:space="preserve">Security Categorization </v>
      </c>
      <c r="X326" s="14" t="str">
        <f>IFERROR(VLOOKUP(CLEAN($V326),'All Security Controls'!$A:$I, 4, FALSE),"---")</f>
        <v>CRWG White Criticality Control</v>
      </c>
      <c r="Y326" s="14" t="str">
        <f>IFERROR(VLOOKUP(CLEAN($V326),'All Security Controls'!$A:$I,5, FALSE),"---")</f>
        <v>Annually</v>
      </c>
      <c r="Z326" s="14" t="str">
        <f>IFERROR(VLOOKUP(CLEAN($V326),'All Security Controls'!$A:$I,6, FALSE),"---")</f>
        <v>Manual</v>
      </c>
      <c r="AA326" s="14" t="str">
        <f>IFERROR(VLOOKUP(CLEAN($V326),'All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26" s="14" t="str">
        <f>IFERROR(VLOOKUP(CLEAN($V326),'All Security Controls'!$A:$I,8, FALSE),"---")</f>
        <v>POA&amp;M</v>
      </c>
      <c r="AC326" s="14" t="str">
        <f>IFERROR(VLOOKUP(CLEAN($V326),'All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26" s="26">
        <v>325</v>
      </c>
    </row>
    <row r="327" spans="1:30" s="10" customFormat="1">
      <c r="A327"/>
      <c r="B327"/>
      <c r="C327"/>
      <c r="D327"/>
      <c r="E327"/>
      <c r="F327"/>
      <c r="G327"/>
      <c r="H327"/>
      <c r="I327"/>
      <c r="J327"/>
      <c r="K327"/>
      <c r="L327"/>
      <c r="M327"/>
      <c r="N327"/>
      <c r="O327"/>
      <c r="P327"/>
      <c r="Q327"/>
      <c r="R327"/>
      <c r="S327"/>
      <c r="T327"/>
      <c r="V327" s="66" t="s">
        <v>341</v>
      </c>
      <c r="W327" s="16" t="str">
        <f>IFERROR(VLOOKUP(CLEAN($V327),'All Security Controls'!A:I, 2, FALSE),"---")</f>
        <v xml:space="preserve">Risk Assessment </v>
      </c>
      <c r="X327" s="14" t="str">
        <f>IFERROR(VLOOKUP(CLEAN($V327),'All Security Controls'!$A:$I, 4, FALSE),"---")</f>
        <v>CRWG White Criticality Control</v>
      </c>
      <c r="Y327" s="14" t="str">
        <f>IFERROR(VLOOKUP(CLEAN($V327),'All Security Controls'!$A:$I,5, FALSE),"---")</f>
        <v>Annually</v>
      </c>
      <c r="Z327" s="14" t="str">
        <f>IFERROR(VLOOKUP(CLEAN($V327),'All Security Controls'!$A:$I,6, FALSE),"---")</f>
        <v>Manual</v>
      </c>
      <c r="AA327" s="14" t="str">
        <f>IFERROR(VLOOKUP(CLEAN($V327),'All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27" s="14" t="str">
        <f>IFERROR(VLOOKUP(CLEAN($V327),'All Security Controls'!$A:$I,8, FALSE),"---")</f>
        <v>POA&amp;M</v>
      </c>
      <c r="AC327" s="14" t="str">
        <f>IFERROR(VLOOKUP(CLEAN($V327),'All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27" s="26">
        <v>326</v>
      </c>
    </row>
    <row r="328" spans="1:30" s="10" customFormat="1">
      <c r="A328"/>
      <c r="B328"/>
      <c r="C328"/>
      <c r="D328"/>
      <c r="E328"/>
      <c r="F328"/>
      <c r="G328"/>
      <c r="H328"/>
      <c r="I328"/>
      <c r="J328"/>
      <c r="K328"/>
      <c r="L328"/>
      <c r="M328"/>
      <c r="N328"/>
      <c r="O328"/>
      <c r="P328"/>
      <c r="Q328"/>
      <c r="R328"/>
      <c r="S328"/>
      <c r="T328"/>
      <c r="V328" s="66" t="s">
        <v>342</v>
      </c>
      <c r="W328" s="16" t="str">
        <f>IFERROR(VLOOKUP(CLEAN($V328),'All Security Controls'!A:I, 2, FALSE),"---")</f>
        <v xml:space="preserve">Vulnerability Scanning </v>
      </c>
      <c r="X328" s="14" t="str">
        <f>IFERROR(VLOOKUP(CLEAN($V328),'All Security Controls'!$A:$I, 4, FALSE),"---")</f>
        <v>CRWG Yellow Criticality Control</v>
      </c>
      <c r="Y328" s="14" t="str">
        <f>IFERROR(VLOOKUP(CLEAN($V328),'All Security Controls'!$A:$I,5, FALSE),"---")</f>
        <v>Weekly</v>
      </c>
      <c r="Z328" s="14" t="str">
        <f>IFERROR(VLOOKUP(CLEAN($V328),'All Security Controls'!$A:$I,6, FALSE),"---")</f>
        <v>Automated</v>
      </c>
      <c r="AA328" s="14" t="str">
        <f>IFERROR(VLOOKUP(CLEAN($V328),'All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28" s="14" t="str">
        <f>IFERROR(VLOOKUP(CLEAN($V328),'All Security Controls'!$A:$I,8, FALSE),"---")</f>
        <v xml:space="preserve">ACAS </v>
      </c>
      <c r="AC328" s="14" t="str">
        <f>IFERROR(VLOOKUP(CLEAN($V328),'All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28" s="26">
        <v>327</v>
      </c>
    </row>
    <row r="329" spans="1:30" s="10" customFormat="1">
      <c r="A329"/>
      <c r="B329"/>
      <c r="C329"/>
      <c r="D329"/>
      <c r="E329"/>
      <c r="F329"/>
      <c r="G329"/>
      <c r="H329"/>
      <c r="I329"/>
      <c r="J329"/>
      <c r="K329"/>
      <c r="L329"/>
      <c r="M329"/>
      <c r="N329"/>
      <c r="O329"/>
      <c r="P329"/>
      <c r="Q329"/>
      <c r="R329"/>
      <c r="S329"/>
      <c r="T329"/>
      <c r="V329" s="66" t="s">
        <v>343</v>
      </c>
      <c r="W329" s="16" t="str">
        <f>IFERROR(VLOOKUP(CLEAN($V329),'All Security Controls'!A:I, 2, FALSE),"---")</f>
        <v xml:space="preserve">Vulnerability Scanning | Update Tool Capability </v>
      </c>
      <c r="X329" s="14" t="str">
        <f>IFERROR(VLOOKUP(CLEAN($V329),'All Security Controls'!$A:$I, 4, FALSE),"---")</f>
        <v>CRWG White Criticality Control</v>
      </c>
      <c r="Y329" s="14" t="str">
        <f>IFERROR(VLOOKUP(CLEAN($V329),'All Security Controls'!$A:$I,5, FALSE),"---")</f>
        <v>Annually</v>
      </c>
      <c r="Z329" s="14" t="str">
        <f>IFERROR(VLOOKUP(CLEAN($V329),'All Security Controls'!$A:$I,6, FALSE),"---")</f>
        <v>Manual</v>
      </c>
      <c r="AA329" s="14" t="str">
        <f>IFERROR(VLOOKUP(CLEAN($V329),'All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29" s="14" t="str">
        <f>IFERROR(VLOOKUP(CLEAN($V329),'All Security Controls'!$A:$I,8, FALSE),"---")</f>
        <v>POA&amp;M</v>
      </c>
      <c r="AC329" s="14" t="str">
        <f>IFERROR(VLOOKUP(CLEAN($V329),'All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29" s="26">
        <v>328</v>
      </c>
    </row>
    <row r="330" spans="1:30" s="10" customFormat="1">
      <c r="A330"/>
      <c r="B330"/>
      <c r="C330"/>
      <c r="D330"/>
      <c r="E330"/>
      <c r="F330"/>
      <c r="G330"/>
      <c r="H330"/>
      <c r="I330"/>
      <c r="J330"/>
      <c r="K330"/>
      <c r="L330"/>
      <c r="M330"/>
      <c r="N330"/>
      <c r="O330"/>
      <c r="P330"/>
      <c r="Q330"/>
      <c r="R330"/>
      <c r="S330"/>
      <c r="T330"/>
      <c r="V330" s="66" t="s">
        <v>344</v>
      </c>
      <c r="W330" s="16" t="str">
        <f>IFERROR(VLOOKUP(CLEAN($V330),'All Security Controls'!A:I, 2, FALSE),"---")</f>
        <v xml:space="preserve">Vulnerability Scanning | Update by Frequency/ Prior to New Scan/ When Identified </v>
      </c>
      <c r="X330" s="14" t="str">
        <f>IFERROR(VLOOKUP(CLEAN($V330),'All Security Controls'!$A:$I, 4, FALSE),"---")</f>
        <v>CRWG White Criticality Control</v>
      </c>
      <c r="Y330" s="14" t="str">
        <f>IFERROR(VLOOKUP(CLEAN($V330),'All Security Controls'!$A:$I,5, FALSE),"---")</f>
        <v>Annually</v>
      </c>
      <c r="Z330" s="14" t="str">
        <f>IFERROR(VLOOKUP(CLEAN($V330),'All Security Controls'!$A:$I,6, FALSE),"---")</f>
        <v>Manual</v>
      </c>
      <c r="AA330" s="14" t="str">
        <f>IFERROR(VLOOKUP(CLEAN($V330),'All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30" s="14" t="str">
        <f>IFERROR(VLOOKUP(CLEAN($V330),'All Security Controls'!$A:$I,8, FALSE),"---")</f>
        <v>POA&amp;M</v>
      </c>
      <c r="AC330" s="14" t="str">
        <f>IFERROR(VLOOKUP(CLEAN($V330),'All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30" s="26">
        <v>329</v>
      </c>
    </row>
    <row r="331" spans="1:30" s="10" customFormat="1">
      <c r="A331"/>
      <c r="B331"/>
      <c r="C331"/>
      <c r="D331"/>
      <c r="E331"/>
      <c r="F331"/>
      <c r="G331"/>
      <c r="H331"/>
      <c r="I331"/>
      <c r="J331"/>
      <c r="K331"/>
      <c r="L331"/>
      <c r="M331"/>
      <c r="N331"/>
      <c r="O331"/>
      <c r="P331"/>
      <c r="Q331"/>
      <c r="R331"/>
      <c r="S331"/>
      <c r="T331"/>
      <c r="V331" s="66" t="s">
        <v>345</v>
      </c>
      <c r="W331" s="16" t="str">
        <f>IFERROR(VLOOKUP(CLEAN($V331),'All Security Controls'!A:I, 2, FALSE),"---")</f>
        <v>Vulnerability Scanning | Discoverable Information</v>
      </c>
      <c r="X331" s="14" t="str">
        <f>IFERROR(VLOOKUP(CLEAN($V331),'All Security Controls'!$A:$I, 4, FALSE),"---")</f>
        <v>CRWG White Criticality Control</v>
      </c>
      <c r="Y331" s="14" t="str">
        <f>IFERROR(VLOOKUP(CLEAN($V331),'All Security Controls'!$A:$I,5, FALSE),"---")</f>
        <v>Annually</v>
      </c>
      <c r="Z331" s="14" t="str">
        <f>IFERROR(VLOOKUP(CLEAN($V331),'All Security Controls'!$A:$I,6, FALSE),"---")</f>
        <v>Manual</v>
      </c>
      <c r="AA331" s="14" t="str">
        <f>IFERROR(VLOOKUP(CLEAN($V331),'All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31" s="14" t="str">
        <f>IFERROR(VLOOKUP(CLEAN($V331),'All Security Controls'!$A:$I,8, FALSE),"---")</f>
        <v>POA&amp;M</v>
      </c>
      <c r="AC331" s="14" t="str">
        <f>IFERROR(VLOOKUP(CLEAN($V331),'All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31" s="26">
        <v>330</v>
      </c>
    </row>
    <row r="332" spans="1:30" s="10" customFormat="1">
      <c r="A332"/>
      <c r="B332"/>
      <c r="C332"/>
      <c r="D332"/>
      <c r="E332"/>
      <c r="F332"/>
      <c r="G332"/>
      <c r="H332"/>
      <c r="I332"/>
      <c r="J332"/>
      <c r="K332"/>
      <c r="L332"/>
      <c r="M332"/>
      <c r="N332"/>
      <c r="O332"/>
      <c r="P332"/>
      <c r="Q332"/>
      <c r="R332"/>
      <c r="S332"/>
      <c r="T332"/>
      <c r="V332" s="66" t="s">
        <v>346</v>
      </c>
      <c r="W332" s="16" t="str">
        <f>IFERROR(VLOOKUP(CLEAN($V332),'All Security Controls'!A:I, 2, FALSE),"---")</f>
        <v xml:space="preserve">Vulnerability Scanning | Privileged Access </v>
      </c>
      <c r="X332" s="14" t="str">
        <f>IFERROR(VLOOKUP(CLEAN($V332),'All Security Controls'!$A:$I, 4, FALSE),"---")</f>
        <v>CRWG White Criticality Control</v>
      </c>
      <c r="Y332" s="14" t="str">
        <f>IFERROR(VLOOKUP(CLEAN($V332),'All Security Controls'!$A:$I,5, FALSE),"---")</f>
        <v>Annually</v>
      </c>
      <c r="Z332" s="14" t="str">
        <f>IFERROR(VLOOKUP(CLEAN($V332),'All Security Controls'!$A:$I,6, FALSE),"---")</f>
        <v>Manual</v>
      </c>
      <c r="AA332" s="14" t="str">
        <f>IFERROR(VLOOKUP(CLEAN($V332),'All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32" s="14" t="str">
        <f>IFERROR(VLOOKUP(CLEAN($V332),'All Security Controls'!$A:$I,8, FALSE),"---")</f>
        <v>POA&amp;M</v>
      </c>
      <c r="AC332" s="14" t="str">
        <f>IFERROR(VLOOKUP(CLEAN($V332),'All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32" s="26">
        <v>331</v>
      </c>
    </row>
    <row r="333" spans="1:30" s="10" customFormat="1">
      <c r="A333"/>
      <c r="B333"/>
      <c r="C333"/>
      <c r="D333"/>
      <c r="E333"/>
      <c r="F333"/>
      <c r="G333"/>
      <c r="H333"/>
      <c r="I333"/>
      <c r="J333"/>
      <c r="K333"/>
      <c r="L333"/>
      <c r="M333"/>
      <c r="N333"/>
      <c r="O333"/>
      <c r="P333"/>
      <c r="Q333"/>
      <c r="R333"/>
      <c r="S333"/>
      <c r="T333"/>
      <c r="V333" s="66" t="s">
        <v>347</v>
      </c>
      <c r="W333" s="16" t="str">
        <f>IFERROR(VLOOKUP(CLEAN($V333),'All Security Controls'!A:I, 2, FALSE),"---")</f>
        <v>Vulnerability Scanning | Correlate Scanning Information</v>
      </c>
      <c r="X333" s="14" t="str">
        <f>IFERROR(VLOOKUP(CLEAN($V333),'All Security Controls'!$A:$I, 4, FALSE),"---")</f>
        <v>CRWG White Criticality Control</v>
      </c>
      <c r="Y333" s="14" t="str">
        <f>IFERROR(VLOOKUP(CLEAN($V333),'All Security Controls'!$A:$I,5, FALSE),"---")</f>
        <v>Annually</v>
      </c>
      <c r="Z333" s="14" t="str">
        <f>IFERROR(VLOOKUP(CLEAN($V333),'All Security Controls'!$A:$I,6, FALSE),"---")</f>
        <v>Manual</v>
      </c>
      <c r="AA333" s="14" t="str">
        <f>IFERROR(VLOOKUP(CLEAN($V333),'All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33" s="14" t="str">
        <f>IFERROR(VLOOKUP(CLEAN($V333),'All Security Controls'!$A:$I,8, FALSE),"---")</f>
        <v>POA&amp;M</v>
      </c>
      <c r="AC333" s="14" t="str">
        <f>IFERROR(VLOOKUP(CLEAN($V333),'All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33" s="26">
        <v>332</v>
      </c>
    </row>
    <row r="334" spans="1:30" s="10" customFormat="1">
      <c r="A334"/>
      <c r="B334"/>
      <c r="C334"/>
      <c r="D334"/>
      <c r="E334"/>
      <c r="F334"/>
      <c r="G334"/>
      <c r="H334"/>
      <c r="I334"/>
      <c r="J334"/>
      <c r="K334"/>
      <c r="L334"/>
      <c r="M334"/>
      <c r="N334"/>
      <c r="O334"/>
      <c r="P334"/>
      <c r="Q334"/>
      <c r="R334"/>
      <c r="S334"/>
      <c r="T334"/>
      <c r="V334" s="66" t="s">
        <v>348</v>
      </c>
      <c r="W334" s="16" t="str">
        <f>IFERROR(VLOOKUP(CLEAN($V334),'All Security Controls'!A:I, 2, FALSE),"---")</f>
        <v xml:space="preserve">System And Services Acquisition Policy And Procedures </v>
      </c>
      <c r="X334" s="14" t="str">
        <f>IFERROR(VLOOKUP(CLEAN($V334),'All Security Controls'!$A:$I, 4, FALSE),"---")</f>
        <v>CRWG White Criticality Control</v>
      </c>
      <c r="Y334" s="14" t="str">
        <f>IFERROR(VLOOKUP(CLEAN($V334),'All Security Controls'!$A:$I,5, FALSE),"---")</f>
        <v>Annually</v>
      </c>
      <c r="Z334" s="14" t="str">
        <f>IFERROR(VLOOKUP(CLEAN($V334),'All Security Controls'!$A:$I,6, FALSE),"---")</f>
        <v>Manual</v>
      </c>
      <c r="AA334" s="14" t="str">
        <f>IFERROR(VLOOKUP(CLEAN($V334),'All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34" s="14" t="str">
        <f>IFERROR(VLOOKUP(CLEAN($V334),'All Security Controls'!$A:$I,8, FALSE),"---")</f>
        <v>POA&amp;M</v>
      </c>
      <c r="AC334" s="14" t="str">
        <f>IFERROR(VLOOKUP(CLEAN($V334),'All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34" s="26">
        <v>333</v>
      </c>
    </row>
    <row r="335" spans="1:30" s="10" customFormat="1">
      <c r="A335"/>
      <c r="B335"/>
      <c r="C335"/>
      <c r="D335"/>
      <c r="E335"/>
      <c r="F335"/>
      <c r="G335"/>
      <c r="H335"/>
      <c r="I335"/>
      <c r="J335"/>
      <c r="K335"/>
      <c r="L335"/>
      <c r="M335"/>
      <c r="N335"/>
      <c r="O335"/>
      <c r="P335"/>
      <c r="Q335"/>
      <c r="R335"/>
      <c r="S335"/>
      <c r="T335"/>
      <c r="V335" s="66" t="s">
        <v>349</v>
      </c>
      <c r="W335" s="16" t="str">
        <f>IFERROR(VLOOKUP(CLEAN($V335),'All Security Controls'!A:I, 2, FALSE),"---")</f>
        <v xml:space="preserve">Allocation Of Resources </v>
      </c>
      <c r="X335" s="14" t="str">
        <f>IFERROR(VLOOKUP(CLEAN($V335),'All Security Controls'!$A:$I, 4, FALSE),"---")</f>
        <v>CRWG White Criticality Control</v>
      </c>
      <c r="Y335" s="14" t="str">
        <f>IFERROR(VLOOKUP(CLEAN($V335),'All Security Controls'!$A:$I,5, FALSE),"---")</f>
        <v>Annually</v>
      </c>
      <c r="Z335" s="14" t="str">
        <f>IFERROR(VLOOKUP(CLEAN($V335),'All Security Controls'!$A:$I,6, FALSE),"---")</f>
        <v>Manual</v>
      </c>
      <c r="AA335" s="14" t="str">
        <f>IFERROR(VLOOKUP(CLEAN($V335),'All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35" s="14" t="str">
        <f>IFERROR(VLOOKUP(CLEAN($V335),'All Security Controls'!$A:$I,8, FALSE),"---")</f>
        <v>POA&amp;M</v>
      </c>
      <c r="AC335" s="14" t="str">
        <f>IFERROR(VLOOKUP(CLEAN($V335),'All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35" s="26">
        <v>334</v>
      </c>
    </row>
    <row r="336" spans="1:30" s="10" customFormat="1">
      <c r="A336"/>
      <c r="B336"/>
      <c r="C336"/>
      <c r="D336"/>
      <c r="E336"/>
      <c r="F336"/>
      <c r="G336"/>
      <c r="H336"/>
      <c r="I336"/>
      <c r="J336"/>
      <c r="K336"/>
      <c r="L336"/>
      <c r="M336"/>
      <c r="N336"/>
      <c r="O336"/>
      <c r="P336"/>
      <c r="Q336"/>
      <c r="R336"/>
      <c r="S336"/>
      <c r="T336"/>
      <c r="V336" s="66" t="s">
        <v>350</v>
      </c>
      <c r="W336" s="16" t="str">
        <f>IFERROR(VLOOKUP(CLEAN($V336),'All Security Controls'!A:I, 2, FALSE),"---")</f>
        <v>System Development Life Cycle</v>
      </c>
      <c r="X336" s="14" t="str">
        <f>IFERROR(VLOOKUP(CLEAN($V336),'All Security Controls'!$A:$I, 4, FALSE),"---")</f>
        <v>CRWG White Criticality Control</v>
      </c>
      <c r="Y336" s="14" t="str">
        <f>IFERROR(VLOOKUP(CLEAN($V336),'All Security Controls'!$A:$I,5, FALSE),"---")</f>
        <v>Annually</v>
      </c>
      <c r="Z336" s="14" t="str">
        <f>IFERROR(VLOOKUP(CLEAN($V336),'All Security Controls'!$A:$I,6, FALSE),"---")</f>
        <v>Manual</v>
      </c>
      <c r="AA336" s="14" t="str">
        <f>IFERROR(VLOOKUP(CLEAN($V336),'All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36" s="14" t="str">
        <f>IFERROR(VLOOKUP(CLEAN($V336),'All Security Controls'!$A:$I,8, FALSE),"---")</f>
        <v>POA&amp;M</v>
      </c>
      <c r="AC336" s="14" t="str">
        <f>IFERROR(VLOOKUP(CLEAN($V336),'All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36" s="26">
        <v>335</v>
      </c>
    </row>
    <row r="337" spans="1:30" s="10" customFormat="1">
      <c r="A337"/>
      <c r="B337"/>
      <c r="C337"/>
      <c r="D337"/>
      <c r="E337"/>
      <c r="F337"/>
      <c r="G337"/>
      <c r="H337"/>
      <c r="I337"/>
      <c r="J337"/>
      <c r="K337"/>
      <c r="L337"/>
      <c r="M337"/>
      <c r="N337"/>
      <c r="O337"/>
      <c r="P337"/>
      <c r="Q337"/>
      <c r="R337"/>
      <c r="S337"/>
      <c r="T337"/>
      <c r="V337" s="66" t="s">
        <v>351</v>
      </c>
      <c r="W337" s="16" t="str">
        <f>IFERROR(VLOOKUP(CLEAN($V337),'All Security Controls'!A:I, 2, FALSE),"---")</f>
        <v>Acquisition Process</v>
      </c>
      <c r="X337" s="14" t="str">
        <f>IFERROR(VLOOKUP(CLEAN($V337),'All Security Controls'!$A:$I, 4, FALSE),"---")</f>
        <v>CRWG Yellow Criticality Control</v>
      </c>
      <c r="Y337" s="14" t="str">
        <f>IFERROR(VLOOKUP(CLEAN($V337),'All Security Controls'!$A:$I,5, FALSE),"---")</f>
        <v>Annually</v>
      </c>
      <c r="Z337" s="14" t="str">
        <f>IFERROR(VLOOKUP(CLEAN($V337),'All Security Controls'!$A:$I,6, FALSE),"---")</f>
        <v>Manual</v>
      </c>
      <c r="AA337" s="14" t="str">
        <f>IFERROR(VLOOKUP(CLEAN($V337),'All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37" s="14" t="str">
        <f>IFERROR(VLOOKUP(CLEAN($V337),'All Security Controls'!$A:$I,8, FALSE),"---")</f>
        <v>POA&amp;M</v>
      </c>
      <c r="AC337" s="14" t="str">
        <f>IFERROR(VLOOKUP(CLEAN($V337),'All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37" s="26">
        <v>336</v>
      </c>
    </row>
    <row r="338" spans="1:30" s="10" customFormat="1">
      <c r="A338"/>
      <c r="B338"/>
      <c r="C338"/>
      <c r="D338"/>
      <c r="E338"/>
      <c r="F338"/>
      <c r="G338"/>
      <c r="H338"/>
      <c r="I338"/>
      <c r="J338"/>
      <c r="K338"/>
      <c r="L338"/>
      <c r="M338"/>
      <c r="N338"/>
      <c r="O338"/>
      <c r="P338"/>
      <c r="Q338"/>
      <c r="R338"/>
      <c r="S338"/>
      <c r="T338"/>
      <c r="V338" s="66" t="s">
        <v>352</v>
      </c>
      <c r="W338" s="16" t="str">
        <f>IFERROR(VLOOKUP(CLEAN($V338),'All Security Controls'!A:I, 2, FALSE),"---")</f>
        <v>Acquisition Process | Functional Properties of Security Controls</v>
      </c>
      <c r="X338" s="14" t="str">
        <f>IFERROR(VLOOKUP(CLEAN($V338),'All Security Controls'!$A:$I, 4, FALSE),"---")</f>
        <v>CRWG White Criticality Control</v>
      </c>
      <c r="Y338" s="14" t="str">
        <f>IFERROR(VLOOKUP(CLEAN($V338),'All Security Controls'!$A:$I,5, FALSE),"---")</f>
        <v>Annually</v>
      </c>
      <c r="Z338" s="14" t="str">
        <f>IFERROR(VLOOKUP(CLEAN($V338),'All Security Controls'!$A:$I,6, FALSE),"---")</f>
        <v>Manual</v>
      </c>
      <c r="AA338" s="14" t="str">
        <f>IFERROR(VLOOKUP(CLEAN($V338),'All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38" s="14" t="str">
        <f>IFERROR(VLOOKUP(CLEAN($V338),'All Security Controls'!$A:$I,8, FALSE),"---")</f>
        <v>POA&amp;M</v>
      </c>
      <c r="AC338" s="14" t="str">
        <f>IFERROR(VLOOKUP(CLEAN($V338),'All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38" s="26">
        <v>337</v>
      </c>
    </row>
    <row r="339" spans="1:30" s="10" customFormat="1">
      <c r="A339"/>
      <c r="B339"/>
      <c r="C339"/>
      <c r="D339"/>
      <c r="E339"/>
      <c r="F339"/>
      <c r="G339"/>
      <c r="H339"/>
      <c r="I339"/>
      <c r="J339"/>
      <c r="K339"/>
      <c r="L339"/>
      <c r="M339"/>
      <c r="N339"/>
      <c r="O339"/>
      <c r="P339"/>
      <c r="Q339"/>
      <c r="R339"/>
      <c r="S339"/>
      <c r="T339"/>
      <c r="V339" s="66" t="s">
        <v>353</v>
      </c>
      <c r="W339" s="16" t="str">
        <f>IFERROR(VLOOKUP(CLEAN($V339),'All Security Controls'!A:I, 2, FALSE),"---")</f>
        <v>Acquisition Process | Design/ Implementation Information for Security Controls</v>
      </c>
      <c r="X339" s="14" t="str">
        <f>IFERROR(VLOOKUP(CLEAN($V339),'All Security Controls'!$A:$I, 4, FALSE),"---")</f>
        <v>CRWG Yellow Criticality Control</v>
      </c>
      <c r="Y339" s="14" t="str">
        <f>IFERROR(VLOOKUP(CLEAN($V339),'All Security Controls'!$A:$I,5, FALSE),"---")</f>
        <v>Annually</v>
      </c>
      <c r="Z339" s="14" t="str">
        <f>IFERROR(VLOOKUP(CLEAN($V339),'All Security Controls'!$A:$I,6, FALSE),"---")</f>
        <v>Manual</v>
      </c>
      <c r="AA339" s="14" t="str">
        <f>IFERROR(VLOOKUP(CLEAN($V339),'All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39" s="14" t="str">
        <f>IFERROR(VLOOKUP(CLEAN($V339),'All Security Controls'!$A:$I,8, FALSE),"---")</f>
        <v>POA&amp;M</v>
      </c>
      <c r="AC339" s="14" t="str">
        <f>IFERROR(VLOOKUP(CLEAN($V339),'All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39" s="26">
        <v>338</v>
      </c>
    </row>
    <row r="340" spans="1:30" s="10" customFormat="1">
      <c r="A340"/>
      <c r="B340"/>
      <c r="C340"/>
      <c r="D340"/>
      <c r="E340"/>
      <c r="F340"/>
      <c r="G340"/>
      <c r="H340"/>
      <c r="I340"/>
      <c r="J340"/>
      <c r="K340"/>
      <c r="L340"/>
      <c r="M340"/>
      <c r="N340"/>
      <c r="O340"/>
      <c r="P340"/>
      <c r="Q340"/>
      <c r="R340"/>
      <c r="S340"/>
      <c r="T340"/>
      <c r="V340" s="66" t="s">
        <v>354</v>
      </c>
      <c r="W340" s="16" t="str">
        <f>IFERROR(VLOOKUP(CLEAN($V340),'All Security Controls'!A:I, 2, FALSE),"---")</f>
        <v>Acquisition Process | Development Methods/ Techniques/ Practices</v>
      </c>
      <c r="X340" s="14" t="str">
        <f>IFERROR(VLOOKUP(CLEAN($V340),'All Security Controls'!$A:$I, 4, FALSE),"---")</f>
        <v>CRWG White Criticality Control</v>
      </c>
      <c r="Y340" s="14" t="str">
        <f>IFERROR(VLOOKUP(CLEAN($V340),'All Security Controls'!$A:$I,5, FALSE),"---")</f>
        <v>Annually</v>
      </c>
      <c r="Z340" s="14" t="str">
        <f>IFERROR(VLOOKUP(CLEAN($V340),'All Security Controls'!$A:$I,6, FALSE),"---")</f>
        <v>Manual</v>
      </c>
      <c r="AA340" s="14" t="str">
        <f>IFERROR(VLOOKUP(CLEAN($V340),'All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40" s="14" t="str">
        <f>IFERROR(VLOOKUP(CLEAN($V340),'All Security Controls'!$A:$I,8, FALSE),"---")</f>
        <v>POA&amp;M</v>
      </c>
      <c r="AC340" s="14" t="str">
        <f>IFERROR(VLOOKUP(CLEAN($V340),'All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40" s="26">
        <v>339</v>
      </c>
    </row>
    <row r="341" spans="1:30" s="10" customFormat="1">
      <c r="A341"/>
      <c r="B341"/>
      <c r="C341"/>
      <c r="D341"/>
      <c r="E341"/>
      <c r="F341"/>
      <c r="G341"/>
      <c r="H341"/>
      <c r="I341"/>
      <c r="J341"/>
      <c r="K341"/>
      <c r="L341"/>
      <c r="M341"/>
      <c r="N341"/>
      <c r="O341"/>
      <c r="P341"/>
      <c r="Q341"/>
      <c r="R341"/>
      <c r="S341"/>
      <c r="T341"/>
      <c r="V341" s="66" t="s">
        <v>355</v>
      </c>
      <c r="W341" s="16" t="str">
        <f>IFERROR(VLOOKUP(CLEAN($V341),'All Security Controls'!A:I, 2, FALSE),"---")</f>
        <v>Acquisition Process | System/ Component/ Service Configurations</v>
      </c>
      <c r="X341" s="14" t="str">
        <f>IFERROR(VLOOKUP(CLEAN($V341),'All Security Controls'!$A:$I, 4, FALSE),"---")</f>
        <v>CRWG White Criticality Control</v>
      </c>
      <c r="Y341" s="14" t="str">
        <f>IFERROR(VLOOKUP(CLEAN($V341),'All Security Controls'!$A:$I,5, FALSE),"---")</f>
        <v>Annually</v>
      </c>
      <c r="Z341" s="14" t="str">
        <f>IFERROR(VLOOKUP(CLEAN($V341),'All Security Controls'!$A:$I,6, FALSE),"---")</f>
        <v>Manual</v>
      </c>
      <c r="AA341" s="14" t="str">
        <f>IFERROR(VLOOKUP(CLEAN($V341),'All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41" s="14" t="str">
        <f>IFERROR(VLOOKUP(CLEAN($V341),'All Security Controls'!$A:$I,8, FALSE),"---")</f>
        <v>POA&amp;M</v>
      </c>
      <c r="AC341" s="14" t="str">
        <f>IFERROR(VLOOKUP(CLEAN($V341),'All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41" s="26">
        <v>340</v>
      </c>
    </row>
    <row r="342" spans="1:30" s="10" customFormat="1">
      <c r="A342"/>
      <c r="B342"/>
      <c r="C342"/>
      <c r="D342"/>
      <c r="E342"/>
      <c r="F342"/>
      <c r="G342"/>
      <c r="H342"/>
      <c r="I342"/>
      <c r="J342"/>
      <c r="K342"/>
      <c r="L342"/>
      <c r="M342"/>
      <c r="N342"/>
      <c r="O342"/>
      <c r="P342"/>
      <c r="Q342"/>
      <c r="R342"/>
      <c r="S342"/>
      <c r="T342"/>
      <c r="V342" s="66" t="s">
        <v>356</v>
      </c>
      <c r="W342" s="16" t="str">
        <f>IFERROR(VLOOKUP(CLEAN($V342),'All Security Controls'!A:I, 2, FALSE),"---")</f>
        <v>Acquisition Process | NIAP-Approved Protection Profiles</v>
      </c>
      <c r="X342" s="14" t="str">
        <f>IFERROR(VLOOKUP(CLEAN($V342),'All Security Controls'!$A:$I, 4, FALSE),"---")</f>
        <v>CRWG White Criticality Control</v>
      </c>
      <c r="Y342" s="14" t="str">
        <f>IFERROR(VLOOKUP(CLEAN($V342),'All Security Controls'!$A:$I,5, FALSE),"---")</f>
        <v>Annually</v>
      </c>
      <c r="Z342" s="14" t="str">
        <f>IFERROR(VLOOKUP(CLEAN($V342),'All Security Controls'!$A:$I,6, FALSE),"---")</f>
        <v>Manual</v>
      </c>
      <c r="AA342" s="14" t="str">
        <f>IFERROR(VLOOKUP(CLEAN($V342),'All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42" s="14" t="str">
        <f>IFERROR(VLOOKUP(CLEAN($V342),'All Security Controls'!$A:$I,8, FALSE),"---")</f>
        <v>POA&amp;M</v>
      </c>
      <c r="AC342" s="14" t="str">
        <f>IFERROR(VLOOKUP(CLEAN($V342),'All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42" s="26">
        <v>341</v>
      </c>
    </row>
    <row r="343" spans="1:30" s="10" customFormat="1">
      <c r="A343"/>
      <c r="B343"/>
      <c r="C343"/>
      <c r="D343"/>
      <c r="E343"/>
      <c r="F343"/>
      <c r="G343"/>
      <c r="H343"/>
      <c r="I343"/>
      <c r="J343"/>
      <c r="K343"/>
      <c r="L343"/>
      <c r="M343"/>
      <c r="N343"/>
      <c r="O343"/>
      <c r="P343"/>
      <c r="Q343"/>
      <c r="R343"/>
      <c r="S343"/>
      <c r="T343"/>
      <c r="V343" s="66" t="s">
        <v>357</v>
      </c>
      <c r="W343" s="16" t="str">
        <f>IFERROR(VLOOKUP(CLEAN($V343),'All Security Controls'!A:I, 2, FALSE),"---")</f>
        <v>Acquisition Process | Functions/ Ports/ Protocols/ Services in Use</v>
      </c>
      <c r="X343" s="14" t="str">
        <f>IFERROR(VLOOKUP(CLEAN($V343),'All Security Controls'!$A:$I, 4, FALSE),"---")</f>
        <v>CRWG White Criticality Control</v>
      </c>
      <c r="Y343" s="14" t="str">
        <f>IFERROR(VLOOKUP(CLEAN($V343),'All Security Controls'!$A:$I,5, FALSE),"---")</f>
        <v>Annually</v>
      </c>
      <c r="Z343" s="14" t="str">
        <f>IFERROR(VLOOKUP(CLEAN($V343),'All Security Controls'!$A:$I,6, FALSE),"---")</f>
        <v>Manual</v>
      </c>
      <c r="AA343" s="14" t="str">
        <f>IFERROR(VLOOKUP(CLEAN($V343),'All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43" s="14" t="str">
        <f>IFERROR(VLOOKUP(CLEAN($V343),'All Security Controls'!$A:$I,8, FALSE),"---")</f>
        <v>POA&amp;M</v>
      </c>
      <c r="AC343" s="14" t="str">
        <f>IFERROR(VLOOKUP(CLEAN($V343),'All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43" s="26">
        <v>342</v>
      </c>
    </row>
    <row r="344" spans="1:30" s="10" customFormat="1">
      <c r="A344"/>
      <c r="B344"/>
      <c r="C344"/>
      <c r="D344"/>
      <c r="E344"/>
      <c r="F344"/>
      <c r="G344"/>
      <c r="H344"/>
      <c r="I344"/>
      <c r="J344"/>
      <c r="K344"/>
      <c r="L344"/>
      <c r="M344"/>
      <c r="N344"/>
      <c r="O344"/>
      <c r="P344"/>
      <c r="Q344"/>
      <c r="R344"/>
      <c r="S344"/>
      <c r="T344"/>
      <c r="V344" s="66" t="s">
        <v>358</v>
      </c>
      <c r="W344" s="16" t="str">
        <f>IFERROR(VLOOKUP(CLEAN($V344),'All Security Controls'!A:I, 2, FALSE),"---")</f>
        <v>Acquisition Process | Use of Approved PIV Products</v>
      </c>
      <c r="X344" s="14" t="str">
        <f>IFERROR(VLOOKUP(CLEAN($V344),'All Security Controls'!$A:$I, 4, FALSE),"---")</f>
        <v>CRWG White Criticality Control</v>
      </c>
      <c r="Y344" s="14" t="str">
        <f>IFERROR(VLOOKUP(CLEAN($V344),'All Security Controls'!$A:$I,5, FALSE),"---")</f>
        <v>Annually</v>
      </c>
      <c r="Z344" s="14" t="str">
        <f>IFERROR(VLOOKUP(CLEAN($V344),'All Security Controls'!$A:$I,6, FALSE),"---")</f>
        <v>Manual</v>
      </c>
      <c r="AA344" s="14" t="str">
        <f>IFERROR(VLOOKUP(CLEAN($V344),'All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44" s="14" t="str">
        <f>IFERROR(VLOOKUP(CLEAN($V344),'All Security Controls'!$A:$I,8, FALSE),"---")</f>
        <v>POA&amp;M</v>
      </c>
      <c r="AC344" s="14" t="str">
        <f>IFERROR(VLOOKUP(CLEAN($V344),'All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44" s="26">
        <v>343</v>
      </c>
    </row>
    <row r="345" spans="1:30" s="10" customFormat="1">
      <c r="A345"/>
      <c r="B345"/>
      <c r="C345"/>
      <c r="D345"/>
      <c r="E345"/>
      <c r="F345"/>
      <c r="G345"/>
      <c r="H345"/>
      <c r="I345"/>
      <c r="J345"/>
      <c r="K345"/>
      <c r="L345"/>
      <c r="M345"/>
      <c r="N345"/>
      <c r="O345"/>
      <c r="P345"/>
      <c r="Q345"/>
      <c r="R345"/>
      <c r="S345"/>
      <c r="T345"/>
      <c r="V345" s="66" t="s">
        <v>359</v>
      </c>
      <c r="W345" s="16" t="str">
        <f>IFERROR(VLOOKUP(CLEAN($V345),'All Security Controls'!A:I, 2, FALSE),"---")</f>
        <v xml:space="preserve">Information System Documentation </v>
      </c>
      <c r="X345" s="14" t="str">
        <f>IFERROR(VLOOKUP(CLEAN($V345),'All Security Controls'!$A:$I, 4, FALSE),"---")</f>
        <v>CRWG White Criticality Control</v>
      </c>
      <c r="Y345" s="14" t="str">
        <f>IFERROR(VLOOKUP(CLEAN($V345),'All Security Controls'!$A:$I,5, FALSE),"---")</f>
        <v>Annually</v>
      </c>
      <c r="Z345" s="14" t="str">
        <f>IFERROR(VLOOKUP(CLEAN($V345),'All Security Controls'!$A:$I,6, FALSE),"---")</f>
        <v>Manual</v>
      </c>
      <c r="AA345" s="14" t="str">
        <f>IFERROR(VLOOKUP(CLEAN($V345),'All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45" s="14" t="str">
        <f>IFERROR(VLOOKUP(CLEAN($V345),'All Security Controls'!$A:$I,8, FALSE),"---")</f>
        <v>POA&amp;M</v>
      </c>
      <c r="AC345" s="14" t="str">
        <f>IFERROR(VLOOKUP(CLEAN($V345),'All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45" s="26">
        <v>344</v>
      </c>
    </row>
    <row r="346" spans="1:30" s="10" customFormat="1">
      <c r="A346"/>
      <c r="B346"/>
      <c r="C346"/>
      <c r="D346"/>
      <c r="E346"/>
      <c r="F346"/>
      <c r="G346"/>
      <c r="H346"/>
      <c r="I346"/>
      <c r="J346"/>
      <c r="K346"/>
      <c r="L346"/>
      <c r="M346"/>
      <c r="N346"/>
      <c r="O346"/>
      <c r="P346"/>
      <c r="Q346"/>
      <c r="R346"/>
      <c r="S346"/>
      <c r="T346"/>
      <c r="V346" s="66" t="s">
        <v>360</v>
      </c>
      <c r="W346" s="16" t="str">
        <f>IFERROR(VLOOKUP(CLEAN($V346),'All Security Controls'!A:I, 2, FALSE),"---")</f>
        <v xml:space="preserve">Security Engineering Principles </v>
      </c>
      <c r="X346" s="14" t="str">
        <f>IFERROR(VLOOKUP(CLEAN($V346),'All Security Controls'!$A:$I, 4, FALSE),"---")</f>
        <v>CRWG White Criticality Control</v>
      </c>
      <c r="Y346" s="14" t="str">
        <f>IFERROR(VLOOKUP(CLEAN($V346),'All Security Controls'!$A:$I,5, FALSE),"---")</f>
        <v>Annually</v>
      </c>
      <c r="Z346" s="14" t="str">
        <f>IFERROR(VLOOKUP(CLEAN($V346),'All Security Controls'!$A:$I,6, FALSE),"---")</f>
        <v>Manual</v>
      </c>
      <c r="AA346" s="14" t="str">
        <f>IFERROR(VLOOKUP(CLEAN($V346),'All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46" s="14" t="str">
        <f>IFERROR(VLOOKUP(CLEAN($V346),'All Security Controls'!$A:$I,8, FALSE),"---")</f>
        <v>POA&amp;M</v>
      </c>
      <c r="AC346" s="14" t="str">
        <f>IFERROR(VLOOKUP(CLEAN($V346),'All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46" s="26">
        <v>345</v>
      </c>
    </row>
    <row r="347" spans="1:30" s="10" customFormat="1">
      <c r="A347"/>
      <c r="B347"/>
      <c r="C347"/>
      <c r="D347"/>
      <c r="E347"/>
      <c r="F347"/>
      <c r="G347"/>
      <c r="H347"/>
      <c r="I347"/>
      <c r="J347"/>
      <c r="K347"/>
      <c r="L347"/>
      <c r="M347"/>
      <c r="N347"/>
      <c r="O347"/>
      <c r="P347"/>
      <c r="Q347"/>
      <c r="R347"/>
      <c r="S347"/>
      <c r="T347"/>
      <c r="V347" s="66" t="s">
        <v>361</v>
      </c>
      <c r="W347" s="16" t="str">
        <f>IFERROR(VLOOKUP(CLEAN($V347),'All Security Controls'!A:I, 2, FALSE),"---")</f>
        <v xml:space="preserve">External Information System Services </v>
      </c>
      <c r="X347" s="14" t="str">
        <f>IFERROR(VLOOKUP(CLEAN($V347),'All Security Controls'!$A:$I, 4, FALSE),"---")</f>
        <v>CRWG Yellow Criticality Control</v>
      </c>
      <c r="Y347" s="14" t="str">
        <f>IFERROR(VLOOKUP(CLEAN($V347),'All Security Controls'!$A:$I,5, FALSE),"---")</f>
        <v>Annually</v>
      </c>
      <c r="Z347" s="14" t="str">
        <f>IFERROR(VLOOKUP(CLEAN($V347),'All Security Controls'!$A:$I,6, FALSE),"---")</f>
        <v>Manual</v>
      </c>
      <c r="AA347" s="14" t="str">
        <f>IFERROR(VLOOKUP(CLEAN($V347),'All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47" s="14" t="str">
        <f>IFERROR(VLOOKUP(CLEAN($V347),'All Security Controls'!$A:$I,8, FALSE),"---")</f>
        <v>POA&amp;M</v>
      </c>
      <c r="AC347" s="14" t="str">
        <f>IFERROR(VLOOKUP(CLEAN($V347),'All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47" s="26">
        <v>346</v>
      </c>
    </row>
    <row r="348" spans="1:30" s="10" customFormat="1">
      <c r="A348"/>
      <c r="B348"/>
      <c r="C348"/>
      <c r="D348"/>
      <c r="E348"/>
      <c r="F348"/>
      <c r="G348"/>
      <c r="H348"/>
      <c r="I348"/>
      <c r="J348"/>
      <c r="K348"/>
      <c r="L348"/>
      <c r="M348"/>
      <c r="N348"/>
      <c r="O348"/>
      <c r="P348"/>
      <c r="Q348"/>
      <c r="R348"/>
      <c r="S348"/>
      <c r="T348"/>
      <c r="V348" s="66" t="s">
        <v>362</v>
      </c>
      <c r="W348" s="16" t="str">
        <f>IFERROR(VLOOKUP(CLEAN($V348),'All Security Controls'!A:I, 2, FALSE),"---")</f>
        <v>External Information System Services | Risk Assessments/ Organizational Approvals</v>
      </c>
      <c r="X348" s="14" t="str">
        <f>IFERROR(VLOOKUP(CLEAN($V348),'All Security Controls'!$A:$I, 4, FALSE),"---")</f>
        <v>CRWG White Criticality Control</v>
      </c>
      <c r="Y348" s="14" t="str">
        <f>IFERROR(VLOOKUP(CLEAN($V348),'All Security Controls'!$A:$I,5, FALSE),"---")</f>
        <v>Annually</v>
      </c>
      <c r="Z348" s="14" t="str">
        <f>IFERROR(VLOOKUP(CLEAN($V348),'All Security Controls'!$A:$I,6, FALSE),"---")</f>
        <v>Manual</v>
      </c>
      <c r="AA348" s="14" t="str">
        <f>IFERROR(VLOOKUP(CLEAN($V348),'All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48" s="14" t="str">
        <f>IFERROR(VLOOKUP(CLEAN($V348),'All Security Controls'!$A:$I,8, FALSE),"---")</f>
        <v>POA&amp;M</v>
      </c>
      <c r="AC348" s="14" t="str">
        <f>IFERROR(VLOOKUP(CLEAN($V348),'All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48" s="26">
        <v>347</v>
      </c>
    </row>
    <row r="349" spans="1:30" s="10" customFormat="1">
      <c r="A349"/>
      <c r="B349"/>
      <c r="C349"/>
      <c r="D349"/>
      <c r="E349"/>
      <c r="F349"/>
      <c r="G349"/>
      <c r="H349"/>
      <c r="I349"/>
      <c r="J349"/>
      <c r="K349"/>
      <c r="L349"/>
      <c r="M349"/>
      <c r="N349"/>
      <c r="O349"/>
      <c r="P349"/>
      <c r="Q349"/>
      <c r="R349"/>
      <c r="S349"/>
      <c r="T349"/>
      <c r="V349" s="66" t="s">
        <v>363</v>
      </c>
      <c r="W349" s="16" t="str">
        <f>IFERROR(VLOOKUP(CLEAN($V349),'All Security Controls'!A:I, 2, FALSE),"---")</f>
        <v>External Information System Services | Identification of Functions/ Ports/ Protocols/ Services</v>
      </c>
      <c r="X349" s="14" t="str">
        <f>IFERROR(VLOOKUP(CLEAN($V349),'All Security Controls'!$A:$I, 4, FALSE),"---")</f>
        <v>CRWG Yellow Criticality Control</v>
      </c>
      <c r="Y349" s="14" t="str">
        <f>IFERROR(VLOOKUP(CLEAN($V349),'All Security Controls'!$A:$I,5, FALSE),"---")</f>
        <v>Annually</v>
      </c>
      <c r="Z349" s="14" t="str">
        <f>IFERROR(VLOOKUP(CLEAN($V349),'All Security Controls'!$A:$I,6, FALSE),"---")</f>
        <v>Manual</v>
      </c>
      <c r="AA349" s="14" t="str">
        <f>IFERROR(VLOOKUP(CLEAN($V349),'All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49" s="14" t="str">
        <f>IFERROR(VLOOKUP(CLEAN($V349),'All Security Controls'!$A:$I,8, FALSE),"---")</f>
        <v>POA&amp;M</v>
      </c>
      <c r="AC349" s="14" t="str">
        <f>IFERROR(VLOOKUP(CLEAN($V349),'All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49" s="26">
        <v>348</v>
      </c>
    </row>
    <row r="350" spans="1:30" s="10" customFormat="1">
      <c r="A350"/>
      <c r="B350"/>
      <c r="C350"/>
      <c r="D350"/>
      <c r="E350"/>
      <c r="F350"/>
      <c r="G350"/>
      <c r="H350"/>
      <c r="I350"/>
      <c r="J350"/>
      <c r="K350"/>
      <c r="L350"/>
      <c r="M350"/>
      <c r="N350"/>
      <c r="O350"/>
      <c r="P350"/>
      <c r="Q350"/>
      <c r="R350"/>
      <c r="S350"/>
      <c r="T350"/>
      <c r="V350" s="66" t="s">
        <v>364</v>
      </c>
      <c r="W350" s="16" t="str">
        <f>IFERROR(VLOOKUP(CLEAN($V350),'All Security Controls'!A:I, 2, FALSE),"---")</f>
        <v>External Information Systems | Processing, Storage, and Service Location</v>
      </c>
      <c r="X350" s="14" t="str">
        <f>IFERROR(VLOOKUP(CLEAN($V350),'All Security Controls'!$A:$I, 4, FALSE),"---")</f>
        <v>CRWG White Criticality Control</v>
      </c>
      <c r="Y350" s="14" t="str">
        <f>IFERROR(VLOOKUP(CLEAN($V350),'All Security Controls'!$A:$I,5, FALSE),"---")</f>
        <v>Annually</v>
      </c>
      <c r="Z350" s="14" t="str">
        <f>IFERROR(VLOOKUP(CLEAN($V350),'All Security Controls'!$A:$I,6, FALSE),"---")</f>
        <v>Manual</v>
      </c>
      <c r="AA350" s="14" t="str">
        <f>IFERROR(VLOOKUP(CLEAN($V350),'All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50" s="14" t="str">
        <f>IFERROR(VLOOKUP(CLEAN($V350),'All Security Controls'!$A:$I,8, FALSE),"---")</f>
        <v>POA&amp;M</v>
      </c>
      <c r="AC350" s="14" t="str">
        <f>IFERROR(VLOOKUP(CLEAN($V350),'All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50" s="26">
        <v>349</v>
      </c>
    </row>
    <row r="351" spans="1:30" s="10" customFormat="1">
      <c r="A351"/>
      <c r="B351"/>
      <c r="C351"/>
      <c r="D351"/>
      <c r="E351"/>
      <c r="F351"/>
      <c r="G351"/>
      <c r="H351"/>
      <c r="I351"/>
      <c r="J351"/>
      <c r="K351"/>
      <c r="L351"/>
      <c r="M351"/>
      <c r="N351"/>
      <c r="O351"/>
      <c r="P351"/>
      <c r="Q351"/>
      <c r="R351"/>
      <c r="S351"/>
      <c r="T351"/>
      <c r="V351" s="66" t="s">
        <v>365</v>
      </c>
      <c r="W351" s="16" t="str">
        <f>IFERROR(VLOOKUP(CLEAN($V351),'All Security Controls'!A:I, 2, FALSE),"---")</f>
        <v xml:space="preserve">Developer Configuration Management </v>
      </c>
      <c r="X351" s="14" t="str">
        <f>IFERROR(VLOOKUP(CLEAN($V351),'All Security Controls'!$A:$I, 4, FALSE),"---")</f>
        <v>CRWG White Criticality Control</v>
      </c>
      <c r="Y351" s="14" t="str">
        <f>IFERROR(VLOOKUP(CLEAN($V351),'All Security Controls'!$A:$I,5, FALSE),"---")</f>
        <v>Annually</v>
      </c>
      <c r="Z351" s="14" t="str">
        <f>IFERROR(VLOOKUP(CLEAN($V351),'All Security Controls'!$A:$I,6, FALSE),"---")</f>
        <v>Manual</v>
      </c>
      <c r="AA351" s="14" t="str">
        <f>IFERROR(VLOOKUP(CLEAN($V351),'All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51" s="14" t="str">
        <f>IFERROR(VLOOKUP(CLEAN($V351),'All Security Controls'!$A:$I,8, FALSE),"---")</f>
        <v>POA&amp;M</v>
      </c>
      <c r="AC351" s="14" t="str">
        <f>IFERROR(VLOOKUP(CLEAN($V351),'All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51" s="26">
        <v>350</v>
      </c>
    </row>
    <row r="352" spans="1:30" s="10" customFormat="1">
      <c r="A352"/>
      <c r="B352"/>
      <c r="C352"/>
      <c r="D352"/>
      <c r="E352"/>
      <c r="F352"/>
      <c r="G352"/>
      <c r="H352"/>
      <c r="I352"/>
      <c r="J352"/>
      <c r="K352"/>
      <c r="L352"/>
      <c r="M352"/>
      <c r="N352"/>
      <c r="O352"/>
      <c r="P352"/>
      <c r="Q352"/>
      <c r="R352"/>
      <c r="S352"/>
      <c r="T352"/>
      <c r="V352" s="66" t="s">
        <v>366</v>
      </c>
      <c r="W352" s="16" t="str">
        <f>IFERROR(VLOOKUP(CLEAN($V352),'All Security Controls'!A:I, 2, FALSE),"---")</f>
        <v>Developer Configuration Management | Software/ Firmware Integrity Verification</v>
      </c>
      <c r="X352" s="14" t="str">
        <f>IFERROR(VLOOKUP(CLEAN($V352),'All Security Controls'!$A:$I, 4, FALSE),"---")</f>
        <v>CRWG White Criticality Control</v>
      </c>
      <c r="Y352" s="14" t="str">
        <f>IFERROR(VLOOKUP(CLEAN($V352),'All Security Controls'!$A:$I,5, FALSE),"---")</f>
        <v>Annually</v>
      </c>
      <c r="Z352" s="14" t="str">
        <f>IFERROR(VLOOKUP(CLEAN($V352),'All Security Controls'!$A:$I,6, FALSE),"---")</f>
        <v>Manual</v>
      </c>
      <c r="AA352" s="14" t="str">
        <f>IFERROR(VLOOKUP(CLEAN($V352),'All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52" s="14" t="str">
        <f>IFERROR(VLOOKUP(CLEAN($V352),'All Security Controls'!$A:$I,8, FALSE),"---")</f>
        <v>POA&amp;M</v>
      </c>
      <c r="AC352" s="14" t="str">
        <f>IFERROR(VLOOKUP(CLEAN($V352),'All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52" s="26">
        <v>351</v>
      </c>
    </row>
    <row r="353" spans="1:30" s="10" customFormat="1">
      <c r="A353"/>
      <c r="B353"/>
      <c r="C353"/>
      <c r="D353"/>
      <c r="E353"/>
      <c r="F353"/>
      <c r="G353"/>
      <c r="H353"/>
      <c r="I353"/>
      <c r="J353"/>
      <c r="K353"/>
      <c r="L353"/>
      <c r="M353"/>
      <c r="N353"/>
      <c r="O353"/>
      <c r="P353"/>
      <c r="Q353"/>
      <c r="R353"/>
      <c r="S353"/>
      <c r="T353"/>
      <c r="V353" s="66" t="s">
        <v>367</v>
      </c>
      <c r="W353" s="16" t="str">
        <f>IFERROR(VLOOKUP(CLEAN($V353),'All Security Controls'!A:I, 2, FALSE),"---")</f>
        <v>Developer Security Testing and Evaluation</v>
      </c>
      <c r="X353" s="14" t="str">
        <f>IFERROR(VLOOKUP(CLEAN($V353),'All Security Controls'!$A:$I, 4, FALSE),"---")</f>
        <v>CRWG White Criticality Control</v>
      </c>
      <c r="Y353" s="14" t="str">
        <f>IFERROR(VLOOKUP(CLEAN($V353),'All Security Controls'!$A:$I,5, FALSE),"---")</f>
        <v>Annually</v>
      </c>
      <c r="Z353" s="14" t="str">
        <f>IFERROR(VLOOKUP(CLEAN($V353),'All Security Controls'!$A:$I,6, FALSE),"---")</f>
        <v>Manual</v>
      </c>
      <c r="AA353" s="14" t="str">
        <f>IFERROR(VLOOKUP(CLEAN($V353),'All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53" s="14" t="str">
        <f>IFERROR(VLOOKUP(CLEAN($V353),'All Security Controls'!$A:$I,8, FALSE),"---")</f>
        <v>POA&amp;M</v>
      </c>
      <c r="AC353" s="14" t="str">
        <f>IFERROR(VLOOKUP(CLEAN($V353),'All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53" s="26">
        <v>352</v>
      </c>
    </row>
    <row r="354" spans="1:30" s="10" customFormat="1">
      <c r="A354"/>
      <c r="B354"/>
      <c r="C354"/>
      <c r="D354"/>
      <c r="E354"/>
      <c r="F354"/>
      <c r="G354"/>
      <c r="H354"/>
      <c r="I354"/>
      <c r="J354"/>
      <c r="K354"/>
      <c r="L354"/>
      <c r="M354"/>
      <c r="N354"/>
      <c r="O354"/>
      <c r="P354"/>
      <c r="Q354"/>
      <c r="R354"/>
      <c r="S354"/>
      <c r="T354"/>
      <c r="V354" s="66" t="s">
        <v>368</v>
      </c>
      <c r="W354" s="16" t="str">
        <f>IFERROR(VLOOKUP(CLEAN($V354),'All Security Controls'!A:I, 2, FALSE),"---")</f>
        <v xml:space="preserve">Supply Chain Protection </v>
      </c>
      <c r="X354" s="14" t="str">
        <f>IFERROR(VLOOKUP(CLEAN($V354),'All Security Controls'!$A:$I, 4, FALSE),"---")</f>
        <v>CRWG White Criticality Control</v>
      </c>
      <c r="Y354" s="14" t="str">
        <f>IFERROR(VLOOKUP(CLEAN($V354),'All Security Controls'!$A:$I,5, FALSE),"---")</f>
        <v>Annually</v>
      </c>
      <c r="Z354" s="14" t="str">
        <f>IFERROR(VLOOKUP(CLEAN($V354),'All Security Controls'!$A:$I,6, FALSE),"---")</f>
        <v>Manual</v>
      </c>
      <c r="AA354" s="14" t="str">
        <f>IFERROR(VLOOKUP(CLEAN($V354),'All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54" s="14" t="str">
        <f>IFERROR(VLOOKUP(CLEAN($V354),'All Security Controls'!$A:$I,8, FALSE),"---")</f>
        <v>POA&amp;M</v>
      </c>
      <c r="AC354" s="14" t="str">
        <f>IFERROR(VLOOKUP(CLEAN($V354),'All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54" s="26">
        <v>353</v>
      </c>
    </row>
    <row r="355" spans="1:30" s="10" customFormat="1">
      <c r="A355"/>
      <c r="B355"/>
      <c r="C355"/>
      <c r="D355"/>
      <c r="E355"/>
      <c r="F355"/>
      <c r="G355"/>
      <c r="H355"/>
      <c r="I355"/>
      <c r="J355"/>
      <c r="K355"/>
      <c r="L355"/>
      <c r="M355"/>
      <c r="N355"/>
      <c r="O355"/>
      <c r="P355"/>
      <c r="Q355"/>
      <c r="R355"/>
      <c r="S355"/>
      <c r="T355"/>
      <c r="V355" s="66" t="s">
        <v>369</v>
      </c>
      <c r="W355" s="16" t="str">
        <f>IFERROR(VLOOKUP(CLEAN($V355),'All Security Controls'!A:I, 2, FALSE),"---")</f>
        <v>Supply Chain Protection | Acquisition Strategies / Tools/ Methods</v>
      </c>
      <c r="X355" s="14" t="str">
        <f>IFERROR(VLOOKUP(CLEAN($V355),'All Security Controls'!$A:$I, 4, FALSE),"---")</f>
        <v>CRWG White Criticality Control</v>
      </c>
      <c r="Y355" s="14" t="str">
        <f>IFERROR(VLOOKUP(CLEAN($V355),'All Security Controls'!$A:$I,5, FALSE),"---")</f>
        <v>Annually</v>
      </c>
      <c r="Z355" s="14" t="str">
        <f>IFERROR(VLOOKUP(CLEAN($V355),'All Security Controls'!$A:$I,6, FALSE),"---")</f>
        <v>Manual</v>
      </c>
      <c r="AA355" s="14" t="str">
        <f>IFERROR(VLOOKUP(CLEAN($V355),'All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55" s="14" t="str">
        <f>IFERROR(VLOOKUP(CLEAN($V355),'All Security Controls'!$A:$I,8, FALSE),"---")</f>
        <v>POA&amp;M</v>
      </c>
      <c r="AC355" s="14" t="str">
        <f>IFERROR(VLOOKUP(CLEAN($V355),'All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55" s="26">
        <v>354</v>
      </c>
    </row>
    <row r="356" spans="1:30" s="10" customFormat="1">
      <c r="A356"/>
      <c r="B356"/>
      <c r="C356"/>
      <c r="D356"/>
      <c r="E356"/>
      <c r="F356"/>
      <c r="G356"/>
      <c r="H356"/>
      <c r="I356"/>
      <c r="J356"/>
      <c r="K356"/>
      <c r="L356"/>
      <c r="M356"/>
      <c r="N356"/>
      <c r="O356"/>
      <c r="P356"/>
      <c r="Q356"/>
      <c r="R356"/>
      <c r="S356"/>
      <c r="T356"/>
      <c r="V356" s="66" t="s">
        <v>370</v>
      </c>
      <c r="W356" s="16" t="str">
        <f>IFERROR(VLOOKUP(CLEAN($V356),'All Security Controls'!A:I, 2, FALSE),"---")</f>
        <v>Supply Chain Protection | Limitation of Harm</v>
      </c>
      <c r="X356" s="14" t="str">
        <f>IFERROR(VLOOKUP(CLEAN($V356),'All Security Controls'!$A:$I, 4, FALSE),"---")</f>
        <v>CRWG White Criticality Control</v>
      </c>
      <c r="Y356" s="14" t="str">
        <f>IFERROR(VLOOKUP(CLEAN($V356),'All Security Controls'!$A:$I,5, FALSE),"---")</f>
        <v>Annually</v>
      </c>
      <c r="Z356" s="14" t="str">
        <f>IFERROR(VLOOKUP(CLEAN($V356),'All Security Controls'!$A:$I,6, FALSE),"---")</f>
        <v>Manual</v>
      </c>
      <c r="AA356" s="14" t="str">
        <f>IFERROR(VLOOKUP(CLEAN($V356),'All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56" s="14" t="str">
        <f>IFERROR(VLOOKUP(CLEAN($V356),'All Security Controls'!$A:$I,8, FALSE),"---")</f>
        <v>POA&amp;M</v>
      </c>
      <c r="AC356" s="14" t="str">
        <f>IFERROR(VLOOKUP(CLEAN($V356),'All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56" s="26">
        <v>355</v>
      </c>
    </row>
    <row r="357" spans="1:30" s="10" customFormat="1">
      <c r="A357"/>
      <c r="B357"/>
      <c r="C357"/>
      <c r="D357"/>
      <c r="E357"/>
      <c r="F357"/>
      <c r="G357"/>
      <c r="H357"/>
      <c r="I357"/>
      <c r="J357"/>
      <c r="K357"/>
      <c r="L357"/>
      <c r="M357"/>
      <c r="N357"/>
      <c r="O357"/>
      <c r="P357"/>
      <c r="Q357"/>
      <c r="R357"/>
      <c r="S357"/>
      <c r="T357"/>
      <c r="V357" s="66" t="s">
        <v>371</v>
      </c>
      <c r="W357" s="16" t="str">
        <f>IFERROR(VLOOKUP(CLEAN($V357),'All Security Controls'!A:I, 2, FALSE),"---")</f>
        <v>Supply Chain Protection | Use of All-Source Intelligence</v>
      </c>
      <c r="X357" s="14" t="str">
        <f>IFERROR(VLOOKUP(CLEAN($V357),'All Security Controls'!$A:$I, 4, FALSE),"---")</f>
        <v>CRWG White Criticality Control</v>
      </c>
      <c r="Y357" s="14" t="str">
        <f>IFERROR(VLOOKUP(CLEAN($V357),'All Security Controls'!$A:$I,5, FALSE),"---")</f>
        <v>Annually</v>
      </c>
      <c r="Z357" s="14" t="str">
        <f>IFERROR(VLOOKUP(CLEAN($V357),'All Security Controls'!$A:$I,6, FALSE),"---")</f>
        <v>Manual</v>
      </c>
      <c r="AA357" s="14" t="str">
        <f>IFERROR(VLOOKUP(CLEAN($V357),'All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57" s="14" t="str">
        <f>IFERROR(VLOOKUP(CLEAN($V357),'All Security Controls'!$A:$I,8, FALSE),"---")</f>
        <v>POA&amp;M</v>
      </c>
      <c r="AC357" s="14" t="str">
        <f>IFERROR(VLOOKUP(CLEAN($V357),'All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57" s="26">
        <v>356</v>
      </c>
    </row>
    <row r="358" spans="1:30" s="10" customFormat="1">
      <c r="A358"/>
      <c r="B358"/>
      <c r="C358"/>
      <c r="D358"/>
      <c r="E358"/>
      <c r="F358"/>
      <c r="G358"/>
      <c r="H358"/>
      <c r="I358"/>
      <c r="J358"/>
      <c r="K358"/>
      <c r="L358"/>
      <c r="M358"/>
      <c r="N358"/>
      <c r="O358"/>
      <c r="P358"/>
      <c r="Q358"/>
      <c r="R358"/>
      <c r="S358"/>
      <c r="T358"/>
      <c r="V358" s="66" t="s">
        <v>372</v>
      </c>
      <c r="W358" s="16" t="str">
        <f>IFERROR(VLOOKUP(CLEAN($V358),'All Security Controls'!A:I, 2, FALSE),"---")</f>
        <v>Supply Chain Protection | Operations Security</v>
      </c>
      <c r="X358" s="14" t="str">
        <f>IFERROR(VLOOKUP(CLEAN($V358),'All Security Controls'!$A:$I, 4, FALSE),"---")</f>
        <v>CRWG Yellow Criticality Control</v>
      </c>
      <c r="Y358" s="14" t="str">
        <f>IFERROR(VLOOKUP(CLEAN($V358),'All Security Controls'!$A:$I,5, FALSE),"---")</f>
        <v>Annually</v>
      </c>
      <c r="Z358" s="14" t="str">
        <f>IFERROR(VLOOKUP(CLEAN($V358),'All Security Controls'!$A:$I,6, FALSE),"---")</f>
        <v>Manual</v>
      </c>
      <c r="AA358" s="14" t="str">
        <f>IFERROR(VLOOKUP(CLEAN($V358),'All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58" s="14" t="str">
        <f>IFERROR(VLOOKUP(CLEAN($V358),'All Security Controls'!$A:$I,8, FALSE),"---")</f>
        <v>POA&amp;M</v>
      </c>
      <c r="AC358" s="14" t="str">
        <f>IFERROR(VLOOKUP(CLEAN($V358),'All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58" s="26">
        <v>357</v>
      </c>
    </row>
    <row r="359" spans="1:30" s="10" customFormat="1">
      <c r="A359"/>
      <c r="B359"/>
      <c r="C359"/>
      <c r="D359"/>
      <c r="E359"/>
      <c r="F359"/>
      <c r="G359"/>
      <c r="H359"/>
      <c r="I359"/>
      <c r="J359"/>
      <c r="K359"/>
      <c r="L359"/>
      <c r="M359"/>
      <c r="N359"/>
      <c r="O359"/>
      <c r="P359"/>
      <c r="Q359"/>
      <c r="R359"/>
      <c r="S359"/>
      <c r="T359"/>
      <c r="V359" s="66" t="s">
        <v>373</v>
      </c>
      <c r="W359" s="16" t="str">
        <f>IFERROR(VLOOKUP(CLEAN($V359),'All Security Controls'!A:I, 2, FALSE),"---")</f>
        <v>Supply Chain Protection | Penetration Testing/ Analysis of Elements, Processes, and Actors</v>
      </c>
      <c r="X359" s="14" t="str">
        <f>IFERROR(VLOOKUP(CLEAN($V359),'All Security Controls'!$A:$I, 4, FALSE),"---")</f>
        <v>CRWG Yellow Criticality Control</v>
      </c>
      <c r="Y359" s="14" t="str">
        <f>IFERROR(VLOOKUP(CLEAN($V359),'All Security Controls'!$A:$I,5, FALSE),"---")</f>
        <v>Annually</v>
      </c>
      <c r="Z359" s="14" t="str">
        <f>IFERROR(VLOOKUP(CLEAN($V359),'All Security Controls'!$A:$I,6, FALSE),"---")</f>
        <v>Manual</v>
      </c>
      <c r="AA359" s="14" t="str">
        <f>IFERROR(VLOOKUP(CLEAN($V359),'All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59" s="14" t="str">
        <f>IFERROR(VLOOKUP(CLEAN($V359),'All Security Controls'!$A:$I,8, FALSE),"---")</f>
        <v>POA&amp;M</v>
      </c>
      <c r="AC359" s="14" t="str">
        <f>IFERROR(VLOOKUP(CLEAN($V359),'All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59" s="26">
        <v>358</v>
      </c>
    </row>
    <row r="360" spans="1:30" s="10" customFormat="1">
      <c r="A360"/>
      <c r="B360"/>
      <c r="C360"/>
      <c r="D360"/>
      <c r="E360"/>
      <c r="F360"/>
      <c r="G360"/>
      <c r="H360"/>
      <c r="I360"/>
      <c r="J360"/>
      <c r="K360"/>
      <c r="L360"/>
      <c r="M360"/>
      <c r="N360"/>
      <c r="O360"/>
      <c r="P360"/>
      <c r="Q360"/>
      <c r="R360"/>
      <c r="S360"/>
      <c r="T360"/>
      <c r="V360" s="66" t="s">
        <v>374</v>
      </c>
      <c r="W360" s="16" t="str">
        <f>IFERROR(VLOOKUP(CLEAN($V360),'All Security Controls'!A:I, 2, FALSE),"---")</f>
        <v>Criticality Analysis</v>
      </c>
      <c r="X360" s="14" t="str">
        <f>IFERROR(VLOOKUP(CLEAN($V360),'All Security Controls'!$A:$I, 4, FALSE),"---")</f>
        <v>CRWG White Criticality Control</v>
      </c>
      <c r="Y360" s="14" t="str">
        <f>IFERROR(VLOOKUP(CLEAN($V360),'All Security Controls'!$A:$I,5, FALSE),"---")</f>
        <v>Annually</v>
      </c>
      <c r="Z360" s="14" t="str">
        <f>IFERROR(VLOOKUP(CLEAN($V360),'All Security Controls'!$A:$I,6, FALSE),"---")</f>
        <v>Manual</v>
      </c>
      <c r="AA360" s="14" t="str">
        <f>IFERROR(VLOOKUP(CLEAN($V360),'All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60" s="14" t="str">
        <f>IFERROR(VLOOKUP(CLEAN($V360),'All Security Controls'!$A:$I,8, FALSE),"---")</f>
        <v>POA&amp;M</v>
      </c>
      <c r="AC360" s="14" t="str">
        <f>IFERROR(VLOOKUP(CLEAN($V360),'All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60" s="26">
        <v>359</v>
      </c>
    </row>
    <row r="361" spans="1:30" s="10" customFormat="1">
      <c r="A361"/>
      <c r="B361"/>
      <c r="C361"/>
      <c r="D361"/>
      <c r="E361"/>
      <c r="F361"/>
      <c r="G361"/>
      <c r="H361"/>
      <c r="I361"/>
      <c r="J361"/>
      <c r="K361"/>
      <c r="L361"/>
      <c r="M361"/>
      <c r="N361"/>
      <c r="O361"/>
      <c r="P361"/>
      <c r="Q361"/>
      <c r="R361"/>
      <c r="S361"/>
      <c r="T361"/>
      <c r="V361" s="66" t="s">
        <v>375</v>
      </c>
      <c r="W361" s="16" t="str">
        <f>IFERROR(VLOOKUP(CLEAN($V361),'All Security Controls'!A:I, 2, FALSE),"---")</f>
        <v>Development Process, Standards, and Tools</v>
      </c>
      <c r="X361" s="14" t="str">
        <f>IFERROR(VLOOKUP(CLEAN($V361),'All Security Controls'!$A:$I, 4, FALSE),"---")</f>
        <v>CRWG White Criticality Control</v>
      </c>
      <c r="Y361" s="14" t="str">
        <f>IFERROR(VLOOKUP(CLEAN($V361),'All Security Controls'!$A:$I,5, FALSE),"---")</f>
        <v>Annually</v>
      </c>
      <c r="Z361" s="14" t="str">
        <f>IFERROR(VLOOKUP(CLEAN($V361),'All Security Controls'!$A:$I,6, FALSE),"---")</f>
        <v>Manual</v>
      </c>
      <c r="AA361" s="14" t="str">
        <f>IFERROR(VLOOKUP(CLEAN($V361),'All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61" s="14" t="str">
        <f>IFERROR(VLOOKUP(CLEAN($V361),'All Security Controls'!$A:$I,8, FALSE),"---")</f>
        <v>POA&amp;M</v>
      </c>
      <c r="AC361" s="14" t="str">
        <f>IFERROR(VLOOKUP(CLEAN($V361),'All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61" s="26">
        <v>360</v>
      </c>
    </row>
    <row r="362" spans="1:30" s="10" customFormat="1">
      <c r="A362"/>
      <c r="B362"/>
      <c r="C362"/>
      <c r="D362"/>
      <c r="E362"/>
      <c r="F362"/>
      <c r="G362"/>
      <c r="H362"/>
      <c r="I362"/>
      <c r="J362"/>
      <c r="K362"/>
      <c r="L362"/>
      <c r="M362"/>
      <c r="N362"/>
      <c r="O362"/>
      <c r="P362"/>
      <c r="Q362"/>
      <c r="R362"/>
      <c r="S362"/>
      <c r="T362"/>
      <c r="V362" s="66" t="s">
        <v>376</v>
      </c>
      <c r="W362" s="16" t="str">
        <f>IFERROR(VLOOKUP(CLEAN($V362),'All Security Controls'!A:I, 2, FALSE),"---")</f>
        <v>Development Process, Standards, and Tools | Criticality Analysis</v>
      </c>
      <c r="X362" s="14" t="str">
        <f>IFERROR(VLOOKUP(CLEAN($V362),'All Security Controls'!$A:$I, 4, FALSE),"---")</f>
        <v>CRWG White Criticality Control</v>
      </c>
      <c r="Y362" s="14" t="str">
        <f>IFERROR(VLOOKUP(CLEAN($V362),'All Security Controls'!$A:$I,5, FALSE),"---")</f>
        <v>Annually</v>
      </c>
      <c r="Z362" s="14" t="str">
        <f>IFERROR(VLOOKUP(CLEAN($V362),'All Security Controls'!$A:$I,6, FALSE),"---")</f>
        <v>Manual</v>
      </c>
      <c r="AA362" s="14" t="str">
        <f>IFERROR(VLOOKUP(CLEAN($V362),'All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62" s="14" t="str">
        <f>IFERROR(VLOOKUP(CLEAN($V362),'All Security Controls'!$A:$I,8, FALSE),"---")</f>
        <v>POA&amp;M</v>
      </c>
      <c r="AC362" s="14" t="str">
        <f>IFERROR(VLOOKUP(CLEAN($V362),'All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62" s="26">
        <v>361</v>
      </c>
    </row>
    <row r="363" spans="1:30" s="10" customFormat="1">
      <c r="A363"/>
      <c r="B363"/>
      <c r="C363"/>
      <c r="D363"/>
      <c r="E363"/>
      <c r="F363"/>
      <c r="G363"/>
      <c r="H363"/>
      <c r="I363"/>
      <c r="J363"/>
      <c r="K363"/>
      <c r="L363"/>
      <c r="M363"/>
      <c r="N363"/>
      <c r="O363"/>
      <c r="P363"/>
      <c r="Q363"/>
      <c r="R363"/>
      <c r="S363"/>
      <c r="T363"/>
      <c r="V363" s="66" t="s">
        <v>377</v>
      </c>
      <c r="W363" s="16" t="str">
        <f>IFERROR(VLOOKUP(CLEAN($V363),'All Security Controls'!A:I, 2, FALSE),"---")</f>
        <v>Development Process, Standards, and Tools | Threat Modeling/ Vulnerability Analysis</v>
      </c>
      <c r="X363" s="14" t="str">
        <f>IFERROR(VLOOKUP(CLEAN($V363),'All Security Controls'!$A:$I, 4, FALSE),"---")</f>
        <v>CRWG White Criticality Control</v>
      </c>
      <c r="Y363" s="14" t="str">
        <f>IFERROR(VLOOKUP(CLEAN($V363),'All Security Controls'!$A:$I,5, FALSE),"---")</f>
        <v>Annually</v>
      </c>
      <c r="Z363" s="14" t="str">
        <f>IFERROR(VLOOKUP(CLEAN($V363),'All Security Controls'!$A:$I,6, FALSE),"---")</f>
        <v>Manual</v>
      </c>
      <c r="AA363" s="14" t="str">
        <f>IFERROR(VLOOKUP(CLEAN($V363),'All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63" s="14" t="str">
        <f>IFERROR(VLOOKUP(CLEAN($V363),'All Security Controls'!$A:$I,8, FALSE),"---")</f>
        <v>POA&amp;M</v>
      </c>
      <c r="AC363" s="14" t="str">
        <f>IFERROR(VLOOKUP(CLEAN($V363),'All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63" s="26">
        <v>362</v>
      </c>
    </row>
    <row r="364" spans="1:30" s="10" customFormat="1">
      <c r="A364"/>
      <c r="B364"/>
      <c r="C364"/>
      <c r="D364"/>
      <c r="E364"/>
      <c r="F364"/>
      <c r="G364"/>
      <c r="H364"/>
      <c r="I364"/>
      <c r="J364"/>
      <c r="K364"/>
      <c r="L364"/>
      <c r="M364"/>
      <c r="N364"/>
      <c r="O364"/>
      <c r="P364"/>
      <c r="Q364"/>
      <c r="R364"/>
      <c r="S364"/>
      <c r="T364"/>
      <c r="V364" s="66" t="s">
        <v>378</v>
      </c>
      <c r="W364" s="16" t="str">
        <f>IFERROR(VLOOKUP(CLEAN($V364),'All Security Controls'!A:I, 2, FALSE),"---")</f>
        <v>Development Process, Standards, and Tools | Automated Vulnerability Analysis</v>
      </c>
      <c r="X364" s="14" t="str">
        <f>IFERROR(VLOOKUP(CLEAN($V364),'All Security Controls'!$A:$I, 4, FALSE),"---")</f>
        <v>CRWG Yellow Criticality Control</v>
      </c>
      <c r="Y364" s="14" t="str">
        <f>IFERROR(VLOOKUP(CLEAN($V364),'All Security Controls'!$A:$I,5, FALSE),"---")</f>
        <v>Weekly</v>
      </c>
      <c r="Z364" s="14" t="str">
        <f>IFERROR(VLOOKUP(CLEAN($V364),'All Security Controls'!$A:$I,6, FALSE),"---")</f>
        <v>Automated</v>
      </c>
      <c r="AA364" s="14" t="str">
        <f>IFERROR(VLOOKUP(CLEAN($V364),'All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64" s="14" t="str">
        <f>IFERROR(VLOOKUP(CLEAN($V364),'All Security Controls'!$A:$I,8, FALSE),"---")</f>
        <v>ACAS</v>
      </c>
      <c r="AC364" s="14" t="str">
        <f>IFERROR(VLOOKUP(CLEAN($V364),'All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64" s="26">
        <v>363</v>
      </c>
    </row>
    <row r="365" spans="1:30" s="10" customFormat="1">
      <c r="A365"/>
      <c r="B365"/>
      <c r="C365"/>
      <c r="D365"/>
      <c r="E365"/>
      <c r="F365"/>
      <c r="G365"/>
      <c r="H365"/>
      <c r="I365"/>
      <c r="J365"/>
      <c r="K365"/>
      <c r="L365"/>
      <c r="M365"/>
      <c r="N365"/>
      <c r="O365"/>
      <c r="P365"/>
      <c r="Q365"/>
      <c r="R365"/>
      <c r="S365"/>
      <c r="T365"/>
      <c r="V365" s="66" t="s">
        <v>379</v>
      </c>
      <c r="W365" s="16" t="str">
        <f>IFERROR(VLOOKUP(CLEAN($V365),'All Security Controls'!A:I, 2, FALSE),"---")</f>
        <v>Development Process, Standards, and Tools | Use of Live Data</v>
      </c>
      <c r="X365" s="14" t="str">
        <f>IFERROR(VLOOKUP(CLEAN($V365),'All Security Controls'!$A:$I, 4, FALSE),"---")</f>
        <v>CRWG White Criticality Control</v>
      </c>
      <c r="Y365" s="14" t="str">
        <f>IFERROR(VLOOKUP(CLEAN($V365),'All Security Controls'!$A:$I,5, FALSE),"---")</f>
        <v>Annually</v>
      </c>
      <c r="Z365" s="14" t="str">
        <f>IFERROR(VLOOKUP(CLEAN($V365),'All Security Controls'!$A:$I,6, FALSE),"---")</f>
        <v>Manual</v>
      </c>
      <c r="AA365" s="14" t="str">
        <f>IFERROR(VLOOKUP(CLEAN($V365),'All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65" s="14" t="str">
        <f>IFERROR(VLOOKUP(CLEAN($V365),'All Security Controls'!$A:$I,8, FALSE),"---")</f>
        <v>POA&amp;M</v>
      </c>
      <c r="AC365" s="14" t="str">
        <f>IFERROR(VLOOKUP(CLEAN($V365),'All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65" s="26">
        <v>364</v>
      </c>
    </row>
    <row r="366" spans="1:30" s="10" customFormat="1">
      <c r="A366"/>
      <c r="B366"/>
      <c r="C366"/>
      <c r="D366"/>
      <c r="E366"/>
      <c r="F366"/>
      <c r="G366"/>
      <c r="H366"/>
      <c r="I366"/>
      <c r="J366"/>
      <c r="K366"/>
      <c r="L366"/>
      <c r="M366"/>
      <c r="N366"/>
      <c r="O366"/>
      <c r="P366"/>
      <c r="Q366"/>
      <c r="R366"/>
      <c r="S366"/>
      <c r="T366"/>
      <c r="V366" s="66" t="s">
        <v>380</v>
      </c>
      <c r="W366" s="16" t="str">
        <f>IFERROR(VLOOKUP(CLEAN($V366),'All Security Controls'!A:I, 2, FALSE),"---")</f>
        <v>Developer-Provided Training</v>
      </c>
      <c r="X366" s="14" t="str">
        <f>IFERROR(VLOOKUP(CLEAN($V366),'All Security Controls'!$A:$I, 4, FALSE),"---")</f>
        <v>CRWG White Criticality Control</v>
      </c>
      <c r="Y366" s="14" t="str">
        <f>IFERROR(VLOOKUP(CLEAN($V366),'All Security Controls'!$A:$I,5, FALSE),"---")</f>
        <v>Annually</v>
      </c>
      <c r="Z366" s="14" t="str">
        <f>IFERROR(VLOOKUP(CLEAN($V366),'All Security Controls'!$A:$I,6, FALSE),"---")</f>
        <v>Manual</v>
      </c>
      <c r="AA366" s="14" t="str">
        <f>IFERROR(VLOOKUP(CLEAN($V366),'All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66" s="14" t="str">
        <f>IFERROR(VLOOKUP(CLEAN($V366),'All Security Controls'!$A:$I,8, FALSE),"---")</f>
        <v>POA&amp;M</v>
      </c>
      <c r="AC366" s="14" t="str">
        <f>IFERROR(VLOOKUP(CLEAN($V366),'All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66" s="26">
        <v>365</v>
      </c>
    </row>
    <row r="367" spans="1:30" s="10" customFormat="1">
      <c r="A367"/>
      <c r="B367"/>
      <c r="C367"/>
      <c r="D367"/>
      <c r="E367"/>
      <c r="F367"/>
      <c r="G367"/>
      <c r="H367"/>
      <c r="I367"/>
      <c r="J367"/>
      <c r="K367"/>
      <c r="L367"/>
      <c r="M367"/>
      <c r="N367"/>
      <c r="O367"/>
      <c r="P367"/>
      <c r="Q367"/>
      <c r="R367"/>
      <c r="S367"/>
      <c r="T367"/>
      <c r="V367" s="66" t="s">
        <v>381</v>
      </c>
      <c r="W367" s="16" t="str">
        <f>IFERROR(VLOOKUP(CLEAN($V367),'All Security Controls'!A:I, 2, FALSE),"---")</f>
        <v>Developer Security Architecture and Design</v>
      </c>
      <c r="X367" s="14" t="str">
        <f>IFERROR(VLOOKUP(CLEAN($V367),'All Security Controls'!$A:$I, 4, FALSE),"---")</f>
        <v>CRWG Yellow Criticality Control</v>
      </c>
      <c r="Y367" s="14" t="str">
        <f>IFERROR(VLOOKUP(CLEAN($V367),'All Security Controls'!$A:$I,5, FALSE),"---")</f>
        <v>Annually</v>
      </c>
      <c r="Z367" s="14" t="str">
        <f>IFERROR(VLOOKUP(CLEAN($V367),'All Security Controls'!$A:$I,6, FALSE),"---")</f>
        <v>Manual</v>
      </c>
      <c r="AA367" s="14" t="str">
        <f>IFERROR(VLOOKUP(CLEAN($V367),'All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67" s="14" t="str">
        <f>IFERROR(VLOOKUP(CLEAN($V367),'All Security Controls'!$A:$I,8, FALSE),"---")</f>
        <v>POA&amp;M</v>
      </c>
      <c r="AC367" s="14" t="str">
        <f>IFERROR(VLOOKUP(CLEAN($V367),'All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67" s="26">
        <v>366</v>
      </c>
    </row>
    <row r="368" spans="1:30" s="10" customFormat="1">
      <c r="A368"/>
      <c r="B368"/>
      <c r="C368"/>
      <c r="D368"/>
      <c r="E368"/>
      <c r="F368"/>
      <c r="G368"/>
      <c r="H368"/>
      <c r="I368"/>
      <c r="J368"/>
      <c r="K368"/>
      <c r="L368"/>
      <c r="M368"/>
      <c r="N368"/>
      <c r="O368"/>
      <c r="P368"/>
      <c r="Q368"/>
      <c r="R368"/>
      <c r="S368"/>
      <c r="T368"/>
      <c r="V368" s="66" t="s">
        <v>382</v>
      </c>
      <c r="W368" s="16" t="str">
        <f>IFERROR(VLOOKUP(CLEAN($V368),'All Security Controls'!A:I, 2, FALSE),"---")</f>
        <v>Component Authenticity</v>
      </c>
      <c r="X368" s="14" t="str">
        <f>IFERROR(VLOOKUP(CLEAN($V368),'All Security Controls'!$A:$I, 4, FALSE),"---")</f>
        <v>CRWG Yellow Criticality Control</v>
      </c>
      <c r="Y368" s="14" t="str">
        <f>IFERROR(VLOOKUP(CLEAN($V368),'All Security Controls'!$A:$I,5, FALSE),"---")</f>
        <v>Annually</v>
      </c>
      <c r="Z368" s="14" t="str">
        <f>IFERROR(VLOOKUP(CLEAN($V368),'All Security Controls'!$A:$I,6, FALSE),"---")</f>
        <v>Manual</v>
      </c>
      <c r="AA368" s="14" t="str">
        <f>IFERROR(VLOOKUP(CLEAN($V368),'All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68" s="14" t="str">
        <f>IFERROR(VLOOKUP(CLEAN($V368),'All Security Controls'!$A:$I,8, FALSE),"---")</f>
        <v>POA&amp;M</v>
      </c>
      <c r="AC368" s="14" t="str">
        <f>IFERROR(VLOOKUP(CLEAN($V368),'All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68" s="26">
        <v>367</v>
      </c>
    </row>
    <row r="369" spans="1:30" s="10" customFormat="1">
      <c r="A369"/>
      <c r="B369"/>
      <c r="C369"/>
      <c r="D369"/>
      <c r="E369"/>
      <c r="F369"/>
      <c r="G369"/>
      <c r="H369"/>
      <c r="I369"/>
      <c r="J369"/>
      <c r="K369"/>
      <c r="L369"/>
      <c r="M369"/>
      <c r="N369"/>
      <c r="O369"/>
      <c r="P369"/>
      <c r="Q369"/>
      <c r="R369"/>
      <c r="S369"/>
      <c r="T369"/>
      <c r="V369" s="66" t="s">
        <v>383</v>
      </c>
      <c r="W369" s="16" t="str">
        <f>IFERROR(VLOOKUP(CLEAN($V369),'All Security Controls'!A:I, 2, FALSE),"---")</f>
        <v xml:space="preserve">Developer Screening </v>
      </c>
      <c r="X369" s="14" t="str">
        <f>IFERROR(VLOOKUP(CLEAN($V369),'All Security Controls'!$A:$I, 4, FALSE),"---")</f>
        <v>CRWG White Criticality Control</v>
      </c>
      <c r="Y369" s="14" t="str">
        <f>IFERROR(VLOOKUP(CLEAN($V369),'All Security Controls'!$A:$I,5, FALSE),"---")</f>
        <v>Annually</v>
      </c>
      <c r="Z369" s="14" t="str">
        <f>IFERROR(VLOOKUP(CLEAN($V369),'All Security Controls'!$A:$I,6, FALSE),"---")</f>
        <v>Manual</v>
      </c>
      <c r="AA369" s="14" t="str">
        <f>IFERROR(VLOOKUP(CLEAN($V369),'All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69" s="14" t="str">
        <f>IFERROR(VLOOKUP(CLEAN($V369),'All Security Controls'!$A:$I,8, FALSE),"---")</f>
        <v>POA&amp;M</v>
      </c>
      <c r="AC369" s="14" t="str">
        <f>IFERROR(VLOOKUP(CLEAN($V369),'All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69" s="26">
        <v>368</v>
      </c>
    </row>
    <row r="370" spans="1:30" s="10" customFormat="1">
      <c r="A370"/>
      <c r="B370"/>
      <c r="C370"/>
      <c r="D370"/>
      <c r="E370"/>
      <c r="F370"/>
      <c r="G370"/>
      <c r="H370"/>
      <c r="I370"/>
      <c r="J370"/>
      <c r="K370"/>
      <c r="L370"/>
      <c r="M370"/>
      <c r="N370"/>
      <c r="O370"/>
      <c r="P370"/>
      <c r="Q370"/>
      <c r="R370"/>
      <c r="S370"/>
      <c r="T370"/>
      <c r="V370" s="66" t="s">
        <v>384</v>
      </c>
      <c r="W370" s="16" t="str">
        <f>IFERROR(VLOOKUP(CLEAN($V370),'All Security Controls'!A:I, 2, FALSE),"---")</f>
        <v>Unsupported System Components</v>
      </c>
      <c r="X370" s="14" t="str">
        <f>IFERROR(VLOOKUP(CLEAN($V370),'All Security Controls'!$A:$I, 4, FALSE),"---")</f>
        <v>CRWG Yellow Criticality Control</v>
      </c>
      <c r="Y370" s="14" t="str">
        <f>IFERROR(VLOOKUP(CLEAN($V370),'All Security Controls'!$A:$I,5, FALSE),"---")</f>
        <v>Annually</v>
      </c>
      <c r="Z370" s="14" t="str">
        <f>IFERROR(VLOOKUP(CLEAN($V370),'All Security Controls'!$A:$I,6, FALSE),"---")</f>
        <v>Manual</v>
      </c>
      <c r="AA370" s="14" t="str">
        <f>IFERROR(VLOOKUP(CLEAN($V370),'All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70" s="14" t="str">
        <f>IFERROR(VLOOKUP(CLEAN($V370),'All Security Controls'!$A:$I,8, FALSE),"---")</f>
        <v>POA&amp;M</v>
      </c>
      <c r="AC370" s="14" t="str">
        <f>IFERROR(VLOOKUP(CLEAN($V370),'All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70" s="26">
        <v>369</v>
      </c>
    </row>
    <row r="371" spans="1:30" s="10" customFormat="1">
      <c r="A371"/>
      <c r="B371"/>
      <c r="C371"/>
      <c r="D371"/>
      <c r="E371"/>
      <c r="F371"/>
      <c r="G371"/>
      <c r="H371"/>
      <c r="I371"/>
      <c r="J371"/>
      <c r="K371"/>
      <c r="L371"/>
      <c r="M371"/>
      <c r="N371"/>
      <c r="O371"/>
      <c r="P371"/>
      <c r="Q371"/>
      <c r="R371"/>
      <c r="S371"/>
      <c r="T371"/>
      <c r="V371" s="66" t="s">
        <v>385</v>
      </c>
      <c r="W371" s="16" t="str">
        <f>IFERROR(VLOOKUP(CLEAN($V371),'All Security Controls'!A:I, 2, FALSE),"---")</f>
        <v xml:space="preserve">System And Communications Protection Policy And Procedures </v>
      </c>
      <c r="X371" s="14" t="str">
        <f>IFERROR(VLOOKUP(CLEAN($V371),'All Security Controls'!$A:$I, 4, FALSE),"---")</f>
        <v>CRWG White Criticality Control</v>
      </c>
      <c r="Y371" s="14" t="str">
        <f>IFERROR(VLOOKUP(CLEAN($V371),'All Security Controls'!$A:$I,5, FALSE),"---")</f>
        <v>Annually</v>
      </c>
      <c r="Z371" s="14" t="str">
        <f>IFERROR(VLOOKUP(CLEAN($V371),'All Security Controls'!$A:$I,6, FALSE),"---")</f>
        <v>Manual</v>
      </c>
      <c r="AA371" s="14" t="str">
        <f>IFERROR(VLOOKUP(CLEAN($V371),'All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71" s="14" t="str">
        <f>IFERROR(VLOOKUP(CLEAN($V371),'All Security Controls'!$A:$I,8, FALSE),"---")</f>
        <v>POA&amp;M</v>
      </c>
      <c r="AC371" s="14" t="str">
        <f>IFERROR(VLOOKUP(CLEAN($V371),'All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71" s="26">
        <v>370</v>
      </c>
    </row>
    <row r="372" spans="1:30" s="10" customFormat="1">
      <c r="A372"/>
      <c r="B372"/>
      <c r="C372"/>
      <c r="D372"/>
      <c r="E372"/>
      <c r="F372"/>
      <c r="G372"/>
      <c r="H372"/>
      <c r="I372"/>
      <c r="J372"/>
      <c r="K372"/>
      <c r="L372"/>
      <c r="M372"/>
      <c r="N372"/>
      <c r="O372"/>
      <c r="P372"/>
      <c r="Q372"/>
      <c r="R372"/>
      <c r="S372"/>
      <c r="T372"/>
      <c r="V372" s="66" t="s">
        <v>386</v>
      </c>
      <c r="W372" s="16" t="str">
        <f>IFERROR(VLOOKUP(CLEAN($V372),'All Security Controls'!A:I, 2, FALSE),"---")</f>
        <v xml:space="preserve">Application Partitioning </v>
      </c>
      <c r="X372" s="14" t="str">
        <f>IFERROR(VLOOKUP(CLEAN($V372),'All Security Controls'!$A:$I, 4, FALSE),"---")</f>
        <v>CRWG Yellow Criticality Control</v>
      </c>
      <c r="Y372" s="14" t="str">
        <f>IFERROR(VLOOKUP(CLEAN($V372),'All Security Controls'!$A:$I,5, FALSE),"---")</f>
        <v>Annually</v>
      </c>
      <c r="Z372" s="14" t="str">
        <f>IFERROR(VLOOKUP(CLEAN($V372),'All Security Controls'!$A:$I,6, FALSE),"---")</f>
        <v>Manual</v>
      </c>
      <c r="AA372" s="14" t="str">
        <f>IFERROR(VLOOKUP(CLEAN($V372),'All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72" s="14" t="str">
        <f>IFERROR(VLOOKUP(CLEAN($V372),'All Security Controls'!$A:$I,8, FALSE),"---")</f>
        <v>POA&amp;M</v>
      </c>
      <c r="AC372" s="14" t="str">
        <f>IFERROR(VLOOKUP(CLEAN($V372),'All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72" s="26">
        <v>371</v>
      </c>
    </row>
    <row r="373" spans="1:30" s="10" customFormat="1">
      <c r="A373"/>
      <c r="B373"/>
      <c r="C373"/>
      <c r="D373"/>
      <c r="E373"/>
      <c r="F373"/>
      <c r="G373"/>
      <c r="H373"/>
      <c r="I373"/>
      <c r="J373"/>
      <c r="K373"/>
      <c r="L373"/>
      <c r="M373"/>
      <c r="N373"/>
      <c r="O373"/>
      <c r="P373"/>
      <c r="Q373"/>
      <c r="R373"/>
      <c r="S373"/>
      <c r="T373"/>
      <c r="V373" s="66" t="s">
        <v>387</v>
      </c>
      <c r="W373" s="16" t="str">
        <f>IFERROR(VLOOKUP(CLEAN($V373),'All Security Controls'!A:I, 2, FALSE),"---")</f>
        <v xml:space="preserve">Security Function Isolation </v>
      </c>
      <c r="X373" s="14" t="str">
        <f>IFERROR(VLOOKUP(CLEAN($V373),'All Security Controls'!$A:$I, 4, FALSE),"---")</f>
        <v>CRWG White Criticality Control</v>
      </c>
      <c r="Y373" s="14" t="str">
        <f>IFERROR(VLOOKUP(CLEAN($V373),'All Security Controls'!$A:$I,5, FALSE),"---")</f>
        <v>Annually</v>
      </c>
      <c r="Z373" s="14" t="str">
        <f>IFERROR(VLOOKUP(CLEAN($V373),'All Security Controls'!$A:$I,6, FALSE),"---")</f>
        <v>Manual</v>
      </c>
      <c r="AA373" s="14" t="str">
        <f>IFERROR(VLOOKUP(CLEAN($V373),'All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73" s="14" t="str">
        <f>IFERROR(VLOOKUP(CLEAN($V373),'All Security Controls'!$A:$I,8, FALSE),"---")</f>
        <v>POA&amp;M</v>
      </c>
      <c r="AC373" s="14" t="str">
        <f>IFERROR(VLOOKUP(CLEAN($V373),'All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73" s="26">
        <v>372</v>
      </c>
    </row>
    <row r="374" spans="1:30" s="10" customFormat="1">
      <c r="A374"/>
      <c r="B374"/>
      <c r="C374"/>
      <c r="D374"/>
      <c r="E374"/>
      <c r="F374"/>
      <c r="G374"/>
      <c r="H374"/>
      <c r="I374"/>
      <c r="J374"/>
      <c r="K374"/>
      <c r="L374"/>
      <c r="M374"/>
      <c r="N374"/>
      <c r="O374"/>
      <c r="P374"/>
      <c r="Q374"/>
      <c r="R374"/>
      <c r="S374"/>
      <c r="T374"/>
      <c r="V374" s="66" t="s">
        <v>388</v>
      </c>
      <c r="W374" s="16" t="str">
        <f>IFERROR(VLOOKUP(CLEAN($V374),'All Security Controls'!A:I, 2, FALSE),"---")</f>
        <v xml:space="preserve">Information In Shared Resources </v>
      </c>
      <c r="X374" s="14" t="str">
        <f>IFERROR(VLOOKUP(CLEAN($V374),'All Security Controls'!$A:$I, 4, FALSE),"---")</f>
        <v>CRWG Yellow Criticality Control</v>
      </c>
      <c r="Y374" s="14" t="str">
        <f>IFERROR(VLOOKUP(CLEAN($V374),'All Security Controls'!$A:$I,5, FALSE),"---")</f>
        <v>Annually</v>
      </c>
      <c r="Z374" s="14" t="str">
        <f>IFERROR(VLOOKUP(CLEAN($V374),'All Security Controls'!$A:$I,6, FALSE),"---")</f>
        <v>Manual</v>
      </c>
      <c r="AA374" s="14" t="str">
        <f>IFERROR(VLOOKUP(CLEAN($V374),'All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74" s="14" t="str">
        <f>IFERROR(VLOOKUP(CLEAN($V374),'All Security Controls'!$A:$I,8, FALSE),"---")</f>
        <v>POA&amp;M</v>
      </c>
      <c r="AC374" s="14" t="str">
        <f>IFERROR(VLOOKUP(CLEAN($V374),'All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74" s="26">
        <v>373</v>
      </c>
    </row>
    <row r="375" spans="1:30" s="10" customFormat="1">
      <c r="A375"/>
      <c r="B375"/>
      <c r="C375"/>
      <c r="D375"/>
      <c r="E375"/>
      <c r="F375"/>
      <c r="G375"/>
      <c r="H375"/>
      <c r="I375"/>
      <c r="J375"/>
      <c r="K375"/>
      <c r="L375"/>
      <c r="M375"/>
      <c r="N375"/>
      <c r="O375"/>
      <c r="P375"/>
      <c r="Q375"/>
      <c r="R375"/>
      <c r="S375"/>
      <c r="T375"/>
      <c r="V375" s="66" t="s">
        <v>389</v>
      </c>
      <c r="W375" s="16" t="str">
        <f>IFERROR(VLOOKUP(CLEAN($V375),'All Security Controls'!A:I, 2, FALSE),"---")</f>
        <v xml:space="preserve">Denial Of Service Protection </v>
      </c>
      <c r="X375" s="14" t="str">
        <f>IFERROR(VLOOKUP(CLEAN($V375),'All Security Controls'!$A:$I, 4, FALSE),"---")</f>
        <v>CRWG Yellow Criticality Control</v>
      </c>
      <c r="Y375" s="14" t="str">
        <f>IFERROR(VLOOKUP(CLEAN($V375),'All Security Controls'!$A:$I,5, FALSE),"---")</f>
        <v>Annually</v>
      </c>
      <c r="Z375" s="14" t="str">
        <f>IFERROR(VLOOKUP(CLEAN($V375),'All Security Controls'!$A:$I,6, FALSE),"---")</f>
        <v>Manual</v>
      </c>
      <c r="AA375" s="14" t="str">
        <f>IFERROR(VLOOKUP(CLEAN($V375),'All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75" s="14" t="str">
        <f>IFERROR(VLOOKUP(CLEAN($V375),'All Security Controls'!$A:$I,8, FALSE),"---")</f>
        <v>POA&amp;M</v>
      </c>
      <c r="AC375" s="14" t="str">
        <f>IFERROR(VLOOKUP(CLEAN($V375),'All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75" s="26">
        <v>374</v>
      </c>
    </row>
    <row r="376" spans="1:30" s="10" customFormat="1">
      <c r="A376"/>
      <c r="B376"/>
      <c r="C376"/>
      <c r="D376"/>
      <c r="E376"/>
      <c r="F376"/>
      <c r="G376"/>
      <c r="H376"/>
      <c r="I376"/>
      <c r="J376"/>
      <c r="K376"/>
      <c r="L376"/>
      <c r="M376"/>
      <c r="N376"/>
      <c r="O376"/>
      <c r="P376"/>
      <c r="Q376"/>
      <c r="R376"/>
      <c r="S376"/>
      <c r="T376"/>
      <c r="V376" s="66" t="s">
        <v>390</v>
      </c>
      <c r="W376" s="16" t="str">
        <f>IFERROR(VLOOKUP(CLEAN($V376),'All Security Controls'!A:I, 2, FALSE),"---")</f>
        <v>Denial Of Service Protection | Restrict Internal Users</v>
      </c>
      <c r="X376" s="14" t="str">
        <f>IFERROR(VLOOKUP(CLEAN($V376),'All Security Controls'!$A:$I, 4, FALSE),"---")</f>
        <v>CRWG White Criticality Control</v>
      </c>
      <c r="Y376" s="14" t="str">
        <f>IFERROR(VLOOKUP(CLEAN($V376),'All Security Controls'!$A:$I,5, FALSE),"---")</f>
        <v>Annually</v>
      </c>
      <c r="Z376" s="14" t="str">
        <f>IFERROR(VLOOKUP(CLEAN($V376),'All Security Controls'!$A:$I,6, FALSE),"---")</f>
        <v>Manual</v>
      </c>
      <c r="AA376" s="14" t="str">
        <f>IFERROR(VLOOKUP(CLEAN($V376),'All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76" s="14" t="str">
        <f>IFERROR(VLOOKUP(CLEAN($V376),'All Security Controls'!$A:$I,8, FALSE),"---")</f>
        <v>POA&amp;M</v>
      </c>
      <c r="AC376" s="14" t="str">
        <f>IFERROR(VLOOKUP(CLEAN($V376),'All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76" s="26">
        <v>375</v>
      </c>
    </row>
    <row r="377" spans="1:30" s="10" customFormat="1">
      <c r="A377"/>
      <c r="B377"/>
      <c r="C377"/>
      <c r="D377"/>
      <c r="E377"/>
      <c r="F377"/>
      <c r="G377"/>
      <c r="H377"/>
      <c r="I377"/>
      <c r="J377"/>
      <c r="K377"/>
      <c r="L377"/>
      <c r="M377"/>
      <c r="N377"/>
      <c r="O377"/>
      <c r="P377"/>
      <c r="Q377"/>
      <c r="R377"/>
      <c r="S377"/>
      <c r="T377"/>
      <c r="V377" s="66" t="s">
        <v>391</v>
      </c>
      <c r="W377" s="16" t="str">
        <f>IFERROR(VLOOKUP(CLEAN($V377),'All Security Controls'!A:I, 2, FALSE),"---")</f>
        <v xml:space="preserve">Boundary Protection </v>
      </c>
      <c r="X377" s="14" t="str">
        <f>IFERROR(VLOOKUP(CLEAN($V377),'All Security Controls'!$A:$I, 4, FALSE),"---")</f>
        <v>CRWG Red Criticality Control</v>
      </c>
      <c r="Y377" s="14" t="str">
        <f>IFERROR(VLOOKUP(CLEAN($V377),'All Security Controls'!$A:$I,5, FALSE),"---")</f>
        <v>Constantly</v>
      </c>
      <c r="Z377" s="14" t="str">
        <f>IFERROR(VLOOKUP(CLEAN($V377),'All Security Controls'!$A:$I,6, FALSE),"---")</f>
        <v>Semi-Automated</v>
      </c>
      <c r="AA377" s="14" t="str">
        <f>IFERROR(VLOOKUP(CLEAN($V377),'All Security Controls'!$A:$I,7, FALSE),"---")</f>
        <v>via telephone or high-priority e-mail, the System Owner reports the situation immediately and directly to the AO, while keeping the cybersecurity chain of command informed of status and response actions; if time permits, an authorization/connection decision recommendation is provided to the AO</v>
      </c>
      <c r="AB377" s="14" t="str">
        <f>IFERROR(VLOOKUP(CLEAN($V377),'All Security Controls'!$A:$I,8, FALSE),"---")</f>
        <v>POA&amp;M</v>
      </c>
      <c r="AC377" s="14" t="str">
        <f>IFERROR(VLOOKUP(CLEAN($V377),'All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77" s="26">
        <v>376</v>
      </c>
    </row>
    <row r="378" spans="1:30" s="10" customFormat="1">
      <c r="A378"/>
      <c r="B378"/>
      <c r="C378"/>
      <c r="D378"/>
      <c r="E378"/>
      <c r="F378"/>
      <c r="G378"/>
      <c r="H378"/>
      <c r="I378"/>
      <c r="J378"/>
      <c r="K378"/>
      <c r="L378"/>
      <c r="M378"/>
      <c r="N378"/>
      <c r="O378"/>
      <c r="P378"/>
      <c r="Q378"/>
      <c r="R378"/>
      <c r="S378"/>
      <c r="T378"/>
      <c r="V378" s="66" t="s">
        <v>392</v>
      </c>
      <c r="W378" s="16" t="str">
        <f>IFERROR(VLOOKUP(CLEAN($V378),'All Security Controls'!A:I, 2, FALSE),"---")</f>
        <v>Boundary Protection | Access Points</v>
      </c>
      <c r="X378" s="14" t="str">
        <f>IFERROR(VLOOKUP(CLEAN($V378),'All Security Controls'!$A:$I, 4, FALSE),"---")</f>
        <v>CRWG White Criticality Control</v>
      </c>
      <c r="Y378" s="14" t="str">
        <f>IFERROR(VLOOKUP(CLEAN($V378),'All Security Controls'!$A:$I,5, FALSE),"---")</f>
        <v>Annually</v>
      </c>
      <c r="Z378" s="14" t="str">
        <f>IFERROR(VLOOKUP(CLEAN($V378),'All Security Controls'!$A:$I,6, FALSE),"---")</f>
        <v>Manual</v>
      </c>
      <c r="AA378" s="14" t="str">
        <f>IFERROR(VLOOKUP(CLEAN($V378),'All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78" s="14" t="str">
        <f>IFERROR(VLOOKUP(CLEAN($V378),'All Security Controls'!$A:$I,8, FALSE),"---")</f>
        <v>POA&amp;M</v>
      </c>
      <c r="AC378" s="14" t="str">
        <f>IFERROR(VLOOKUP(CLEAN($V378),'All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78" s="26">
        <v>377</v>
      </c>
    </row>
    <row r="379" spans="1:30" s="10" customFormat="1">
      <c r="A379"/>
      <c r="B379"/>
      <c r="C379"/>
      <c r="D379"/>
      <c r="E379"/>
      <c r="F379"/>
      <c r="G379"/>
      <c r="H379"/>
      <c r="I379"/>
      <c r="J379"/>
      <c r="K379"/>
      <c r="L379"/>
      <c r="M379"/>
      <c r="N379"/>
      <c r="O379"/>
      <c r="P379"/>
      <c r="Q379"/>
      <c r="R379"/>
      <c r="S379"/>
      <c r="T379"/>
      <c r="V379" s="66" t="s">
        <v>393</v>
      </c>
      <c r="W379" s="16" t="str">
        <f>IFERROR(VLOOKUP(CLEAN($V379),'All Security Controls'!A:I, 2, FALSE),"---")</f>
        <v>Boundary Protection | External Telecommunications Services</v>
      </c>
      <c r="X379" s="14" t="str">
        <f>IFERROR(VLOOKUP(CLEAN($V379),'All Security Controls'!$A:$I, 4, FALSE),"---")</f>
        <v>CRWG Yellow Criticality Control</v>
      </c>
      <c r="Y379" s="14" t="str">
        <f>IFERROR(VLOOKUP(CLEAN($V379),'All Security Controls'!$A:$I,5, FALSE),"---")</f>
        <v>Quarterly</v>
      </c>
      <c r="Z379" s="14" t="str">
        <f>IFERROR(VLOOKUP(CLEAN($V379),'All Security Controls'!$A:$I,6, FALSE),"---")</f>
        <v>Manual</v>
      </c>
      <c r="AA379" s="14" t="str">
        <f>IFERROR(VLOOKUP(CLEAN($V379),'All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79" s="14" t="str">
        <f>IFERROR(VLOOKUP(CLEAN($V379),'All Security Controls'!$A:$I,8, FALSE),"---")</f>
        <v>POA&amp;M</v>
      </c>
      <c r="AC379" s="14" t="str">
        <f>IFERROR(VLOOKUP(CLEAN($V379),'All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79" s="26">
        <v>378</v>
      </c>
    </row>
    <row r="380" spans="1:30" s="10" customFormat="1">
      <c r="A380"/>
      <c r="B380"/>
      <c r="C380"/>
      <c r="D380"/>
      <c r="E380"/>
      <c r="F380"/>
      <c r="G380"/>
      <c r="H380"/>
      <c r="I380"/>
      <c r="J380"/>
      <c r="K380"/>
      <c r="L380"/>
      <c r="M380"/>
      <c r="N380"/>
      <c r="O380"/>
      <c r="P380"/>
      <c r="Q380"/>
      <c r="R380"/>
      <c r="S380"/>
      <c r="T380"/>
      <c r="V380" s="66" t="s">
        <v>394</v>
      </c>
      <c r="W380" s="16" t="str">
        <f>IFERROR(VLOOKUP(CLEAN($V380),'All Security Controls'!A:I, 2, FALSE),"---")</f>
        <v>Boundary Protection | Deny by Default/ Allow by Exception</v>
      </c>
      <c r="X380" s="14" t="str">
        <f>IFERROR(VLOOKUP(CLEAN($V380),'All Security Controls'!$A:$I, 4, FALSE),"---")</f>
        <v>CRWG Yellow Criticality Control</v>
      </c>
      <c r="Y380" s="14" t="str">
        <f>IFERROR(VLOOKUP(CLEAN($V380),'All Security Controls'!$A:$I,5, FALSE),"---")</f>
        <v>Quarterly</v>
      </c>
      <c r="Z380" s="14" t="str">
        <f>IFERROR(VLOOKUP(CLEAN($V380),'All Security Controls'!$A:$I,6, FALSE),"---")</f>
        <v>Manual</v>
      </c>
      <c r="AA380" s="14" t="str">
        <f>IFERROR(VLOOKUP(CLEAN($V380),'All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80" s="14" t="str">
        <f>IFERROR(VLOOKUP(CLEAN($V380),'All Security Controls'!$A:$I,8, FALSE),"---")</f>
        <v>POA&amp;M</v>
      </c>
      <c r="AC380" s="14" t="str">
        <f>IFERROR(VLOOKUP(CLEAN($V380),'All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80" s="26">
        <v>379</v>
      </c>
    </row>
    <row r="381" spans="1:30" s="10" customFormat="1">
      <c r="A381"/>
      <c r="B381"/>
      <c r="C381"/>
      <c r="D381"/>
      <c r="E381"/>
      <c r="F381"/>
      <c r="G381"/>
      <c r="H381"/>
      <c r="I381"/>
      <c r="J381"/>
      <c r="K381"/>
      <c r="L381"/>
      <c r="M381"/>
      <c r="N381"/>
      <c r="O381"/>
      <c r="P381"/>
      <c r="Q381"/>
      <c r="R381"/>
      <c r="S381"/>
      <c r="T381"/>
      <c r="V381" s="66" t="s">
        <v>395</v>
      </c>
      <c r="W381" s="16" t="str">
        <f>IFERROR(VLOOKUP(CLEAN($V381),'All Security Controls'!A:I, 2, FALSE),"---")</f>
        <v>Boundary Protection | Prevent Split Tunneling for Remote Devices</v>
      </c>
      <c r="X381" s="14" t="str">
        <f>IFERROR(VLOOKUP(CLEAN($V381),'All Security Controls'!$A:$I, 4, FALSE),"---")</f>
        <v>CRWG Yellow Criticality Control</v>
      </c>
      <c r="Y381" s="14" t="str">
        <f>IFERROR(VLOOKUP(CLEAN($V381),'All Security Controls'!$A:$I,5, FALSE),"---")</f>
        <v>Quarterly</v>
      </c>
      <c r="Z381" s="14" t="str">
        <f>IFERROR(VLOOKUP(CLEAN($V381),'All Security Controls'!$A:$I,6, FALSE),"---")</f>
        <v>Manual</v>
      </c>
      <c r="AA381" s="14" t="str">
        <f>IFERROR(VLOOKUP(CLEAN($V381),'All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81" s="14" t="str">
        <f>IFERROR(VLOOKUP(CLEAN($V381),'All Security Controls'!$A:$I,8, FALSE),"---")</f>
        <v>POA&amp;M</v>
      </c>
      <c r="AC381" s="14" t="str">
        <f>IFERROR(VLOOKUP(CLEAN($V381),'All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81" s="26">
        <v>380</v>
      </c>
    </row>
    <row r="382" spans="1:30" s="10" customFormat="1">
      <c r="A382"/>
      <c r="B382"/>
      <c r="C382"/>
      <c r="D382"/>
      <c r="E382"/>
      <c r="F382"/>
      <c r="G382"/>
      <c r="H382"/>
      <c r="I382"/>
      <c r="J382"/>
      <c r="K382"/>
      <c r="L382"/>
      <c r="M382"/>
      <c r="N382"/>
      <c r="O382"/>
      <c r="P382"/>
      <c r="Q382"/>
      <c r="R382"/>
      <c r="S382"/>
      <c r="T382"/>
      <c r="V382" s="66" t="s">
        <v>396</v>
      </c>
      <c r="W382" s="16" t="str">
        <f>IFERROR(VLOOKUP(CLEAN($V382),'All Security Controls'!A:I, 2, FALSE),"---")</f>
        <v>Boundary Protection | Route Traffic to Authenticated Proxy Servers</v>
      </c>
      <c r="X382" s="14" t="str">
        <f>IFERROR(VLOOKUP(CLEAN($V382),'All Security Controls'!$A:$I, 4, FALSE),"---")</f>
        <v>CRWG White Criticality Control</v>
      </c>
      <c r="Y382" s="14" t="str">
        <f>IFERROR(VLOOKUP(CLEAN($V382),'All Security Controls'!$A:$I,5, FALSE),"---")</f>
        <v>Annually</v>
      </c>
      <c r="Z382" s="14" t="str">
        <f>IFERROR(VLOOKUP(CLEAN($V382),'All Security Controls'!$A:$I,6, FALSE),"---")</f>
        <v>Manual</v>
      </c>
      <c r="AA382" s="14" t="str">
        <f>IFERROR(VLOOKUP(CLEAN($V382),'All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82" s="14" t="str">
        <f>IFERROR(VLOOKUP(CLEAN($V382),'All Security Controls'!$A:$I,8, FALSE),"---")</f>
        <v>POA&amp;M</v>
      </c>
      <c r="AC382" s="14" t="str">
        <f>IFERROR(VLOOKUP(CLEAN($V382),'All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82" s="26">
        <v>381</v>
      </c>
    </row>
    <row r="383" spans="1:30" s="10" customFormat="1">
      <c r="A383"/>
      <c r="B383"/>
      <c r="C383"/>
      <c r="D383"/>
      <c r="E383"/>
      <c r="F383"/>
      <c r="G383"/>
      <c r="H383"/>
      <c r="I383"/>
      <c r="J383"/>
      <c r="K383"/>
      <c r="L383"/>
      <c r="M383"/>
      <c r="N383"/>
      <c r="O383"/>
      <c r="P383"/>
      <c r="Q383"/>
      <c r="R383"/>
      <c r="S383"/>
      <c r="T383"/>
      <c r="V383" s="66" t="s">
        <v>397</v>
      </c>
      <c r="W383" s="16" t="str">
        <f>IFERROR(VLOOKUP(CLEAN($V383),'All Security Controls'!A:I, 2, FALSE),"---")</f>
        <v xml:space="preserve">Boundary Protection | Restrict Threatening Outgoing Communications Traffic </v>
      </c>
      <c r="X383" s="14" t="str">
        <f>IFERROR(VLOOKUP(CLEAN($V383),'All Security Controls'!$A:$I, 4, FALSE),"---")</f>
        <v>CRWG Yellow Criticality Control</v>
      </c>
      <c r="Y383" s="14" t="str">
        <f>IFERROR(VLOOKUP(CLEAN($V383),'All Security Controls'!$A:$I,5, FALSE),"---")</f>
        <v>Quarterly</v>
      </c>
      <c r="Z383" s="14" t="str">
        <f>IFERROR(VLOOKUP(CLEAN($V383),'All Security Controls'!$A:$I,6, FALSE),"---")</f>
        <v>Manual</v>
      </c>
      <c r="AA383" s="14" t="str">
        <f>IFERROR(VLOOKUP(CLEAN($V383),'All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83" s="14" t="str">
        <f>IFERROR(VLOOKUP(CLEAN($V383),'All Security Controls'!$A:$I,8, FALSE),"---")</f>
        <v>POA&amp;M</v>
      </c>
      <c r="AC383" s="14" t="str">
        <f>IFERROR(VLOOKUP(CLEAN($V383),'All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83" s="26">
        <v>382</v>
      </c>
    </row>
    <row r="384" spans="1:30" s="10" customFormat="1">
      <c r="A384"/>
      <c r="B384"/>
      <c r="C384"/>
      <c r="D384"/>
      <c r="E384"/>
      <c r="F384"/>
      <c r="G384"/>
      <c r="H384"/>
      <c r="I384"/>
      <c r="J384"/>
      <c r="K384"/>
      <c r="L384"/>
      <c r="M384"/>
      <c r="N384"/>
      <c r="O384"/>
      <c r="P384"/>
      <c r="Q384"/>
      <c r="R384"/>
      <c r="S384"/>
      <c r="T384"/>
      <c r="V384" s="66" t="s">
        <v>398</v>
      </c>
      <c r="W384" s="16" t="str">
        <f>IFERROR(VLOOKUP(CLEAN($V384),'All Security Controls'!A:I, 2, FALSE),"---")</f>
        <v xml:space="preserve">Boundary Protection | Prevent Unauthorized Exfiltration </v>
      </c>
      <c r="X384" s="14" t="str">
        <f>IFERROR(VLOOKUP(CLEAN($V384),'All Security Controls'!$A:$I, 4, FALSE),"---")</f>
        <v>CRWG Yellow Criticality Control</v>
      </c>
      <c r="Y384" s="14" t="str">
        <f>IFERROR(VLOOKUP(CLEAN($V384),'All Security Controls'!$A:$I,5, FALSE),"---")</f>
        <v>Quarterly</v>
      </c>
      <c r="Z384" s="14" t="str">
        <f>IFERROR(VLOOKUP(CLEAN($V384),'All Security Controls'!$A:$I,6, FALSE),"---")</f>
        <v>Manual</v>
      </c>
      <c r="AA384" s="14" t="str">
        <f>IFERROR(VLOOKUP(CLEAN($V384),'All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84" s="14" t="str">
        <f>IFERROR(VLOOKUP(CLEAN($V384),'All Security Controls'!$A:$I,8, FALSE),"---")</f>
        <v>POA&amp;M</v>
      </c>
      <c r="AC384" s="14" t="str">
        <f>IFERROR(VLOOKUP(CLEAN($V384),'All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84" s="26">
        <v>383</v>
      </c>
    </row>
    <row r="385" spans="1:30" s="10" customFormat="1">
      <c r="A385"/>
      <c r="B385"/>
      <c r="C385"/>
      <c r="D385"/>
      <c r="E385"/>
      <c r="F385"/>
      <c r="G385"/>
      <c r="H385"/>
      <c r="I385"/>
      <c r="J385"/>
      <c r="K385"/>
      <c r="L385"/>
      <c r="M385"/>
      <c r="N385"/>
      <c r="O385"/>
      <c r="P385"/>
      <c r="Q385"/>
      <c r="R385"/>
      <c r="S385"/>
      <c r="T385"/>
      <c r="V385" s="66" t="s">
        <v>399</v>
      </c>
      <c r="W385" s="16" t="str">
        <f>IFERROR(VLOOKUP(CLEAN($V385),'All Security Controls'!A:I, 2, FALSE),"---")</f>
        <v>Boundary Protection | Restrict Incoming Communications Traffic</v>
      </c>
      <c r="X385" s="14" t="str">
        <f>IFERROR(VLOOKUP(CLEAN($V385),'All Security Controls'!$A:$I, 4, FALSE),"---")</f>
        <v>CRWG Yellow Criticality Control</v>
      </c>
      <c r="Y385" s="14" t="str">
        <f>IFERROR(VLOOKUP(CLEAN($V385),'All Security Controls'!$A:$I,5, FALSE),"---")</f>
        <v>Quarterly</v>
      </c>
      <c r="Z385" s="14" t="str">
        <f>IFERROR(VLOOKUP(CLEAN($V385),'All Security Controls'!$A:$I,6, FALSE),"---")</f>
        <v>Manual</v>
      </c>
      <c r="AA385" s="14" t="str">
        <f>IFERROR(VLOOKUP(CLEAN($V385),'All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85" s="14" t="str">
        <f>IFERROR(VLOOKUP(CLEAN($V385),'All Security Controls'!$A:$I,8, FALSE),"---")</f>
        <v>POA&amp;M</v>
      </c>
      <c r="AC385" s="14" t="str">
        <f>IFERROR(VLOOKUP(CLEAN($V385),'All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85" s="26">
        <v>384</v>
      </c>
    </row>
    <row r="386" spans="1:30" s="10" customFormat="1">
      <c r="A386"/>
      <c r="B386"/>
      <c r="C386"/>
      <c r="D386"/>
      <c r="E386"/>
      <c r="F386"/>
      <c r="G386"/>
      <c r="H386"/>
      <c r="I386"/>
      <c r="J386"/>
      <c r="K386"/>
      <c r="L386"/>
      <c r="M386"/>
      <c r="N386"/>
      <c r="O386"/>
      <c r="P386"/>
      <c r="Q386"/>
      <c r="R386"/>
      <c r="S386"/>
      <c r="T386"/>
      <c r="V386" s="66" t="s">
        <v>400</v>
      </c>
      <c r="W386" s="16" t="str">
        <f>IFERROR(VLOOKUP(CLEAN($V386),'All Security Controls'!A:I, 2, FALSE),"---")</f>
        <v>Boundary Protection | Host-Based Protection</v>
      </c>
      <c r="X386" s="14" t="str">
        <f>IFERROR(VLOOKUP(CLEAN($V386),'All Security Controls'!$A:$I, 4, FALSE),"---")</f>
        <v>CRWG Yellow Criticality Control</v>
      </c>
      <c r="Y386" s="14" t="str">
        <f>IFERROR(VLOOKUP(CLEAN($V386),'All Security Controls'!$A:$I,5, FALSE),"---")</f>
        <v>Constantly</v>
      </c>
      <c r="Z386" s="14" t="str">
        <f>IFERROR(VLOOKUP(CLEAN($V386),'All Security Controls'!$A:$I,6, FALSE),"---")</f>
        <v>Automated</v>
      </c>
      <c r="AA386" s="14" t="str">
        <f>IFERROR(VLOOKUP(CLEAN($V386),'All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86" s="14" t="str">
        <f>IFERROR(VLOOKUP(CLEAN($V386),'All Security Controls'!$A:$I,8, FALSE),"---")</f>
        <v>HBSS</v>
      </c>
      <c r="AC386" s="14" t="str">
        <f>IFERROR(VLOOKUP(CLEAN($V386),'All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86" s="26">
        <v>385</v>
      </c>
    </row>
    <row r="387" spans="1:30" s="10" customFormat="1">
      <c r="A387"/>
      <c r="B387"/>
      <c r="C387"/>
      <c r="D387"/>
      <c r="E387"/>
      <c r="F387"/>
      <c r="G387"/>
      <c r="H387"/>
      <c r="I387"/>
      <c r="J387"/>
      <c r="K387"/>
      <c r="L387"/>
      <c r="M387"/>
      <c r="N387"/>
      <c r="O387"/>
      <c r="P387"/>
      <c r="Q387"/>
      <c r="R387"/>
      <c r="S387"/>
      <c r="T387"/>
      <c r="V387" s="66" t="s">
        <v>401</v>
      </c>
      <c r="W387" s="16" t="str">
        <f>IFERROR(VLOOKUP(CLEAN($V387),'All Security Controls'!A:I, 2, FALSE),"---")</f>
        <v xml:space="preserve">Boundary Protection | Isolation of Security Tools/ Mechanisms/ Support Components </v>
      </c>
      <c r="X387" s="14" t="str">
        <f>IFERROR(VLOOKUP(CLEAN($V387),'All Security Controls'!$A:$I, 4, FALSE),"---")</f>
        <v>CRWG White Criticality Control</v>
      </c>
      <c r="Y387" s="14" t="str">
        <f>IFERROR(VLOOKUP(CLEAN($V387),'All Security Controls'!$A:$I,5, FALSE),"---")</f>
        <v>Annually</v>
      </c>
      <c r="Z387" s="14" t="str">
        <f>IFERROR(VLOOKUP(CLEAN($V387),'All Security Controls'!$A:$I,6, FALSE),"---")</f>
        <v>Manual</v>
      </c>
      <c r="AA387" s="14" t="str">
        <f>IFERROR(VLOOKUP(CLEAN($V387),'All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87" s="14" t="str">
        <f>IFERROR(VLOOKUP(CLEAN($V387),'All Security Controls'!$A:$I,8, FALSE),"---")</f>
        <v>POA&amp;M</v>
      </c>
      <c r="AC387" s="14" t="str">
        <f>IFERROR(VLOOKUP(CLEAN($V387),'All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87" s="26">
        <v>386</v>
      </c>
    </row>
    <row r="388" spans="1:30" s="10" customFormat="1">
      <c r="A388"/>
      <c r="B388"/>
      <c r="C388"/>
      <c r="D388"/>
      <c r="E388"/>
      <c r="F388"/>
      <c r="G388"/>
      <c r="H388"/>
      <c r="I388"/>
      <c r="J388"/>
      <c r="K388"/>
      <c r="L388"/>
      <c r="M388"/>
      <c r="N388"/>
      <c r="O388"/>
      <c r="P388"/>
      <c r="Q388"/>
      <c r="R388"/>
      <c r="S388"/>
      <c r="T388"/>
      <c r="V388" s="66" t="s">
        <v>402</v>
      </c>
      <c r="W388" s="16" t="str">
        <f>IFERROR(VLOOKUP(CLEAN($V388),'All Security Controls'!A:I, 2, FALSE),"---")</f>
        <v>Boundary Protection | Protect Against Unauthorized Physical Connections</v>
      </c>
      <c r="X388" s="14" t="str">
        <f>IFERROR(VLOOKUP(CLEAN($V388),'All Security Controls'!$A:$I, 4, FALSE),"---")</f>
        <v>CRWG Red Criticality Control</v>
      </c>
      <c r="Y388" s="14" t="str">
        <f>IFERROR(VLOOKUP(CLEAN($V388),'All Security Controls'!$A:$I,5, FALSE),"---")</f>
        <v>Constantly</v>
      </c>
      <c r="Z388" s="14" t="str">
        <f>IFERROR(VLOOKUP(CLEAN($V388),'All Security Controls'!$A:$I,6, FALSE),"---")</f>
        <v>Automated</v>
      </c>
      <c r="AA388" s="14" t="str">
        <f>IFERROR(VLOOKUP(CLEAN($V388),'All Security Controls'!$A:$I,7, FALSE),"---")</f>
        <v>via telephone or high-priority e-mail, the System Owner reports the situation immediately and directly to the AO, while keeping the cybersecurity chain of command informed of status and response actions; if time permits, an authorization/connection decision recommendation is provided to the AO</v>
      </c>
      <c r="AB388" s="14" t="str">
        <f>IFERROR(VLOOKUP(CLEAN($V388),'All Security Controls'!$A:$I,8, FALSE),"---")</f>
        <v>IDS</v>
      </c>
      <c r="AC388" s="14" t="str">
        <f>IFERROR(VLOOKUP(CLEAN($V388),'All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88" s="26">
        <v>387</v>
      </c>
    </row>
    <row r="389" spans="1:30" s="10" customFormat="1">
      <c r="A389"/>
      <c r="B389"/>
      <c r="C389"/>
      <c r="D389"/>
      <c r="E389"/>
      <c r="F389"/>
      <c r="G389"/>
      <c r="H389"/>
      <c r="I389"/>
      <c r="J389"/>
      <c r="K389"/>
      <c r="L389"/>
      <c r="M389"/>
      <c r="N389"/>
      <c r="O389"/>
      <c r="P389"/>
      <c r="Q389"/>
      <c r="R389"/>
      <c r="S389"/>
      <c r="T389"/>
      <c r="V389" s="66" t="s">
        <v>403</v>
      </c>
      <c r="W389" s="16" t="str">
        <f>IFERROR(VLOOKUP(CLEAN($V389),'All Security Controls'!A:I, 2, FALSE),"---")</f>
        <v>Boundary Protection | Fail Secure</v>
      </c>
      <c r="X389" s="14" t="str">
        <f>IFERROR(VLOOKUP(CLEAN($V389),'All Security Controls'!$A:$I, 4, FALSE),"---")</f>
        <v>CRWG Red Criticality Control</v>
      </c>
      <c r="Y389" s="14" t="str">
        <f>IFERROR(VLOOKUP(CLEAN($V389),'All Security Controls'!$A:$I,5, FALSE),"---")</f>
        <v>Constantly</v>
      </c>
      <c r="Z389" s="14" t="str">
        <f>IFERROR(VLOOKUP(CLEAN($V389),'All Security Controls'!$A:$I,6, FALSE),"---")</f>
        <v>Automated</v>
      </c>
      <c r="AA389" s="14" t="str">
        <f>IFERROR(VLOOKUP(CLEAN($V389),'All Security Controls'!$A:$I,7, FALSE),"---")</f>
        <v>via telephone or high-priority e-mail, the System Owner reports the situation immediately and directly to the AO, while keeping the cybersecurity chain of command informed of status and response actions; if time permits, an authorization/connection decision recommendation is provided to the AO</v>
      </c>
      <c r="AB389" s="14" t="str">
        <f>IFERROR(VLOOKUP(CLEAN($V389),'All Security Controls'!$A:$I,8, FALSE),"---")</f>
        <v>IDS</v>
      </c>
      <c r="AC389" s="14" t="str">
        <f>IFERROR(VLOOKUP(CLEAN($V389),'All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89" s="26">
        <v>388</v>
      </c>
    </row>
    <row r="390" spans="1:30" s="10" customFormat="1">
      <c r="A390"/>
      <c r="B390"/>
      <c r="C390"/>
      <c r="D390"/>
      <c r="E390"/>
      <c r="F390"/>
      <c r="G390"/>
      <c r="H390"/>
      <c r="I390"/>
      <c r="J390"/>
      <c r="K390"/>
      <c r="L390"/>
      <c r="M390"/>
      <c r="N390"/>
      <c r="O390"/>
      <c r="P390"/>
      <c r="Q390"/>
      <c r="R390"/>
      <c r="S390"/>
      <c r="T390"/>
      <c r="V390" s="66" t="s">
        <v>404</v>
      </c>
      <c r="W390" s="16" t="str">
        <f>IFERROR(VLOOKUP(CLEAN($V390),'All Security Controls'!A:I, 2, FALSE),"---")</f>
        <v xml:space="preserve">Boundary Protection | Isolation of Information System Components </v>
      </c>
      <c r="X390" s="14" t="str">
        <f>IFERROR(VLOOKUP(CLEAN($V390),'All Security Controls'!$A:$I, 4, FALSE),"---")</f>
        <v>CRWG Yellow Criticality Control</v>
      </c>
      <c r="Y390" s="14" t="str">
        <f>IFERROR(VLOOKUP(CLEAN($V390),'All Security Controls'!$A:$I,5, FALSE),"---")</f>
        <v>Quarterly</v>
      </c>
      <c r="Z390" s="14" t="str">
        <f>IFERROR(VLOOKUP(CLEAN($V390),'All Security Controls'!$A:$I,6, FALSE),"---")</f>
        <v>Manual</v>
      </c>
      <c r="AA390" s="14" t="str">
        <f>IFERROR(VLOOKUP(CLEAN($V390),'All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90" s="14" t="str">
        <f>IFERROR(VLOOKUP(CLEAN($V390),'All Security Controls'!$A:$I,8, FALSE),"---")</f>
        <v>POA&amp;M</v>
      </c>
      <c r="AC390" s="14" t="str">
        <f>IFERROR(VLOOKUP(CLEAN($V390),'All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90" s="26">
        <v>389</v>
      </c>
    </row>
    <row r="391" spans="1:30" s="10" customFormat="1">
      <c r="A391"/>
      <c r="B391"/>
      <c r="C391"/>
      <c r="D391"/>
      <c r="E391"/>
      <c r="F391"/>
      <c r="G391"/>
      <c r="H391"/>
      <c r="I391"/>
      <c r="J391"/>
      <c r="K391"/>
      <c r="L391"/>
      <c r="M391"/>
      <c r="N391"/>
      <c r="O391"/>
      <c r="P391"/>
      <c r="Q391"/>
      <c r="R391"/>
      <c r="S391"/>
      <c r="T391"/>
      <c r="V391" s="66" t="s">
        <v>405</v>
      </c>
      <c r="W391" s="16" t="str">
        <f>IFERROR(VLOOKUP(CLEAN($V391),'All Security Controls'!A:I, 2, FALSE),"---")</f>
        <v xml:space="preserve">Transmission Confidentiality and Integrity </v>
      </c>
      <c r="X391" s="14" t="str">
        <f>IFERROR(VLOOKUP(CLEAN($V391),'All Security Controls'!$A:$I, 4, FALSE),"---")</f>
        <v>CRWG Red Criticality Control</v>
      </c>
      <c r="Y391" s="14" t="str">
        <f>IFERROR(VLOOKUP(CLEAN($V391),'All Security Controls'!$A:$I,5, FALSE),"---")</f>
        <v>Quarterly</v>
      </c>
      <c r="Z391" s="14" t="str">
        <f>IFERROR(VLOOKUP(CLEAN($V391),'All Security Controls'!$A:$I,6, FALSE),"---")</f>
        <v>Manual</v>
      </c>
      <c r="AA391" s="14" t="str">
        <f>IFERROR(VLOOKUP(CLEAN($V391),'All Security Controls'!$A:$I,7, FALSE),"---")</f>
        <v>via telephone or high-priority e-mail, the System Owner reports the situation immediately and directly to the AO, while keeping the cybersecurity chain of command informed of status and response actions; if time permits, an authorization/connection decision recommendation is provided to the AO</v>
      </c>
      <c r="AB391" s="14" t="str">
        <f>IFERROR(VLOOKUP(CLEAN($V391),'All Security Controls'!$A:$I,8, FALSE),"---")</f>
        <v>POA&amp;M</v>
      </c>
      <c r="AC391" s="14" t="str">
        <f>IFERROR(VLOOKUP(CLEAN($V391),'All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91" s="26">
        <v>390</v>
      </c>
    </row>
    <row r="392" spans="1:30" s="10" customFormat="1">
      <c r="A392"/>
      <c r="B392"/>
      <c r="C392"/>
      <c r="D392"/>
      <c r="E392"/>
      <c r="F392"/>
      <c r="G392"/>
      <c r="H392"/>
      <c r="I392"/>
      <c r="J392"/>
      <c r="K392"/>
      <c r="L392"/>
      <c r="M392"/>
      <c r="N392"/>
      <c r="O392"/>
      <c r="P392"/>
      <c r="Q392"/>
      <c r="R392"/>
      <c r="S392"/>
      <c r="T392"/>
      <c r="V392" s="66" t="s">
        <v>406</v>
      </c>
      <c r="W392" s="16" t="str">
        <f>IFERROR(VLOOKUP(CLEAN($V392),'All Security Controls'!A:I, 2, FALSE),"---")</f>
        <v>Transmission Confidentiality and Integrity | Cryptographic or Alternate Physical Protection</v>
      </c>
      <c r="X392" s="14" t="str">
        <f>IFERROR(VLOOKUP(CLEAN($V392),'All Security Controls'!$A:$I, 4, FALSE),"---")</f>
        <v>CRWG Yellow Criticality Control</v>
      </c>
      <c r="Y392" s="14" t="str">
        <f>IFERROR(VLOOKUP(CLEAN($V392),'All Security Controls'!$A:$I,5, FALSE),"---")</f>
        <v>Quarterly</v>
      </c>
      <c r="Z392" s="14" t="str">
        <f>IFERROR(VLOOKUP(CLEAN($V392),'All Security Controls'!$A:$I,6, FALSE),"---")</f>
        <v>Manual</v>
      </c>
      <c r="AA392" s="14" t="str">
        <f>IFERROR(VLOOKUP(CLEAN($V392),'All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92" s="14" t="str">
        <f>IFERROR(VLOOKUP(CLEAN($V392),'All Security Controls'!$A:$I,8, FALSE),"---")</f>
        <v>POA&amp;M</v>
      </c>
      <c r="AC392" s="14" t="str">
        <f>IFERROR(VLOOKUP(CLEAN($V392),'All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92" s="26">
        <v>391</v>
      </c>
    </row>
    <row r="393" spans="1:30" s="10" customFormat="1">
      <c r="A393"/>
      <c r="B393"/>
      <c r="C393"/>
      <c r="D393"/>
      <c r="E393"/>
      <c r="F393"/>
      <c r="G393"/>
      <c r="H393"/>
      <c r="I393"/>
      <c r="J393"/>
      <c r="K393"/>
      <c r="L393"/>
      <c r="M393"/>
      <c r="N393"/>
      <c r="O393"/>
      <c r="P393"/>
      <c r="Q393"/>
      <c r="R393"/>
      <c r="S393"/>
      <c r="T393"/>
      <c r="V393" s="66" t="s">
        <v>407</v>
      </c>
      <c r="W393" s="16" t="str">
        <f>IFERROR(VLOOKUP(CLEAN($V393),'All Security Controls'!A:I, 2, FALSE),"---")</f>
        <v>Transmission Confidentiality and Integrity | Pre-Post Transmission Handling</v>
      </c>
      <c r="X393" s="14" t="str">
        <f>IFERROR(VLOOKUP(CLEAN($V393),'All Security Controls'!$A:$I, 4, FALSE),"---")</f>
        <v>CRWG Yellow Criticality Control</v>
      </c>
      <c r="Y393" s="14" t="str">
        <f>IFERROR(VLOOKUP(CLEAN($V393),'All Security Controls'!$A:$I,5, FALSE),"---")</f>
        <v>Quarterly</v>
      </c>
      <c r="Z393" s="14" t="str">
        <f>IFERROR(VLOOKUP(CLEAN($V393),'All Security Controls'!$A:$I,6, FALSE),"---")</f>
        <v>Manual</v>
      </c>
      <c r="AA393" s="14" t="str">
        <f>IFERROR(VLOOKUP(CLEAN($V393),'All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93" s="14" t="str">
        <f>IFERROR(VLOOKUP(CLEAN($V393),'All Security Controls'!$A:$I,8, FALSE),"---")</f>
        <v>POA&amp;M</v>
      </c>
      <c r="AC393" s="14" t="str">
        <f>IFERROR(VLOOKUP(CLEAN($V393),'All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93" s="26">
        <v>392</v>
      </c>
    </row>
    <row r="394" spans="1:30" s="10" customFormat="1">
      <c r="A394"/>
      <c r="B394"/>
      <c r="C394"/>
      <c r="D394"/>
      <c r="E394"/>
      <c r="F394"/>
      <c r="G394"/>
      <c r="H394"/>
      <c r="I394"/>
      <c r="J394"/>
      <c r="K394"/>
      <c r="L394"/>
      <c r="M394"/>
      <c r="N394"/>
      <c r="O394"/>
      <c r="P394"/>
      <c r="Q394"/>
      <c r="R394"/>
      <c r="S394"/>
      <c r="T394"/>
      <c r="V394" s="66" t="s">
        <v>408</v>
      </c>
      <c r="W394" s="16" t="str">
        <f>IFERROR(VLOOKUP(CLEAN($V394),'All Security Controls'!A:I, 2, FALSE),"---")</f>
        <v xml:space="preserve">Network Disconnect </v>
      </c>
      <c r="X394" s="14" t="str">
        <f>IFERROR(VLOOKUP(CLEAN($V394),'All Security Controls'!$A:$I, 4, FALSE),"---")</f>
        <v>CRWG Yellow Criticality Control</v>
      </c>
      <c r="Y394" s="14" t="str">
        <f>IFERROR(VLOOKUP(CLEAN($V394),'All Security Controls'!$A:$I,5, FALSE),"---")</f>
        <v>Quarterly</v>
      </c>
      <c r="Z394" s="14" t="str">
        <f>IFERROR(VLOOKUP(CLEAN($V394),'All Security Controls'!$A:$I,6, FALSE),"---")</f>
        <v>Manual</v>
      </c>
      <c r="AA394" s="14" t="str">
        <f>IFERROR(VLOOKUP(CLEAN($V394),'All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94" s="14" t="str">
        <f>IFERROR(VLOOKUP(CLEAN($V394),'All Security Controls'!$A:$I,8, FALSE),"---")</f>
        <v>POA&amp;M</v>
      </c>
      <c r="AC394" s="14" t="str">
        <f>IFERROR(VLOOKUP(CLEAN($V394),'All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94" s="26">
        <v>393</v>
      </c>
    </row>
    <row r="395" spans="1:30" s="10" customFormat="1">
      <c r="A395"/>
      <c r="B395"/>
      <c r="C395"/>
      <c r="D395"/>
      <c r="E395"/>
      <c r="F395"/>
      <c r="G395"/>
      <c r="H395"/>
      <c r="I395"/>
      <c r="J395"/>
      <c r="K395"/>
      <c r="L395"/>
      <c r="M395"/>
      <c r="N395"/>
      <c r="O395"/>
      <c r="P395"/>
      <c r="Q395"/>
      <c r="R395"/>
      <c r="S395"/>
      <c r="T395"/>
      <c r="V395" s="66" t="s">
        <v>409</v>
      </c>
      <c r="W395" s="16" t="str">
        <f>IFERROR(VLOOKUP(CLEAN($V395),'All Security Controls'!A:I, 2, FALSE),"---")</f>
        <v xml:space="preserve">Cryptographic Key Establishment And Management </v>
      </c>
      <c r="X395" s="14" t="str">
        <f>IFERROR(VLOOKUP(CLEAN($V395),'All Security Controls'!$A:$I, 4, FALSE),"---")</f>
        <v>CRWG Yellow Criticality Control</v>
      </c>
      <c r="Y395" s="14" t="str">
        <f>IFERROR(VLOOKUP(CLEAN($V395),'All Security Controls'!$A:$I,5, FALSE),"---")</f>
        <v>Annually</v>
      </c>
      <c r="Z395" s="14" t="str">
        <f>IFERROR(VLOOKUP(CLEAN($V395),'All Security Controls'!$A:$I,6, FALSE),"---")</f>
        <v>Manual</v>
      </c>
      <c r="AA395" s="14" t="str">
        <f>IFERROR(VLOOKUP(CLEAN($V395),'All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95" s="14" t="str">
        <f>IFERROR(VLOOKUP(CLEAN($V395),'All Security Controls'!$A:$I,8, FALSE),"---")</f>
        <v>POA&amp;M</v>
      </c>
      <c r="AC395" s="14" t="str">
        <f>IFERROR(VLOOKUP(CLEAN($V395),'All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95" s="26">
        <v>394</v>
      </c>
    </row>
    <row r="396" spans="1:30" s="10" customFormat="1">
      <c r="A396"/>
      <c r="B396"/>
      <c r="C396"/>
      <c r="D396"/>
      <c r="E396"/>
      <c r="F396"/>
      <c r="G396"/>
      <c r="H396"/>
      <c r="I396"/>
      <c r="J396"/>
      <c r="K396"/>
      <c r="L396"/>
      <c r="M396"/>
      <c r="N396"/>
      <c r="O396"/>
      <c r="P396"/>
      <c r="Q396"/>
      <c r="R396"/>
      <c r="S396"/>
      <c r="T396"/>
      <c r="V396" s="66" t="s">
        <v>410</v>
      </c>
      <c r="W396" s="16" t="str">
        <f>IFERROR(VLOOKUP(CLEAN($V396),'All Security Controls'!A:I, 2, FALSE),"---")</f>
        <v>Cryptographic Protection</v>
      </c>
      <c r="X396" s="14" t="str">
        <f>IFERROR(VLOOKUP(CLEAN($V396),'All Security Controls'!$A:$I, 4, FALSE),"---")</f>
        <v>CRWG Yellow Criticality Control</v>
      </c>
      <c r="Y396" s="14" t="str">
        <f>IFERROR(VLOOKUP(CLEAN($V396),'All Security Controls'!$A:$I,5, FALSE),"---")</f>
        <v>Annually</v>
      </c>
      <c r="Z396" s="14" t="str">
        <f>IFERROR(VLOOKUP(CLEAN($V396),'All Security Controls'!$A:$I,6, FALSE),"---")</f>
        <v>Manual</v>
      </c>
      <c r="AA396" s="14" t="str">
        <f>IFERROR(VLOOKUP(CLEAN($V396),'All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96" s="14" t="str">
        <f>IFERROR(VLOOKUP(CLEAN($V396),'All Security Controls'!$A:$I,8, FALSE),"---")</f>
        <v>POA&amp;M</v>
      </c>
      <c r="AC396" s="14" t="str">
        <f>IFERROR(VLOOKUP(CLEAN($V396),'All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96" s="26">
        <v>395</v>
      </c>
    </row>
    <row r="397" spans="1:30" s="10" customFormat="1">
      <c r="A397"/>
      <c r="B397"/>
      <c r="C397"/>
      <c r="D397"/>
      <c r="E397"/>
      <c r="F397"/>
      <c r="G397"/>
      <c r="H397"/>
      <c r="I397"/>
      <c r="J397"/>
      <c r="K397"/>
      <c r="L397"/>
      <c r="M397"/>
      <c r="N397"/>
      <c r="O397"/>
      <c r="P397"/>
      <c r="Q397"/>
      <c r="R397"/>
      <c r="S397"/>
      <c r="T397"/>
      <c r="V397" s="66" t="s">
        <v>411</v>
      </c>
      <c r="W397" s="16" t="str">
        <f>IFERROR(VLOOKUP(CLEAN($V397),'All Security Controls'!A:I, 2, FALSE),"---")</f>
        <v xml:space="preserve">Collaborative Computing Devices </v>
      </c>
      <c r="X397" s="14" t="str">
        <f>IFERROR(VLOOKUP(CLEAN($V397),'All Security Controls'!$A:$I, 4, FALSE),"---")</f>
        <v>CRWG Yellow Criticality Control</v>
      </c>
      <c r="Y397" s="14" t="str">
        <f>IFERROR(VLOOKUP(CLEAN($V397),'All Security Controls'!$A:$I,5, FALSE),"---")</f>
        <v>Annually</v>
      </c>
      <c r="Z397" s="14" t="str">
        <f>IFERROR(VLOOKUP(CLEAN($V397),'All Security Controls'!$A:$I,6, FALSE),"---")</f>
        <v>Manual</v>
      </c>
      <c r="AA397" s="14" t="str">
        <f>IFERROR(VLOOKUP(CLEAN($V397),'All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97" s="14" t="str">
        <f>IFERROR(VLOOKUP(CLEAN($V397),'All Security Controls'!$A:$I,8, FALSE),"---")</f>
        <v>POA&amp;M</v>
      </c>
      <c r="AC397" s="14" t="str">
        <f>IFERROR(VLOOKUP(CLEAN($V397),'All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97" s="26">
        <v>396</v>
      </c>
    </row>
    <row r="398" spans="1:30" s="10" customFormat="1">
      <c r="A398"/>
      <c r="B398"/>
      <c r="C398"/>
      <c r="D398"/>
      <c r="E398"/>
      <c r="F398"/>
      <c r="G398"/>
      <c r="H398"/>
      <c r="I398"/>
      <c r="J398"/>
      <c r="K398"/>
      <c r="L398"/>
      <c r="M398"/>
      <c r="N398"/>
      <c r="O398"/>
      <c r="P398"/>
      <c r="Q398"/>
      <c r="R398"/>
      <c r="S398"/>
      <c r="T398"/>
      <c r="V398" s="66" t="s">
        <v>412</v>
      </c>
      <c r="W398" s="16" t="str">
        <f>IFERROR(VLOOKUP(CLEAN($V398),'All Security Controls'!A:I, 2, FALSE),"---")</f>
        <v xml:space="preserve">Public Key Infrastructure Certificates </v>
      </c>
      <c r="X398" s="14" t="str">
        <f>IFERROR(VLOOKUP(CLEAN($V398),'All Security Controls'!$A:$I, 4, FALSE),"---")</f>
        <v>CRWG Yellow Criticality Control</v>
      </c>
      <c r="Y398" s="14" t="str">
        <f>IFERROR(VLOOKUP(CLEAN($V398),'All Security Controls'!$A:$I,5, FALSE),"---")</f>
        <v>Weekly</v>
      </c>
      <c r="Z398" s="14" t="str">
        <f>IFERROR(VLOOKUP(CLEAN($V398),'All Security Controls'!$A:$I,6, FALSE),"---")</f>
        <v>Automated</v>
      </c>
      <c r="AA398" s="14" t="str">
        <f>IFERROR(VLOOKUP(CLEAN($V398),'All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398" s="14" t="str">
        <f>IFERROR(VLOOKUP(CLEAN($V398),'All Security Controls'!$A:$I,8, FALSE),"---")</f>
        <v>ACAS</v>
      </c>
      <c r="AC398" s="14" t="str">
        <f>IFERROR(VLOOKUP(CLEAN($V398),'All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98" s="26">
        <v>397</v>
      </c>
    </row>
    <row r="399" spans="1:30" s="10" customFormat="1">
      <c r="A399"/>
      <c r="B399"/>
      <c r="C399"/>
      <c r="D399"/>
      <c r="E399"/>
      <c r="F399"/>
      <c r="G399"/>
      <c r="H399"/>
      <c r="I399"/>
      <c r="J399"/>
      <c r="K399"/>
      <c r="L399"/>
      <c r="M399"/>
      <c r="N399"/>
      <c r="O399"/>
      <c r="P399"/>
      <c r="Q399"/>
      <c r="R399"/>
      <c r="S399"/>
      <c r="T399"/>
      <c r="V399" s="66" t="s">
        <v>413</v>
      </c>
      <c r="W399" s="16" t="str">
        <f>IFERROR(VLOOKUP(CLEAN($V399),'All Security Controls'!A:I, 2, FALSE),"---")</f>
        <v xml:space="preserve">Mobile Code </v>
      </c>
      <c r="X399" s="14" t="str">
        <f>IFERROR(VLOOKUP(CLEAN($V399),'All Security Controls'!$A:$I, 4, FALSE),"---")</f>
        <v>CRWG White Criticality Control</v>
      </c>
      <c r="Y399" s="14" t="str">
        <f>IFERROR(VLOOKUP(CLEAN($V399),'All Security Controls'!$A:$I,5, FALSE),"---")</f>
        <v>Annually</v>
      </c>
      <c r="Z399" s="14" t="str">
        <f>IFERROR(VLOOKUP(CLEAN($V399),'All Security Controls'!$A:$I,6, FALSE),"---")</f>
        <v>Manual</v>
      </c>
      <c r="AA399" s="14" t="str">
        <f>IFERROR(VLOOKUP(CLEAN($V399),'All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399" s="14" t="str">
        <f>IFERROR(VLOOKUP(CLEAN($V399),'All Security Controls'!$A:$I,8, FALSE),"---")</f>
        <v>POA&amp;M</v>
      </c>
      <c r="AC399" s="14" t="str">
        <f>IFERROR(VLOOKUP(CLEAN($V399),'All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399" s="26">
        <v>398</v>
      </c>
    </row>
    <row r="400" spans="1:30" s="10" customFormat="1">
      <c r="A400"/>
      <c r="B400"/>
      <c r="C400"/>
      <c r="D400"/>
      <c r="E400"/>
      <c r="F400"/>
      <c r="G400"/>
      <c r="H400"/>
      <c r="I400"/>
      <c r="J400"/>
      <c r="K400"/>
      <c r="L400"/>
      <c r="M400"/>
      <c r="N400"/>
      <c r="O400"/>
      <c r="P400"/>
      <c r="Q400"/>
      <c r="R400"/>
      <c r="S400"/>
      <c r="T400"/>
      <c r="V400" s="66" t="s">
        <v>414</v>
      </c>
      <c r="W400" s="16" t="str">
        <f>IFERROR(VLOOKUP(CLEAN($V400),'All Security Controls'!A:I, 2, FALSE),"---")</f>
        <v>Mobile Code | Identify Unacceptable Code/ Take Corrective Actions</v>
      </c>
      <c r="X400" s="14" t="str">
        <f>IFERROR(VLOOKUP(CLEAN($V400),'All Security Controls'!$A:$I, 4, FALSE),"---")</f>
        <v>CRWG Yellow Criticality Control</v>
      </c>
      <c r="Y400" s="14" t="str">
        <f>IFERROR(VLOOKUP(CLEAN($V400),'All Security Controls'!$A:$I,5, FALSE),"---")</f>
        <v>Quarterly</v>
      </c>
      <c r="Z400" s="14" t="str">
        <f>IFERROR(VLOOKUP(CLEAN($V400),'All Security Controls'!$A:$I,6, FALSE),"---")</f>
        <v>Manual</v>
      </c>
      <c r="AA400" s="14" t="str">
        <f>IFERROR(VLOOKUP(CLEAN($V400),'All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00" s="14" t="str">
        <f>IFERROR(VLOOKUP(CLEAN($V400),'All Security Controls'!$A:$I,8, FALSE),"---")</f>
        <v>POA&amp;M</v>
      </c>
      <c r="AC400" s="14" t="str">
        <f>IFERROR(VLOOKUP(CLEAN($V400),'All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00" s="26">
        <v>399</v>
      </c>
    </row>
    <row r="401" spans="1:30" s="10" customFormat="1">
      <c r="A401"/>
      <c r="B401"/>
      <c r="C401"/>
      <c r="D401"/>
      <c r="E401"/>
      <c r="F401"/>
      <c r="G401"/>
      <c r="H401"/>
      <c r="I401"/>
      <c r="J401"/>
      <c r="K401"/>
      <c r="L401"/>
      <c r="M401"/>
      <c r="N401"/>
      <c r="O401"/>
      <c r="P401"/>
      <c r="Q401"/>
      <c r="R401"/>
      <c r="S401"/>
      <c r="T401"/>
      <c r="V401" s="66" t="s">
        <v>415</v>
      </c>
      <c r="W401" s="16" t="str">
        <f>IFERROR(VLOOKUP(CLEAN($V401),'All Security Controls'!A:I, 2, FALSE),"---")</f>
        <v>Mobile Code | Acquisition / Development/ Use</v>
      </c>
      <c r="X401" s="14" t="str">
        <f>IFERROR(VLOOKUP(CLEAN($V401),'All Security Controls'!$A:$I, 4, FALSE),"---")</f>
        <v>CRWG White Criticality Control</v>
      </c>
      <c r="Y401" s="14" t="str">
        <f>IFERROR(VLOOKUP(CLEAN($V401),'All Security Controls'!$A:$I,5, FALSE),"---")</f>
        <v>Annually</v>
      </c>
      <c r="Z401" s="14" t="str">
        <f>IFERROR(VLOOKUP(CLEAN($V401),'All Security Controls'!$A:$I,6, FALSE),"---")</f>
        <v>Manual</v>
      </c>
      <c r="AA401" s="14" t="str">
        <f>IFERROR(VLOOKUP(CLEAN($V401),'All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01" s="14" t="str">
        <f>IFERROR(VLOOKUP(CLEAN($V401),'All Security Controls'!$A:$I,8, FALSE),"---")</f>
        <v>POA&amp;M</v>
      </c>
      <c r="AC401" s="14" t="str">
        <f>IFERROR(VLOOKUP(CLEAN($V401),'All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01" s="26">
        <v>400</v>
      </c>
    </row>
    <row r="402" spans="1:30" s="10" customFormat="1">
      <c r="A402"/>
      <c r="B402"/>
      <c r="C402"/>
      <c r="D402"/>
      <c r="E402"/>
      <c r="F402"/>
      <c r="G402"/>
      <c r="H402"/>
      <c r="I402"/>
      <c r="J402"/>
      <c r="K402"/>
      <c r="L402"/>
      <c r="M402"/>
      <c r="N402"/>
      <c r="O402"/>
      <c r="P402"/>
      <c r="Q402"/>
      <c r="R402"/>
      <c r="S402"/>
      <c r="T402"/>
      <c r="V402" s="66" t="s">
        <v>416</v>
      </c>
      <c r="W402" s="16" t="str">
        <f>IFERROR(VLOOKUP(CLEAN($V402),'All Security Controls'!A:I, 2, FALSE),"---")</f>
        <v>Mobile Code | Prevent Downloading/ Execution</v>
      </c>
      <c r="X402" s="14" t="str">
        <f>IFERROR(VLOOKUP(CLEAN($V402),'All Security Controls'!$A:$I, 4, FALSE),"---")</f>
        <v>CRWG Yellow Criticality Control</v>
      </c>
      <c r="Y402" s="14" t="str">
        <f>IFERROR(VLOOKUP(CLEAN($V402),'All Security Controls'!$A:$I,5, FALSE),"---")</f>
        <v>Constantly</v>
      </c>
      <c r="Z402" s="14" t="str">
        <f>IFERROR(VLOOKUP(CLEAN($V402),'All Security Controls'!$A:$I,6, FALSE),"---")</f>
        <v>Automated</v>
      </c>
      <c r="AA402" s="14" t="str">
        <f>IFERROR(VLOOKUP(CLEAN($V402),'All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02" s="14" t="str">
        <f>IFERROR(VLOOKUP(CLEAN($V402),'All Security Controls'!$A:$I,8, FALSE),"---")</f>
        <v>GPO</v>
      </c>
      <c r="AC402" s="14" t="str">
        <f>IFERROR(VLOOKUP(CLEAN($V402),'All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02" s="26">
        <v>401</v>
      </c>
    </row>
    <row r="403" spans="1:30" s="10" customFormat="1">
      <c r="A403"/>
      <c r="B403"/>
      <c r="C403"/>
      <c r="D403"/>
      <c r="E403"/>
      <c r="F403"/>
      <c r="G403"/>
      <c r="H403"/>
      <c r="I403"/>
      <c r="J403"/>
      <c r="K403"/>
      <c r="L403"/>
      <c r="M403"/>
      <c r="N403"/>
      <c r="O403"/>
      <c r="P403"/>
      <c r="Q403"/>
      <c r="R403"/>
      <c r="S403"/>
      <c r="T403"/>
      <c r="V403" s="66" t="s">
        <v>417</v>
      </c>
      <c r="W403" s="16" t="str">
        <f>IFERROR(VLOOKUP(CLEAN($V403),'All Security Controls'!A:I, 2, FALSE),"---")</f>
        <v>Mobile Code | Prevent Automation Execution</v>
      </c>
      <c r="X403" s="14" t="str">
        <f>IFERROR(VLOOKUP(CLEAN($V403),'All Security Controls'!$A:$I, 4, FALSE),"---")</f>
        <v>CRWG Yellow Criticality Control</v>
      </c>
      <c r="Y403" s="14" t="str">
        <f>IFERROR(VLOOKUP(CLEAN($V403),'All Security Controls'!$A:$I,5, FALSE),"---")</f>
        <v>Constantly</v>
      </c>
      <c r="Z403" s="14" t="str">
        <f>IFERROR(VLOOKUP(CLEAN($V403),'All Security Controls'!$A:$I,6, FALSE),"---")</f>
        <v>Automated</v>
      </c>
      <c r="AA403" s="14" t="str">
        <f>IFERROR(VLOOKUP(CLEAN($V403),'All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03" s="14" t="str">
        <f>IFERROR(VLOOKUP(CLEAN($V403),'All Security Controls'!$A:$I,8, FALSE),"---")</f>
        <v>GPO</v>
      </c>
      <c r="AC403" s="14" t="str">
        <f>IFERROR(VLOOKUP(CLEAN($V403),'All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03" s="26">
        <v>402</v>
      </c>
    </row>
    <row r="404" spans="1:30" s="10" customFormat="1">
      <c r="A404"/>
      <c r="B404"/>
      <c r="C404"/>
      <c r="D404"/>
      <c r="E404"/>
      <c r="F404"/>
      <c r="G404"/>
      <c r="H404"/>
      <c r="I404"/>
      <c r="J404"/>
      <c r="K404"/>
      <c r="L404"/>
      <c r="M404"/>
      <c r="N404"/>
      <c r="O404"/>
      <c r="P404"/>
      <c r="Q404"/>
      <c r="R404"/>
      <c r="S404"/>
      <c r="T404"/>
      <c r="V404" s="66" t="s">
        <v>418</v>
      </c>
      <c r="W404" s="16" t="str">
        <f>IFERROR(VLOOKUP(CLEAN($V404),'All Security Controls'!A:I, 2, FALSE),"---")</f>
        <v xml:space="preserve">Voice Over Internet Protocol </v>
      </c>
      <c r="X404" s="14" t="str">
        <f>IFERROR(VLOOKUP(CLEAN($V404),'All Security Controls'!$A:$I, 4, FALSE),"---")</f>
        <v>CRWG White Criticality Control</v>
      </c>
      <c r="Y404" s="14" t="str">
        <f>IFERROR(VLOOKUP(CLEAN($V404),'All Security Controls'!$A:$I,5, FALSE),"---")</f>
        <v>Annually</v>
      </c>
      <c r="Z404" s="14" t="str">
        <f>IFERROR(VLOOKUP(CLEAN($V404),'All Security Controls'!$A:$I,6, FALSE),"---")</f>
        <v>Manual</v>
      </c>
      <c r="AA404" s="14" t="str">
        <f>IFERROR(VLOOKUP(CLEAN($V404),'All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04" s="14" t="str">
        <f>IFERROR(VLOOKUP(CLEAN($V404),'All Security Controls'!$A:$I,8, FALSE),"---")</f>
        <v>POA&amp;M</v>
      </c>
      <c r="AC404" s="14" t="str">
        <f>IFERROR(VLOOKUP(CLEAN($V404),'All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04" s="26">
        <v>403</v>
      </c>
    </row>
    <row r="405" spans="1:30" s="10" customFormat="1">
      <c r="A405"/>
      <c r="B405"/>
      <c r="C405"/>
      <c r="D405"/>
      <c r="E405"/>
      <c r="F405"/>
      <c r="G405"/>
      <c r="H405"/>
      <c r="I405"/>
      <c r="J405"/>
      <c r="K405"/>
      <c r="L405"/>
      <c r="M405"/>
      <c r="N405"/>
      <c r="O405"/>
      <c r="P405"/>
      <c r="Q405"/>
      <c r="R405"/>
      <c r="S405"/>
      <c r="T405"/>
      <c r="V405" s="66" t="s">
        <v>419</v>
      </c>
      <c r="W405" s="16" t="str">
        <f>IFERROR(VLOOKUP(CLEAN($V405),'All Security Controls'!A:I, 2, FALSE),"---")</f>
        <v xml:space="preserve">Secure Name / Address Resolution Service (Authoritative Source) </v>
      </c>
      <c r="X405" s="14" t="str">
        <f>IFERROR(VLOOKUP(CLEAN($V405),'All Security Controls'!$A:$I, 4, FALSE),"---")</f>
        <v>CRWG Yellow Criticality Control</v>
      </c>
      <c r="Y405" s="14" t="str">
        <f>IFERROR(VLOOKUP(CLEAN($V405),'All Security Controls'!$A:$I,5, FALSE),"---")</f>
        <v>Quarterly</v>
      </c>
      <c r="Z405" s="14" t="str">
        <f>IFERROR(VLOOKUP(CLEAN($V405),'All Security Controls'!$A:$I,6, FALSE),"---")</f>
        <v>Manual</v>
      </c>
      <c r="AA405" s="14" t="str">
        <f>IFERROR(VLOOKUP(CLEAN($V405),'All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05" s="14" t="str">
        <f>IFERROR(VLOOKUP(CLEAN($V405),'All Security Controls'!$A:$I,8, FALSE),"---")</f>
        <v>POA&amp;M</v>
      </c>
      <c r="AC405" s="14" t="str">
        <f>IFERROR(VLOOKUP(CLEAN($V405),'All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05" s="26">
        <v>404</v>
      </c>
    </row>
    <row r="406" spans="1:30" s="10" customFormat="1">
      <c r="A406"/>
      <c r="B406"/>
      <c r="C406"/>
      <c r="D406"/>
      <c r="E406"/>
      <c r="F406"/>
      <c r="G406"/>
      <c r="H406"/>
      <c r="I406"/>
      <c r="J406"/>
      <c r="K406"/>
      <c r="L406"/>
      <c r="M406"/>
      <c r="N406"/>
      <c r="O406"/>
      <c r="P406"/>
      <c r="Q406"/>
      <c r="R406"/>
      <c r="S406"/>
      <c r="T406"/>
      <c r="V406" s="66" t="s">
        <v>420</v>
      </c>
      <c r="W406" s="16" t="str">
        <f>IFERROR(VLOOKUP(CLEAN($V406),'All Security Controls'!A:I, 2, FALSE),"---")</f>
        <v xml:space="preserve">Secure Name / Address Resolution Service (Recursive Or Caching Resolver) </v>
      </c>
      <c r="X406" s="14" t="str">
        <f>IFERROR(VLOOKUP(CLEAN($V406),'All Security Controls'!$A:$I, 4, FALSE),"---")</f>
        <v>CRWG Yellow Criticality Control</v>
      </c>
      <c r="Y406" s="14" t="str">
        <f>IFERROR(VLOOKUP(CLEAN($V406),'All Security Controls'!$A:$I,5, FALSE),"---")</f>
        <v>Quarterly</v>
      </c>
      <c r="Z406" s="14" t="str">
        <f>IFERROR(VLOOKUP(CLEAN($V406),'All Security Controls'!$A:$I,6, FALSE),"---")</f>
        <v>Manual</v>
      </c>
      <c r="AA406" s="14" t="str">
        <f>IFERROR(VLOOKUP(CLEAN($V406),'All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06" s="14" t="str">
        <f>IFERROR(VLOOKUP(CLEAN($V406),'All Security Controls'!$A:$I,8, FALSE),"---")</f>
        <v>POA&amp;M</v>
      </c>
      <c r="AC406" s="14" t="str">
        <f>IFERROR(VLOOKUP(CLEAN($V406),'All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06" s="26">
        <v>405</v>
      </c>
    </row>
    <row r="407" spans="1:30" s="10" customFormat="1">
      <c r="A407"/>
      <c r="B407"/>
      <c r="C407"/>
      <c r="D407"/>
      <c r="E407"/>
      <c r="F407"/>
      <c r="G407"/>
      <c r="H407"/>
      <c r="I407"/>
      <c r="J407"/>
      <c r="K407"/>
      <c r="L407"/>
      <c r="M407"/>
      <c r="N407"/>
      <c r="O407"/>
      <c r="P407"/>
      <c r="Q407"/>
      <c r="R407"/>
      <c r="S407"/>
      <c r="T407"/>
      <c r="V407" s="66" t="s">
        <v>421</v>
      </c>
      <c r="W407" s="16" t="str">
        <f>IFERROR(VLOOKUP(CLEAN($V407),'All Security Controls'!A:I, 2, FALSE),"---")</f>
        <v xml:space="preserve">Architecture And Provisioning For Name / Address Resolution Service </v>
      </c>
      <c r="X407" s="14" t="str">
        <f>IFERROR(VLOOKUP(CLEAN($V407),'All Security Controls'!$A:$I, 4, FALSE),"---")</f>
        <v>CRWG White Criticality Control</v>
      </c>
      <c r="Y407" s="14" t="str">
        <f>IFERROR(VLOOKUP(CLEAN($V407),'All Security Controls'!$A:$I,5, FALSE),"---")</f>
        <v>Annually</v>
      </c>
      <c r="Z407" s="14" t="str">
        <f>IFERROR(VLOOKUP(CLEAN($V407),'All Security Controls'!$A:$I,6, FALSE),"---")</f>
        <v>Manual</v>
      </c>
      <c r="AA407" s="14" t="str">
        <f>IFERROR(VLOOKUP(CLEAN($V407),'All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07" s="14" t="str">
        <f>IFERROR(VLOOKUP(CLEAN($V407),'All Security Controls'!$A:$I,8, FALSE),"---")</f>
        <v>POA&amp;M</v>
      </c>
      <c r="AC407" s="14" t="str">
        <f>IFERROR(VLOOKUP(CLEAN($V407),'All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07" s="26">
        <v>406</v>
      </c>
    </row>
    <row r="408" spans="1:30" s="10" customFormat="1">
      <c r="A408"/>
      <c r="B408"/>
      <c r="C408"/>
      <c r="D408"/>
      <c r="E408"/>
      <c r="F408"/>
      <c r="G408"/>
      <c r="H408"/>
      <c r="I408"/>
      <c r="J408"/>
      <c r="K408"/>
      <c r="L408"/>
      <c r="M408"/>
      <c r="N408"/>
      <c r="O408"/>
      <c r="P408"/>
      <c r="Q408"/>
      <c r="R408"/>
      <c r="S408"/>
      <c r="T408"/>
      <c r="V408" s="66" t="s">
        <v>422</v>
      </c>
      <c r="W408" s="16" t="str">
        <f>IFERROR(VLOOKUP(CLEAN($V408),'All Security Controls'!A:I, 2, FALSE),"---")</f>
        <v xml:space="preserve">Session Authenticity </v>
      </c>
      <c r="X408" s="14" t="str">
        <f>IFERROR(VLOOKUP(CLEAN($V408),'All Security Controls'!$A:$I, 4, FALSE),"---")</f>
        <v>CRWG Yellow Criticality Control</v>
      </c>
      <c r="Y408" s="14" t="str">
        <f>IFERROR(VLOOKUP(CLEAN($V408),'All Security Controls'!$A:$I,5, FALSE),"---")</f>
        <v>Annually</v>
      </c>
      <c r="Z408" s="14" t="str">
        <f>IFERROR(VLOOKUP(CLEAN($V408),'All Security Controls'!$A:$I,6, FALSE),"---")</f>
        <v>Manual</v>
      </c>
      <c r="AA408" s="14" t="str">
        <f>IFERROR(VLOOKUP(CLEAN($V408),'All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08" s="14" t="str">
        <f>IFERROR(VLOOKUP(CLEAN($V408),'All Security Controls'!$A:$I,8, FALSE),"---")</f>
        <v>POA&amp;M</v>
      </c>
      <c r="AC408" s="14" t="str">
        <f>IFERROR(VLOOKUP(CLEAN($V408),'All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08" s="26">
        <v>407</v>
      </c>
    </row>
    <row r="409" spans="1:30" s="10" customFormat="1">
      <c r="A409"/>
      <c r="B409"/>
      <c r="C409"/>
      <c r="D409"/>
      <c r="E409"/>
      <c r="F409"/>
      <c r="G409"/>
      <c r="H409"/>
      <c r="I409"/>
      <c r="J409"/>
      <c r="K409"/>
      <c r="L409"/>
      <c r="M409"/>
      <c r="N409"/>
      <c r="O409"/>
      <c r="P409"/>
      <c r="Q409"/>
      <c r="R409"/>
      <c r="S409"/>
      <c r="T409"/>
      <c r="V409" s="66" t="s">
        <v>423</v>
      </c>
      <c r="W409" s="16" t="str">
        <f>IFERROR(VLOOKUP(CLEAN($V409),'All Security Controls'!A:I, 2, FALSE),"---")</f>
        <v>Session Authenticity | Invalidate Session Identifiers at Logout</v>
      </c>
      <c r="X409" s="14" t="str">
        <f>IFERROR(VLOOKUP(CLEAN($V409),'All Security Controls'!$A:$I, 4, FALSE),"---")</f>
        <v>CRWG White Criticality Control</v>
      </c>
      <c r="Y409" s="14" t="str">
        <f>IFERROR(VLOOKUP(CLEAN($V409),'All Security Controls'!$A:$I,5, FALSE),"---")</f>
        <v>Annually</v>
      </c>
      <c r="Z409" s="14" t="str">
        <f>IFERROR(VLOOKUP(CLEAN($V409),'All Security Controls'!$A:$I,6, FALSE),"---")</f>
        <v>Manual</v>
      </c>
      <c r="AA409" s="14" t="str">
        <f>IFERROR(VLOOKUP(CLEAN($V409),'All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09" s="14" t="str">
        <f>IFERROR(VLOOKUP(CLEAN($V409),'All Security Controls'!$A:$I,8, FALSE),"---")</f>
        <v>POA&amp;M</v>
      </c>
      <c r="AC409" s="14" t="str">
        <f>IFERROR(VLOOKUP(CLEAN($V409),'All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09" s="26">
        <v>408</v>
      </c>
    </row>
    <row r="410" spans="1:30" s="10" customFormat="1">
      <c r="A410"/>
      <c r="B410"/>
      <c r="C410"/>
      <c r="D410"/>
      <c r="E410"/>
      <c r="F410"/>
      <c r="G410"/>
      <c r="H410"/>
      <c r="I410"/>
      <c r="J410"/>
      <c r="K410"/>
      <c r="L410"/>
      <c r="M410"/>
      <c r="N410"/>
      <c r="O410"/>
      <c r="P410"/>
      <c r="Q410"/>
      <c r="R410"/>
      <c r="S410"/>
      <c r="T410"/>
      <c r="V410" s="66" t="s">
        <v>424</v>
      </c>
      <c r="W410" s="16" t="str">
        <f>IFERROR(VLOOKUP(CLEAN($V410),'All Security Controls'!A:I, 2, FALSE),"---")</f>
        <v>Session Authenticity | Unique Session Identifiers with Randomization</v>
      </c>
      <c r="X410" s="14" t="str">
        <f>IFERROR(VLOOKUP(CLEAN($V410),'All Security Controls'!$A:$I, 4, FALSE),"---")</f>
        <v>CRWG Yellow Criticality Control</v>
      </c>
      <c r="Y410" s="14" t="str">
        <f>IFERROR(VLOOKUP(CLEAN($V410),'All Security Controls'!$A:$I,5, FALSE),"---")</f>
        <v>Annually</v>
      </c>
      <c r="Z410" s="14" t="str">
        <f>IFERROR(VLOOKUP(CLEAN($V410),'All Security Controls'!$A:$I,6, FALSE),"---")</f>
        <v>Manual</v>
      </c>
      <c r="AA410" s="14" t="str">
        <f>IFERROR(VLOOKUP(CLEAN($V410),'All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10" s="14" t="str">
        <f>IFERROR(VLOOKUP(CLEAN($V410),'All Security Controls'!$A:$I,8, FALSE),"---")</f>
        <v>POA&amp;M</v>
      </c>
      <c r="AC410" s="14" t="str">
        <f>IFERROR(VLOOKUP(CLEAN($V410),'All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10" s="26">
        <v>409</v>
      </c>
    </row>
    <row r="411" spans="1:30" s="10" customFormat="1">
      <c r="A411"/>
      <c r="B411"/>
      <c r="C411"/>
      <c r="D411"/>
      <c r="E411"/>
      <c r="F411"/>
      <c r="G411"/>
      <c r="H411"/>
      <c r="I411"/>
      <c r="J411"/>
      <c r="K411"/>
      <c r="L411"/>
      <c r="M411"/>
      <c r="N411"/>
      <c r="O411"/>
      <c r="P411"/>
      <c r="Q411"/>
      <c r="R411"/>
      <c r="S411"/>
      <c r="T411"/>
      <c r="V411" s="66" t="s">
        <v>425</v>
      </c>
      <c r="W411" s="16" t="str">
        <f>IFERROR(VLOOKUP(CLEAN($V411),'All Security Controls'!A:I, 2, FALSE),"---")</f>
        <v>Session Authenticity | Allowed Certificate Authorities</v>
      </c>
      <c r="X411" s="14" t="str">
        <f>IFERROR(VLOOKUP(CLEAN($V411),'All Security Controls'!$A:$I, 4, FALSE),"---")</f>
        <v>CRWG Yellow Criticality Control</v>
      </c>
      <c r="Y411" s="14" t="str">
        <f>IFERROR(VLOOKUP(CLEAN($V411),'All Security Controls'!$A:$I,5, FALSE),"---")</f>
        <v>Annually</v>
      </c>
      <c r="Z411" s="14" t="str">
        <f>IFERROR(VLOOKUP(CLEAN($V411),'All Security Controls'!$A:$I,6, FALSE),"---")</f>
        <v>Manual</v>
      </c>
      <c r="AA411" s="14" t="str">
        <f>IFERROR(VLOOKUP(CLEAN($V411),'All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11" s="14" t="str">
        <f>IFERROR(VLOOKUP(CLEAN($V411),'All Security Controls'!$A:$I,8, FALSE),"---")</f>
        <v>POA&amp;M</v>
      </c>
      <c r="AC411" s="14" t="str">
        <f>IFERROR(VLOOKUP(CLEAN($V411),'All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11" s="26">
        <v>410</v>
      </c>
    </row>
    <row r="412" spans="1:30" s="10" customFormat="1">
      <c r="A412"/>
      <c r="B412"/>
      <c r="C412"/>
      <c r="D412"/>
      <c r="E412"/>
      <c r="F412"/>
      <c r="G412"/>
      <c r="H412"/>
      <c r="I412"/>
      <c r="J412"/>
      <c r="K412"/>
      <c r="L412"/>
      <c r="M412"/>
      <c r="N412"/>
      <c r="O412"/>
      <c r="P412"/>
      <c r="Q412"/>
      <c r="R412"/>
      <c r="S412"/>
      <c r="T412"/>
      <c r="V412" s="66" t="s">
        <v>426</v>
      </c>
      <c r="W412" s="16" t="str">
        <f>IFERROR(VLOOKUP(CLEAN($V412),'All Security Controls'!A:I, 2, FALSE),"---")</f>
        <v xml:space="preserve">Fail In Known State </v>
      </c>
      <c r="X412" s="14" t="str">
        <f>IFERROR(VLOOKUP(CLEAN($V412),'All Security Controls'!$A:$I, 4, FALSE),"---")</f>
        <v>CRWG Yellow Criticality Control</v>
      </c>
      <c r="Y412" s="14" t="str">
        <f>IFERROR(VLOOKUP(CLEAN($V412),'All Security Controls'!$A:$I,5, FALSE),"---")</f>
        <v>Annually</v>
      </c>
      <c r="Z412" s="14" t="str">
        <f>IFERROR(VLOOKUP(CLEAN($V412),'All Security Controls'!$A:$I,6, FALSE),"---")</f>
        <v>Manual</v>
      </c>
      <c r="AA412" s="14" t="str">
        <f>IFERROR(VLOOKUP(CLEAN($V412),'All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12" s="14" t="str">
        <f>IFERROR(VLOOKUP(CLEAN($V412),'All Security Controls'!$A:$I,8, FALSE),"---")</f>
        <v>POA&amp;M</v>
      </c>
      <c r="AC412" s="14" t="str">
        <f>IFERROR(VLOOKUP(CLEAN($V412),'All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12" s="26">
        <v>411</v>
      </c>
    </row>
    <row r="413" spans="1:30" s="10" customFormat="1">
      <c r="A413"/>
      <c r="B413"/>
      <c r="C413"/>
      <c r="D413"/>
      <c r="E413"/>
      <c r="F413"/>
      <c r="G413"/>
      <c r="H413"/>
      <c r="I413"/>
      <c r="J413"/>
      <c r="K413"/>
      <c r="L413"/>
      <c r="M413"/>
      <c r="N413"/>
      <c r="O413"/>
      <c r="P413"/>
      <c r="Q413"/>
      <c r="R413"/>
      <c r="S413"/>
      <c r="T413"/>
      <c r="V413" s="66" t="s">
        <v>427</v>
      </c>
      <c r="W413" s="16" t="str">
        <f>IFERROR(VLOOKUP(CLEAN($V413),'All Security Controls'!A:I, 2, FALSE),"---")</f>
        <v xml:space="preserve">Protection Of Information At Rest </v>
      </c>
      <c r="X413" s="14" t="str">
        <f>IFERROR(VLOOKUP(CLEAN($V413),'All Security Controls'!$A:$I, 4, FALSE),"---")</f>
        <v>CRWG Yellow Criticality Control</v>
      </c>
      <c r="Y413" s="14" t="str">
        <f>IFERROR(VLOOKUP(CLEAN($V413),'All Security Controls'!$A:$I,5, FALSE),"---")</f>
        <v>Constantly</v>
      </c>
      <c r="Z413" s="14" t="str">
        <f>IFERROR(VLOOKUP(CLEAN($V413),'All Security Controls'!$A:$I,6, FALSE),"---")</f>
        <v>Automated</v>
      </c>
      <c r="AA413" s="14" t="str">
        <f>IFERROR(VLOOKUP(CLEAN($V413),'All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13" s="14" t="str">
        <f>IFERROR(VLOOKUP(CLEAN($V413),'All Security Controls'!$A:$I,8, FALSE),"---")</f>
        <v>DAR</v>
      </c>
      <c r="AC413" s="14" t="str">
        <f>IFERROR(VLOOKUP(CLEAN($V413),'All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13" s="26">
        <v>412</v>
      </c>
    </row>
    <row r="414" spans="1:30" s="10" customFormat="1">
      <c r="A414"/>
      <c r="B414"/>
      <c r="C414"/>
      <c r="D414"/>
      <c r="E414"/>
      <c r="F414"/>
      <c r="G414"/>
      <c r="H414"/>
      <c r="I414"/>
      <c r="J414"/>
      <c r="K414"/>
      <c r="L414"/>
      <c r="M414"/>
      <c r="N414"/>
      <c r="O414"/>
      <c r="P414"/>
      <c r="Q414"/>
      <c r="R414"/>
      <c r="S414"/>
      <c r="T414"/>
      <c r="V414" s="66" t="s">
        <v>428</v>
      </c>
      <c r="W414" s="16" t="str">
        <f>IFERROR(VLOOKUP(CLEAN($V414),'All Security Controls'!A:I, 2, FALSE),"---")</f>
        <v>Protection Of Information At Rest | Cryptographic Protection</v>
      </c>
      <c r="X414" s="14" t="str">
        <f>IFERROR(VLOOKUP(CLEAN($V414),'All Security Controls'!$A:$I, 4, FALSE),"---")</f>
        <v>CRWG White Criticality Control</v>
      </c>
      <c r="Y414" s="14" t="str">
        <f>IFERROR(VLOOKUP(CLEAN($V414),'All Security Controls'!$A:$I,5, FALSE),"---")</f>
        <v>Annually</v>
      </c>
      <c r="Z414" s="14" t="str">
        <f>IFERROR(VLOOKUP(CLEAN($V414),'All Security Controls'!$A:$I,6, FALSE),"---")</f>
        <v>Manual</v>
      </c>
      <c r="AA414" s="14" t="str">
        <f>IFERROR(VLOOKUP(CLEAN($V414),'All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14" s="14" t="str">
        <f>IFERROR(VLOOKUP(CLEAN($V414),'All Security Controls'!$A:$I,8, FALSE),"---")</f>
        <v>POA&amp;M</v>
      </c>
      <c r="AC414" s="14" t="str">
        <f>IFERROR(VLOOKUP(CLEAN($V414),'All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14" s="26">
        <v>413</v>
      </c>
    </row>
    <row r="415" spans="1:30" s="10" customFormat="1">
      <c r="A415"/>
      <c r="B415"/>
      <c r="C415"/>
      <c r="D415"/>
      <c r="E415"/>
      <c r="F415"/>
      <c r="G415"/>
      <c r="H415"/>
      <c r="I415"/>
      <c r="J415"/>
      <c r="K415"/>
      <c r="L415"/>
      <c r="M415"/>
      <c r="N415"/>
      <c r="O415"/>
      <c r="P415"/>
      <c r="Q415"/>
      <c r="R415"/>
      <c r="S415"/>
      <c r="T415"/>
      <c r="V415" s="66" t="s">
        <v>429</v>
      </c>
      <c r="W415" s="16" t="str">
        <f>IFERROR(VLOOKUP(CLEAN($V415),'All Security Controls'!A:I, 2, FALSE),"---")</f>
        <v>Operations Security</v>
      </c>
      <c r="X415" s="14" t="str">
        <f>IFERROR(VLOOKUP(CLEAN($V415),'All Security Controls'!$A:$I, 4, FALSE),"---")</f>
        <v>CRWG White Criticality Control</v>
      </c>
      <c r="Y415" s="14" t="str">
        <f>IFERROR(VLOOKUP(CLEAN($V415),'All Security Controls'!$A:$I,5, FALSE),"---")</f>
        <v>Annually</v>
      </c>
      <c r="Z415" s="14" t="str">
        <f>IFERROR(VLOOKUP(CLEAN($V415),'All Security Controls'!$A:$I,6, FALSE),"---")</f>
        <v>Manual</v>
      </c>
      <c r="AA415" s="14" t="str">
        <f>IFERROR(VLOOKUP(CLEAN($V415),'All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15" s="14" t="str">
        <f>IFERROR(VLOOKUP(CLEAN($V415),'All Security Controls'!$A:$I,8, FALSE),"---")</f>
        <v>POA&amp;M</v>
      </c>
      <c r="AC415" s="14" t="str">
        <f>IFERROR(VLOOKUP(CLEAN($V415),'All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15" s="26">
        <v>414</v>
      </c>
    </row>
    <row r="416" spans="1:30" s="10" customFormat="1">
      <c r="A416"/>
      <c r="B416"/>
      <c r="C416"/>
      <c r="D416"/>
      <c r="E416"/>
      <c r="F416"/>
      <c r="G416"/>
      <c r="H416"/>
      <c r="I416"/>
      <c r="J416"/>
      <c r="K416"/>
      <c r="L416"/>
      <c r="M416"/>
      <c r="N416"/>
      <c r="O416"/>
      <c r="P416"/>
      <c r="Q416"/>
      <c r="R416"/>
      <c r="S416"/>
      <c r="T416"/>
      <c r="V416" s="66" t="s">
        <v>430</v>
      </c>
      <c r="W416" s="16" t="str">
        <f>IFERROR(VLOOKUP(CLEAN($V416),'All Security Controls'!A:I, 2, FALSE),"---")</f>
        <v>Process Isolation</v>
      </c>
      <c r="X416" s="14" t="str">
        <f>IFERROR(VLOOKUP(CLEAN($V416),'All Security Controls'!$A:$I, 4, FALSE),"---")</f>
        <v>CRWG White Criticality Control</v>
      </c>
      <c r="Y416" s="14" t="str">
        <f>IFERROR(VLOOKUP(CLEAN($V416),'All Security Controls'!$A:$I,5, FALSE),"---")</f>
        <v>Annually</v>
      </c>
      <c r="Z416" s="14" t="str">
        <f>IFERROR(VLOOKUP(CLEAN($V416),'All Security Controls'!$A:$I,6, FALSE),"---")</f>
        <v>Manual</v>
      </c>
      <c r="AA416" s="14" t="str">
        <f>IFERROR(VLOOKUP(CLEAN($V416),'All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16" s="14" t="str">
        <f>IFERROR(VLOOKUP(CLEAN($V416),'All Security Controls'!$A:$I,8, FALSE),"---")</f>
        <v>POA&amp;M</v>
      </c>
      <c r="AC416" s="14" t="str">
        <f>IFERROR(VLOOKUP(CLEAN($V416),'All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16" s="26">
        <v>415</v>
      </c>
    </row>
    <row r="417" spans="1:30" s="10" customFormat="1">
      <c r="A417"/>
      <c r="B417"/>
      <c r="C417"/>
      <c r="D417"/>
      <c r="E417"/>
      <c r="F417"/>
      <c r="G417"/>
      <c r="H417"/>
      <c r="I417"/>
      <c r="J417"/>
      <c r="K417"/>
      <c r="L417"/>
      <c r="M417"/>
      <c r="N417"/>
      <c r="O417"/>
      <c r="P417"/>
      <c r="Q417"/>
      <c r="R417"/>
      <c r="S417"/>
      <c r="T417"/>
      <c r="V417" s="66" t="s">
        <v>431</v>
      </c>
      <c r="W417" s="16" t="str">
        <f>IFERROR(VLOOKUP(CLEAN($V417),'All Security Controls'!A:I, 2, FALSE),"---")</f>
        <v>Inventory of Personally Identifiable Information</v>
      </c>
      <c r="X417" s="14" t="str">
        <f>IFERROR(VLOOKUP(CLEAN($V417),'All Security Controls'!$A:$I, 4, FALSE),"---")</f>
        <v>CRWG White Criticality Control</v>
      </c>
      <c r="Y417" s="14" t="str">
        <f>IFERROR(VLOOKUP(CLEAN($V417),'All Security Controls'!$A:$I,5, FALSE),"---")</f>
        <v>Annually</v>
      </c>
      <c r="Z417" s="14" t="str">
        <f>IFERROR(VLOOKUP(CLEAN($V417),'All Security Controls'!$A:$I,6, FALSE),"---")</f>
        <v>Manual</v>
      </c>
      <c r="AA417" s="14" t="str">
        <f>IFERROR(VLOOKUP(CLEAN($V417),'All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17" s="14" t="str">
        <f>IFERROR(VLOOKUP(CLEAN($V417),'All Security Controls'!$A:$I,8, FALSE),"---")</f>
        <v>POA&amp;M</v>
      </c>
      <c r="AC417" s="14" t="str">
        <f>IFERROR(VLOOKUP(CLEAN($V417),'All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17" s="26">
        <v>416</v>
      </c>
    </row>
    <row r="418" spans="1:30" s="10" customFormat="1">
      <c r="A418"/>
      <c r="B418"/>
      <c r="C418"/>
      <c r="D418"/>
      <c r="E418"/>
      <c r="F418"/>
      <c r="G418"/>
      <c r="H418"/>
      <c r="I418"/>
      <c r="J418"/>
      <c r="K418"/>
      <c r="L418"/>
      <c r="M418"/>
      <c r="N418"/>
      <c r="O418"/>
      <c r="P418"/>
      <c r="Q418"/>
      <c r="R418"/>
      <c r="S418"/>
      <c r="T418"/>
      <c r="V418" s="66" t="s">
        <v>432</v>
      </c>
      <c r="W418" s="16" t="str">
        <f>IFERROR(VLOOKUP(CLEAN($V418),'All Security Controls'!A:I, 2, FALSE),"---")</f>
        <v>Privacy Incident Response</v>
      </c>
      <c r="X418" s="14" t="str">
        <f>IFERROR(VLOOKUP(CLEAN($V418),'All Security Controls'!$A:$I, 4, FALSE),"---")</f>
        <v>CRWG White Criticality Control</v>
      </c>
      <c r="Y418" s="14" t="str">
        <f>IFERROR(VLOOKUP(CLEAN($V418),'All Security Controls'!$A:$I,5, FALSE),"---")</f>
        <v>Annually</v>
      </c>
      <c r="Z418" s="14" t="str">
        <f>IFERROR(VLOOKUP(CLEAN($V418),'All Security Controls'!$A:$I,6, FALSE),"---")</f>
        <v>Manual</v>
      </c>
      <c r="AA418" s="14" t="str">
        <f>IFERROR(VLOOKUP(CLEAN($V418),'All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18" s="14" t="str">
        <f>IFERROR(VLOOKUP(CLEAN($V418),'All Security Controls'!$A:$I,8, FALSE),"---")</f>
        <v>POA&amp;M</v>
      </c>
      <c r="AC418" s="14" t="str">
        <f>IFERROR(VLOOKUP(CLEAN($V418),'All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18" s="26">
        <v>417</v>
      </c>
    </row>
    <row r="419" spans="1:30" s="10" customFormat="1">
      <c r="A419"/>
      <c r="B419"/>
      <c r="C419"/>
      <c r="D419"/>
      <c r="E419"/>
      <c r="F419"/>
      <c r="G419"/>
      <c r="H419"/>
      <c r="I419"/>
      <c r="J419"/>
      <c r="K419"/>
      <c r="L419"/>
      <c r="M419"/>
      <c r="N419"/>
      <c r="O419"/>
      <c r="P419"/>
      <c r="Q419"/>
      <c r="R419"/>
      <c r="S419"/>
      <c r="T419"/>
      <c r="V419" s="66" t="s">
        <v>433</v>
      </c>
      <c r="W419" s="16" t="str">
        <f>IFERROR(VLOOKUP(CLEAN($V419),'All Security Controls'!A:I, 2, FALSE),"---")</f>
        <v xml:space="preserve">System And Information Integrity Policy And Procedures </v>
      </c>
      <c r="X419" s="14" t="str">
        <f>IFERROR(VLOOKUP(CLEAN($V419),'All Security Controls'!$A:$I, 4, FALSE),"---")</f>
        <v>CRWG White Criticality Control</v>
      </c>
      <c r="Y419" s="14" t="str">
        <f>IFERROR(VLOOKUP(CLEAN($V419),'All Security Controls'!$A:$I,5, FALSE),"---")</f>
        <v>Annually</v>
      </c>
      <c r="Z419" s="14" t="str">
        <f>IFERROR(VLOOKUP(CLEAN($V419),'All Security Controls'!$A:$I,6, FALSE),"---")</f>
        <v>Manual</v>
      </c>
      <c r="AA419" s="14" t="str">
        <f>IFERROR(VLOOKUP(CLEAN($V419),'All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19" s="14" t="str">
        <f>IFERROR(VLOOKUP(CLEAN($V419),'All Security Controls'!$A:$I,8, FALSE),"---")</f>
        <v>POA&amp;M</v>
      </c>
      <c r="AC419" s="14" t="str">
        <f>IFERROR(VLOOKUP(CLEAN($V419),'All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19" s="26">
        <v>418</v>
      </c>
    </row>
    <row r="420" spans="1:30" s="10" customFormat="1">
      <c r="A420"/>
      <c r="B420"/>
      <c r="C420"/>
      <c r="D420"/>
      <c r="E420"/>
      <c r="F420"/>
      <c r="G420"/>
      <c r="H420"/>
      <c r="I420"/>
      <c r="J420"/>
      <c r="K420"/>
      <c r="L420"/>
      <c r="M420"/>
      <c r="N420"/>
      <c r="O420"/>
      <c r="P420"/>
      <c r="Q420"/>
      <c r="R420"/>
      <c r="S420"/>
      <c r="T420"/>
      <c r="V420" s="66" t="s">
        <v>434</v>
      </c>
      <c r="W420" s="16" t="str">
        <f>IFERROR(VLOOKUP(CLEAN($V420),'All Security Controls'!A:I, 2, FALSE),"---")</f>
        <v xml:space="preserve">Flaw Remediation </v>
      </c>
      <c r="X420" s="14" t="str">
        <f>IFERROR(VLOOKUP(CLEAN($V420),'All Security Controls'!$A:$I, 4, FALSE),"---")</f>
        <v>CRWG Yellow Criticality Control</v>
      </c>
      <c r="Y420" s="14" t="str">
        <f>IFERROR(VLOOKUP(CLEAN($V420),'All Security Controls'!$A:$I,5, FALSE),"---")</f>
        <v>Constantly</v>
      </c>
      <c r="Z420" s="14" t="str">
        <f>IFERROR(VLOOKUP(CLEAN($V420),'All Security Controls'!$A:$I,6, FALSE),"---")</f>
        <v>Manual</v>
      </c>
      <c r="AA420" s="14" t="str">
        <f>IFERROR(VLOOKUP(CLEAN($V420),'All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20" s="14" t="str">
        <f>IFERROR(VLOOKUP(CLEAN($V420),'All Security Controls'!$A:$I,8, FALSE),"---")</f>
        <v>POA&amp;M</v>
      </c>
      <c r="AC420" s="14" t="str">
        <f>IFERROR(VLOOKUP(CLEAN($V420),'All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20" s="26">
        <v>419</v>
      </c>
    </row>
    <row r="421" spans="1:30" s="10" customFormat="1">
      <c r="A421"/>
      <c r="B421"/>
      <c r="C421"/>
      <c r="D421"/>
      <c r="E421"/>
      <c r="F421"/>
      <c r="G421"/>
      <c r="H421"/>
      <c r="I421"/>
      <c r="J421"/>
      <c r="K421"/>
      <c r="L421"/>
      <c r="M421"/>
      <c r="N421"/>
      <c r="O421"/>
      <c r="P421"/>
      <c r="Q421"/>
      <c r="R421"/>
      <c r="S421"/>
      <c r="T421"/>
      <c r="V421" s="66" t="s">
        <v>435</v>
      </c>
      <c r="W421" s="16" t="str">
        <f>IFERROR(VLOOKUP(CLEAN($V421),'All Security Controls'!A:I, 2, FALSE),"---")</f>
        <v>Flaw Remediation | Central Management</v>
      </c>
      <c r="X421" s="14" t="str">
        <f>IFERROR(VLOOKUP(CLEAN($V421),'All Security Controls'!$A:$I, 4, FALSE),"---")</f>
        <v>CRWG White Criticality Control</v>
      </c>
      <c r="Y421" s="14" t="str">
        <f>IFERROR(VLOOKUP(CLEAN($V421),'All Security Controls'!$A:$I,5, FALSE),"---")</f>
        <v>Annually</v>
      </c>
      <c r="Z421" s="14" t="str">
        <f>IFERROR(VLOOKUP(CLEAN($V421),'All Security Controls'!$A:$I,6, FALSE),"---")</f>
        <v>Manual</v>
      </c>
      <c r="AA421" s="14" t="str">
        <f>IFERROR(VLOOKUP(CLEAN($V421),'All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21" s="14" t="str">
        <f>IFERROR(VLOOKUP(CLEAN($V421),'All Security Controls'!$A:$I,8, FALSE),"---")</f>
        <v>POA&amp;M</v>
      </c>
      <c r="AC421" s="14" t="str">
        <f>IFERROR(VLOOKUP(CLEAN($V421),'All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21" s="26">
        <v>420</v>
      </c>
    </row>
    <row r="422" spans="1:30" s="10" customFormat="1">
      <c r="A422"/>
      <c r="B422"/>
      <c r="C422"/>
      <c r="D422"/>
      <c r="E422"/>
      <c r="F422"/>
      <c r="G422"/>
      <c r="H422"/>
      <c r="I422"/>
      <c r="J422"/>
      <c r="K422"/>
      <c r="L422"/>
      <c r="M422"/>
      <c r="N422"/>
      <c r="O422"/>
      <c r="P422"/>
      <c r="Q422"/>
      <c r="R422"/>
      <c r="S422"/>
      <c r="T422"/>
      <c r="V422" s="66" t="s">
        <v>436</v>
      </c>
      <c r="W422" s="16" t="str">
        <f>IFERROR(VLOOKUP(CLEAN($V422),'All Security Controls'!A:I, 2, FALSE),"---")</f>
        <v>Flaw Remediation | Automated Flaw Remediation Status</v>
      </c>
      <c r="X422" s="14" t="str">
        <f>IFERROR(VLOOKUP(CLEAN($V422),'All Security Controls'!$A:$I, 4, FALSE),"---")</f>
        <v>CRWG Yellow Criticality Control</v>
      </c>
      <c r="Y422" s="14" t="str">
        <f>IFERROR(VLOOKUP(CLEAN($V422),'All Security Controls'!$A:$I,5, FALSE),"---")</f>
        <v>Constantly</v>
      </c>
      <c r="Z422" s="14" t="str">
        <f>IFERROR(VLOOKUP(CLEAN($V422),'All Security Controls'!$A:$I,6, FALSE),"---")</f>
        <v>Manual</v>
      </c>
      <c r="AA422" s="14" t="str">
        <f>IFERROR(VLOOKUP(CLEAN($V422),'All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22" s="14" t="str">
        <f>IFERROR(VLOOKUP(CLEAN($V422),'All Security Controls'!$A:$I,8, FALSE),"---")</f>
        <v>POA&amp;M</v>
      </c>
      <c r="AC422" s="14" t="str">
        <f>IFERROR(VLOOKUP(CLEAN($V422),'All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22" s="26">
        <v>421</v>
      </c>
    </row>
    <row r="423" spans="1:30" s="10" customFormat="1">
      <c r="A423"/>
      <c r="B423"/>
      <c r="C423"/>
      <c r="D423"/>
      <c r="E423"/>
      <c r="F423"/>
      <c r="G423"/>
      <c r="H423"/>
      <c r="I423"/>
      <c r="J423"/>
      <c r="K423"/>
      <c r="L423"/>
      <c r="M423"/>
      <c r="N423"/>
      <c r="O423"/>
      <c r="P423"/>
      <c r="Q423"/>
      <c r="R423"/>
      <c r="S423"/>
      <c r="T423"/>
      <c r="V423" s="66" t="s">
        <v>437</v>
      </c>
      <c r="W423" s="16" t="str">
        <f>IFERROR(VLOOKUP(CLEAN($V423),'All Security Controls'!A:I, 2, FALSE),"---")</f>
        <v xml:space="preserve">Flaw Remediation | Benchmarks for Corrective Actions </v>
      </c>
      <c r="X423" s="14" t="str">
        <f>IFERROR(VLOOKUP(CLEAN($V423),'All Security Controls'!$A:$I, 4, FALSE),"---")</f>
        <v>CRWG White Criticality Control</v>
      </c>
      <c r="Y423" s="14" t="str">
        <f>IFERROR(VLOOKUP(CLEAN($V423),'All Security Controls'!$A:$I,5, FALSE),"---")</f>
        <v>Annually</v>
      </c>
      <c r="Z423" s="14" t="str">
        <f>IFERROR(VLOOKUP(CLEAN($V423),'All Security Controls'!$A:$I,6, FALSE),"---")</f>
        <v>Manual</v>
      </c>
      <c r="AA423" s="14" t="str">
        <f>IFERROR(VLOOKUP(CLEAN($V423),'All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23" s="14" t="str">
        <f>IFERROR(VLOOKUP(CLEAN($V423),'All Security Controls'!$A:$I,8, FALSE),"---")</f>
        <v>POA&amp;M</v>
      </c>
      <c r="AC423" s="14" t="str">
        <f>IFERROR(VLOOKUP(CLEAN($V423),'All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23" s="26">
        <v>422</v>
      </c>
    </row>
    <row r="424" spans="1:30" s="10" customFormat="1">
      <c r="A424"/>
      <c r="B424"/>
      <c r="C424"/>
      <c r="D424"/>
      <c r="E424"/>
      <c r="F424"/>
      <c r="G424"/>
      <c r="H424"/>
      <c r="I424"/>
      <c r="J424"/>
      <c r="K424"/>
      <c r="L424"/>
      <c r="M424"/>
      <c r="N424"/>
      <c r="O424"/>
      <c r="P424"/>
      <c r="Q424"/>
      <c r="R424"/>
      <c r="S424"/>
      <c r="T424"/>
      <c r="V424" s="66" t="s">
        <v>438</v>
      </c>
      <c r="W424" s="16" t="str">
        <f>IFERROR(VLOOKUP(CLEAN($V424),'All Security Controls'!A:I, 2, FALSE),"---")</f>
        <v xml:space="preserve">Flaw Remediation | Removal of Previous Versions of Software/Firmware </v>
      </c>
      <c r="X424" s="14" t="str">
        <f>IFERROR(VLOOKUP(CLEAN($V424),'All Security Controls'!$A:$I, 4, FALSE),"---")</f>
        <v>CRWG Yellow Criticality Control</v>
      </c>
      <c r="Y424" s="14" t="str">
        <f>IFERROR(VLOOKUP(CLEAN($V424),'All Security Controls'!$A:$I,5, FALSE),"---")</f>
        <v>Constantly</v>
      </c>
      <c r="Z424" s="14" t="str">
        <f>IFERROR(VLOOKUP(CLEAN($V424),'All Security Controls'!$A:$I,6, FALSE),"---")</f>
        <v>Manual</v>
      </c>
      <c r="AA424" s="14" t="str">
        <f>IFERROR(VLOOKUP(CLEAN($V424),'All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24" s="14" t="str">
        <f>IFERROR(VLOOKUP(CLEAN($V424),'All Security Controls'!$A:$I,8, FALSE),"---")</f>
        <v>POA&amp;M</v>
      </c>
      <c r="AC424" s="14" t="str">
        <f>IFERROR(VLOOKUP(CLEAN($V424),'All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24" s="26">
        <v>423</v>
      </c>
    </row>
    <row r="425" spans="1:30" s="10" customFormat="1">
      <c r="A425"/>
      <c r="B425"/>
      <c r="C425"/>
      <c r="D425"/>
      <c r="E425"/>
      <c r="F425"/>
      <c r="G425"/>
      <c r="H425"/>
      <c r="I425"/>
      <c r="J425"/>
      <c r="K425"/>
      <c r="L425"/>
      <c r="M425"/>
      <c r="N425"/>
      <c r="O425"/>
      <c r="P425"/>
      <c r="Q425"/>
      <c r="R425"/>
      <c r="S425"/>
      <c r="T425"/>
      <c r="V425" s="66" t="s">
        <v>439</v>
      </c>
      <c r="W425" s="16" t="str">
        <f>IFERROR(VLOOKUP(CLEAN($V425),'All Security Controls'!A:I, 2, FALSE),"---")</f>
        <v xml:space="preserve">Malicious Code Protection </v>
      </c>
      <c r="X425" s="14" t="str">
        <f>IFERROR(VLOOKUP(CLEAN($V425),'All Security Controls'!$A:$I, 4, FALSE),"---")</f>
        <v>CRWG Red Criticality Control</v>
      </c>
      <c r="Y425" s="14" t="str">
        <f>IFERROR(VLOOKUP(CLEAN($V425),'All Security Controls'!$A:$I,5, FALSE),"---")</f>
        <v>Constantly</v>
      </c>
      <c r="Z425" s="14" t="str">
        <f>IFERROR(VLOOKUP(CLEAN($V425),'All Security Controls'!$A:$I,6, FALSE),"---")</f>
        <v>Automated</v>
      </c>
      <c r="AA425" s="14" t="str">
        <f>IFERROR(VLOOKUP(CLEAN($V425),'All Security Controls'!$A:$I,7, FALSE),"---")</f>
        <v>via telephone or high-priority e-mail, the System Owner reports the situation immediately and directly to the AO, while keeping the cybersecurity chain of command informed of status and response actions; if time permits, an authorization/connection decision recommendation is provided to the AO</v>
      </c>
      <c r="AB425" s="14" t="str">
        <f>IFERROR(VLOOKUP(CLEAN($V425),'All Security Controls'!$A:$I,8, FALSE),"---")</f>
        <v>HBSS</v>
      </c>
      <c r="AC425" s="14" t="str">
        <f>IFERROR(VLOOKUP(CLEAN($V425),'All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25" s="26">
        <v>424</v>
      </c>
    </row>
    <row r="426" spans="1:30" s="10" customFormat="1">
      <c r="A426"/>
      <c r="B426"/>
      <c r="C426"/>
      <c r="D426"/>
      <c r="E426"/>
      <c r="F426"/>
      <c r="G426"/>
      <c r="H426"/>
      <c r="I426"/>
      <c r="J426"/>
      <c r="K426"/>
      <c r="L426"/>
      <c r="M426"/>
      <c r="N426"/>
      <c r="O426"/>
      <c r="P426"/>
      <c r="Q426"/>
      <c r="R426"/>
      <c r="S426"/>
      <c r="T426"/>
      <c r="V426" s="66" t="s">
        <v>440</v>
      </c>
      <c r="W426" s="16" t="str">
        <f>IFERROR(VLOOKUP(CLEAN($V426),'All Security Controls'!A:I, 2, FALSE),"---")</f>
        <v>Malicious Code Protection | Central Management</v>
      </c>
      <c r="X426" s="14" t="str">
        <f>IFERROR(VLOOKUP(CLEAN($V426),'All Security Controls'!$A:$I, 4, FALSE),"---")</f>
        <v>CRWG Yellow Criticality Control</v>
      </c>
      <c r="Y426" s="14" t="str">
        <f>IFERROR(VLOOKUP(CLEAN($V426),'All Security Controls'!$A:$I,5, FALSE),"---")</f>
        <v>Constantly</v>
      </c>
      <c r="Z426" s="14" t="str">
        <f>IFERROR(VLOOKUP(CLEAN($V426),'All Security Controls'!$A:$I,6, FALSE),"---")</f>
        <v>Automated</v>
      </c>
      <c r="AA426" s="14" t="str">
        <f>IFERROR(VLOOKUP(CLEAN($V426),'All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26" s="14" t="str">
        <f>IFERROR(VLOOKUP(CLEAN($V426),'All Security Controls'!$A:$I,8, FALSE),"---")</f>
        <v>HBSS</v>
      </c>
      <c r="AC426" s="14" t="str">
        <f>IFERROR(VLOOKUP(CLEAN($V426),'All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26" s="26">
        <v>425</v>
      </c>
    </row>
    <row r="427" spans="1:30" s="10" customFormat="1">
      <c r="A427"/>
      <c r="B427"/>
      <c r="C427"/>
      <c r="D427"/>
      <c r="E427"/>
      <c r="F427"/>
      <c r="G427"/>
      <c r="H427"/>
      <c r="I427"/>
      <c r="J427"/>
      <c r="K427"/>
      <c r="L427"/>
      <c r="M427"/>
      <c r="N427"/>
      <c r="O427"/>
      <c r="P427"/>
      <c r="Q427"/>
      <c r="R427"/>
      <c r="S427"/>
      <c r="T427"/>
      <c r="V427" s="66" t="s">
        <v>441</v>
      </c>
      <c r="W427" s="16" t="str">
        <f>IFERROR(VLOOKUP(CLEAN($V427),'All Security Controls'!A:I, 2, FALSE),"---")</f>
        <v>Malicious Code Protection | Automatic Updates</v>
      </c>
      <c r="X427" s="14" t="str">
        <f>IFERROR(VLOOKUP(CLEAN($V427),'All Security Controls'!$A:$I, 4, FALSE),"---")</f>
        <v>CRWG Yellow Criticality Control</v>
      </c>
      <c r="Y427" s="14" t="str">
        <f>IFERROR(VLOOKUP(CLEAN($V427),'All Security Controls'!$A:$I,5, FALSE),"---")</f>
        <v>Constantly</v>
      </c>
      <c r="Z427" s="14" t="str">
        <f>IFERROR(VLOOKUP(CLEAN($V427),'All Security Controls'!$A:$I,6, FALSE),"---")</f>
        <v>Automated</v>
      </c>
      <c r="AA427" s="14" t="str">
        <f>IFERROR(VLOOKUP(CLEAN($V427),'All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27" s="14" t="str">
        <f>IFERROR(VLOOKUP(CLEAN($V427),'All Security Controls'!$A:$I,8, FALSE),"---")</f>
        <v>HBSS</v>
      </c>
      <c r="AC427" s="14" t="str">
        <f>IFERROR(VLOOKUP(CLEAN($V427),'All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27" s="26">
        <v>426</v>
      </c>
    </row>
    <row r="428" spans="1:30" s="10" customFormat="1">
      <c r="A428"/>
      <c r="B428"/>
      <c r="C428"/>
      <c r="D428"/>
      <c r="E428"/>
      <c r="F428"/>
      <c r="G428"/>
      <c r="H428"/>
      <c r="I428"/>
      <c r="J428"/>
      <c r="K428"/>
      <c r="L428"/>
      <c r="M428"/>
      <c r="N428"/>
      <c r="O428"/>
      <c r="P428"/>
      <c r="Q428"/>
      <c r="R428"/>
      <c r="S428"/>
      <c r="T428"/>
      <c r="V428" s="66" t="s">
        <v>442</v>
      </c>
      <c r="W428" s="16" t="str">
        <f>IFERROR(VLOOKUP(CLEAN($V428),'All Security Controls'!A:I, 2, FALSE),"---")</f>
        <v>Malicious Code Protection | Malicious Code Analysis</v>
      </c>
      <c r="X428" s="14" t="str">
        <f>IFERROR(VLOOKUP(CLEAN($V428),'All Security Controls'!$A:$I, 4, FALSE),"---")</f>
        <v>CRWG White Criticality Control</v>
      </c>
      <c r="Y428" s="14" t="str">
        <f>IFERROR(VLOOKUP(CLEAN($V428),'All Security Controls'!$A:$I,5, FALSE),"---")</f>
        <v>Annually</v>
      </c>
      <c r="Z428" s="14" t="str">
        <f>IFERROR(VLOOKUP(CLEAN($V428),'All Security Controls'!$A:$I,6, FALSE),"---")</f>
        <v>Manual</v>
      </c>
      <c r="AA428" s="14" t="str">
        <f>IFERROR(VLOOKUP(CLEAN($V428),'All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28" s="14" t="str">
        <f>IFERROR(VLOOKUP(CLEAN($V428),'All Security Controls'!$A:$I,8, FALSE),"---")</f>
        <v>POA&amp;M</v>
      </c>
      <c r="AC428" s="14" t="str">
        <f>IFERROR(VLOOKUP(CLEAN($V428),'All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28" s="26">
        <v>427</v>
      </c>
    </row>
    <row r="429" spans="1:30" s="10" customFormat="1">
      <c r="A429"/>
      <c r="B429"/>
      <c r="C429"/>
      <c r="D429"/>
      <c r="E429"/>
      <c r="F429"/>
      <c r="G429"/>
      <c r="H429"/>
      <c r="I429"/>
      <c r="J429"/>
      <c r="K429"/>
      <c r="L429"/>
      <c r="M429"/>
      <c r="N429"/>
      <c r="O429"/>
      <c r="P429"/>
      <c r="Q429"/>
      <c r="R429"/>
      <c r="S429"/>
      <c r="T429"/>
      <c r="V429" s="66" t="s">
        <v>443</v>
      </c>
      <c r="W429" s="16" t="str">
        <f>IFERROR(VLOOKUP(CLEAN($V429),'All Security Controls'!A:I, 2, FALSE),"---")</f>
        <v xml:space="preserve">Information System Monitoring </v>
      </c>
      <c r="X429" s="14" t="str">
        <f>IFERROR(VLOOKUP(CLEAN($V429),'All Security Controls'!$A:$I, 4, FALSE),"---")</f>
        <v>CRWG Red Criticality Control</v>
      </c>
      <c r="Y429" s="14" t="str">
        <f>IFERROR(VLOOKUP(CLEAN($V429),'All Security Controls'!$A:$I,5, FALSE),"---")</f>
        <v>Constantly</v>
      </c>
      <c r="Z429" s="14" t="str">
        <f>IFERROR(VLOOKUP(CLEAN($V429),'All Security Controls'!$A:$I,6, FALSE),"---")</f>
        <v>Automated</v>
      </c>
      <c r="AA429" s="14" t="str">
        <f>IFERROR(VLOOKUP(CLEAN($V429),'All Security Controls'!$A:$I,7, FALSE),"---")</f>
        <v>via telephone or high-priority e-mail, the System Owner reports the situation immediately and directly to the AO, while keeping the cybersecurity chain of command informed of status and response actions; if time permits, an authorization/connection decision recommendation is provided to the AO</v>
      </c>
      <c r="AB429" s="14" t="str">
        <f>IFERROR(VLOOKUP(CLEAN($V429),'All Security Controls'!$A:$I,8, FALSE),"---")</f>
        <v>HBSS</v>
      </c>
      <c r="AC429" s="14" t="str">
        <f>IFERROR(VLOOKUP(CLEAN($V429),'All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29" s="26">
        <v>428</v>
      </c>
    </row>
    <row r="430" spans="1:30" s="10" customFormat="1">
      <c r="A430"/>
      <c r="B430"/>
      <c r="C430"/>
      <c r="D430"/>
      <c r="E430"/>
      <c r="F430"/>
      <c r="G430"/>
      <c r="H430"/>
      <c r="I430"/>
      <c r="J430"/>
      <c r="K430"/>
      <c r="L430"/>
      <c r="M430"/>
      <c r="N430"/>
      <c r="O430"/>
      <c r="P430"/>
      <c r="Q430"/>
      <c r="R430"/>
      <c r="S430"/>
      <c r="T430"/>
      <c r="V430" s="66" t="s">
        <v>444</v>
      </c>
      <c r="W430" s="16" t="str">
        <f>IFERROR(VLOOKUP(CLEAN($V430),'All Security Controls'!A:I, 2, FALSE),"---")</f>
        <v>Information System Monitoring | System-Wide Intrusion Detection System</v>
      </c>
      <c r="X430" s="14" t="str">
        <f>IFERROR(VLOOKUP(CLEAN($V430),'All Security Controls'!$A:$I, 4, FALSE),"---")</f>
        <v>CRWG Yellow Criticality Control</v>
      </c>
      <c r="Y430" s="14" t="str">
        <f>IFERROR(VLOOKUP(CLEAN($V430),'All Security Controls'!$A:$I,5, FALSE),"---")</f>
        <v>Constantly</v>
      </c>
      <c r="Z430" s="14" t="str">
        <f>IFERROR(VLOOKUP(CLEAN($V430),'All Security Controls'!$A:$I,6, FALSE),"---")</f>
        <v>Automated</v>
      </c>
      <c r="AA430" s="14" t="str">
        <f>IFERROR(VLOOKUP(CLEAN($V430),'All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30" s="14" t="str">
        <f>IFERROR(VLOOKUP(CLEAN($V430),'All Security Controls'!$A:$I,8, FALSE),"---")</f>
        <v>IDS</v>
      </c>
      <c r="AC430" s="14" t="str">
        <f>IFERROR(VLOOKUP(CLEAN($V430),'All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30" s="26">
        <v>429</v>
      </c>
    </row>
    <row r="431" spans="1:30" s="10" customFormat="1">
      <c r="A431"/>
      <c r="B431"/>
      <c r="C431"/>
      <c r="D431"/>
      <c r="E431"/>
      <c r="F431"/>
      <c r="G431"/>
      <c r="H431"/>
      <c r="I431"/>
      <c r="J431"/>
      <c r="K431"/>
      <c r="L431"/>
      <c r="M431"/>
      <c r="N431"/>
      <c r="O431"/>
      <c r="P431"/>
      <c r="Q431"/>
      <c r="R431"/>
      <c r="S431"/>
      <c r="T431"/>
      <c r="V431" s="66" t="s">
        <v>445</v>
      </c>
      <c r="W431" s="16" t="str">
        <f>IFERROR(VLOOKUP(CLEAN($V431),'All Security Controls'!A:I, 2, FALSE),"---")</f>
        <v>Information System Monitoring | Automated Tools for Real-Time Analysis</v>
      </c>
      <c r="X431" s="14" t="str">
        <f>IFERROR(VLOOKUP(CLEAN($V431),'All Security Controls'!$A:$I, 4, FALSE),"---")</f>
        <v>CRWG Yellow Criticality Control</v>
      </c>
      <c r="Y431" s="14" t="str">
        <f>IFERROR(VLOOKUP(CLEAN($V431),'All Security Controls'!$A:$I,5, FALSE),"---")</f>
        <v>Constantly</v>
      </c>
      <c r="Z431" s="14" t="str">
        <f>IFERROR(VLOOKUP(CLEAN($V431),'All Security Controls'!$A:$I,6, FALSE),"---")</f>
        <v>Automated</v>
      </c>
      <c r="AA431" s="14" t="str">
        <f>IFERROR(VLOOKUP(CLEAN($V431),'All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31" s="14" t="str">
        <f>IFERROR(VLOOKUP(CLEAN($V431),'All Security Controls'!$A:$I,8, FALSE),"---")</f>
        <v>Enterprise Logging Tool</v>
      </c>
      <c r="AC431" s="14" t="str">
        <f>IFERROR(VLOOKUP(CLEAN($V431),'All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31" s="26">
        <v>430</v>
      </c>
    </row>
    <row r="432" spans="1:30" s="10" customFormat="1">
      <c r="A432"/>
      <c r="B432"/>
      <c r="C432"/>
      <c r="D432"/>
      <c r="E432"/>
      <c r="F432"/>
      <c r="G432"/>
      <c r="H432"/>
      <c r="I432"/>
      <c r="J432"/>
      <c r="K432"/>
      <c r="L432"/>
      <c r="M432"/>
      <c r="N432"/>
      <c r="O432"/>
      <c r="P432"/>
      <c r="Q432"/>
      <c r="R432"/>
      <c r="S432"/>
      <c r="T432"/>
      <c r="V432" s="66" t="s">
        <v>446</v>
      </c>
      <c r="W432" s="16" t="str">
        <f>IFERROR(VLOOKUP(CLEAN($V432),'All Security Controls'!$A:$I, 2, FALSE),"---")</f>
        <v>Information System Monitoring | Inbound and Outbound Communications Traffic</v>
      </c>
      <c r="X432" s="14" t="str">
        <f>IFERROR(VLOOKUP(CLEAN($V432),'All Security Controls'!$A:$I, 4, FALSE),"---")</f>
        <v>CRWG Red Criticality Control</v>
      </c>
      <c r="Y432" s="14" t="str">
        <f>IFERROR(VLOOKUP(CLEAN($V432),'All Security Controls'!$A:$I,5, FALSE),"---")</f>
        <v>Constantly</v>
      </c>
      <c r="Z432" s="14" t="str">
        <f>IFERROR(VLOOKUP(CLEAN($V432),'All Security Controls'!$A:$I,6, FALSE),"---")</f>
        <v>Automated</v>
      </c>
      <c r="AA432" s="14" t="str">
        <f>IFERROR(VLOOKUP(CLEAN($V432),'All Security Controls'!$A:$I,7, FALSE),"---")</f>
        <v>via telephone or high-priority e-mail, the System Owner reports the situation immediately and directly to the AO, while keeping the cybersecurity chain of command informed of status and response actions; if time permits, an authorization/connection decision recommendation is provided to the AO</v>
      </c>
      <c r="AB432" s="14" t="str">
        <f>IFERROR(VLOOKUP(CLEAN($V432),'All Security Controls'!$A:$I,8, FALSE),"---")</f>
        <v>IDS</v>
      </c>
      <c r="AC432" s="14" t="str">
        <f>IFERROR(VLOOKUP(CLEAN($V432),'All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32" s="26">
        <v>431</v>
      </c>
    </row>
    <row r="433" spans="1:30" s="10" customFormat="1">
      <c r="A433"/>
      <c r="B433"/>
      <c r="C433"/>
      <c r="D433"/>
      <c r="E433"/>
      <c r="F433"/>
      <c r="G433"/>
      <c r="H433"/>
      <c r="I433"/>
      <c r="J433"/>
      <c r="K433"/>
      <c r="L433"/>
      <c r="M433"/>
      <c r="N433"/>
      <c r="O433"/>
      <c r="P433"/>
      <c r="Q433"/>
      <c r="R433"/>
      <c r="S433"/>
      <c r="T433"/>
      <c r="V433" s="66" t="s">
        <v>447</v>
      </c>
      <c r="W433" s="16" t="str">
        <f>IFERROR(VLOOKUP(CLEAN($V433),'All Security Controls'!$A:$I, 2, FALSE),"---")</f>
        <v>Information System Monitoring | System-Generated Alerts</v>
      </c>
      <c r="X433" s="14" t="str">
        <f>IFERROR(VLOOKUP(CLEAN($V433),'All Security Controls'!$A:$I, 4, FALSE),"---")</f>
        <v>CRWG Red Criticality Control</v>
      </c>
      <c r="Y433" s="14" t="str">
        <f>IFERROR(VLOOKUP(CLEAN($V433),'All Security Controls'!$A:$I,5, FALSE),"---")</f>
        <v>Constantly</v>
      </c>
      <c r="Z433" s="14" t="str">
        <f>IFERROR(VLOOKUP(CLEAN($V433),'All Security Controls'!$A:$I,6, FALSE),"---")</f>
        <v>Automated</v>
      </c>
      <c r="AA433" s="14" t="str">
        <f>IFERROR(VLOOKUP(CLEAN($V433),'All Security Controls'!$A:$I,7, FALSE),"---")</f>
        <v>via telephone or high-priority e-mail, the System Owner reports the situation immediately and directly to the AO, while keeping the cybersecurity chain of command informed of status and response actions; if time permits, an authorization/connection decision recommendation is provided to the AO</v>
      </c>
      <c r="AB433" s="14" t="str">
        <f>IFERROR(VLOOKUP(CLEAN($V433),'All Security Controls'!$A:$I,8, FALSE),"---")</f>
        <v>Enterprise Logging Tool</v>
      </c>
      <c r="AC433" s="14" t="str">
        <f>IFERROR(VLOOKUP(CLEAN($V433),'All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33" s="26">
        <v>432</v>
      </c>
    </row>
    <row r="434" spans="1:30" s="10" customFormat="1">
      <c r="A434"/>
      <c r="B434"/>
      <c r="C434"/>
      <c r="D434"/>
      <c r="E434"/>
      <c r="F434"/>
      <c r="G434"/>
      <c r="H434"/>
      <c r="I434"/>
      <c r="J434"/>
      <c r="K434"/>
      <c r="L434"/>
      <c r="M434"/>
      <c r="N434"/>
      <c r="O434"/>
      <c r="P434"/>
      <c r="Q434"/>
      <c r="R434"/>
      <c r="S434"/>
      <c r="T434"/>
      <c r="V434" s="66" t="s">
        <v>448</v>
      </c>
      <c r="W434" s="16" t="str">
        <f>IFERROR(VLOOKUP(CLEAN($V434),'All Security Controls'!A:I, 2, FALSE),"---")</f>
        <v>Information System Monitoring | Visibility of Encrypted Communications</v>
      </c>
      <c r="X434" s="14" t="str">
        <f>IFERROR(VLOOKUP(CLEAN($V434),'All Security Controls'!$A:$I, 4, FALSE),"---")</f>
        <v>CRWG Yellow Criticality Control</v>
      </c>
      <c r="Y434" s="14" t="str">
        <f>IFERROR(VLOOKUP(CLEAN($V434),'All Security Controls'!$A:$I,5, FALSE),"---")</f>
        <v>Constantly</v>
      </c>
      <c r="Z434" s="14" t="str">
        <f>IFERROR(VLOOKUP(CLEAN($V434),'All Security Controls'!$A:$I,6, FALSE),"---")</f>
        <v>Automated</v>
      </c>
      <c r="AA434" s="14" t="str">
        <f>IFERROR(VLOOKUP(CLEAN($V434),'All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34" s="14" t="str">
        <f>IFERROR(VLOOKUP(CLEAN($V434),'All Security Controls'!$A:$I,8, FALSE),"---")</f>
        <v>IDS</v>
      </c>
      <c r="AC434" s="14" t="str">
        <f>IFERROR(VLOOKUP(CLEAN($V434),'All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34" s="26">
        <v>433</v>
      </c>
    </row>
    <row r="435" spans="1:30" s="10" customFormat="1">
      <c r="A435"/>
      <c r="B435"/>
      <c r="C435"/>
      <c r="D435"/>
      <c r="E435"/>
      <c r="F435"/>
      <c r="G435"/>
      <c r="H435"/>
      <c r="I435"/>
      <c r="J435"/>
      <c r="K435"/>
      <c r="L435"/>
      <c r="M435"/>
      <c r="N435"/>
      <c r="O435"/>
      <c r="P435"/>
      <c r="Q435"/>
      <c r="R435"/>
      <c r="S435"/>
      <c r="T435"/>
      <c r="V435" s="66" t="s">
        <v>449</v>
      </c>
      <c r="W435" s="16" t="str">
        <f>IFERROR(VLOOKUP(CLEAN($V435),'All Security Controls'!A:I, 2, FALSE),"---")</f>
        <v>Information System Monitoring | Analyze Communications Traffic Anomalies</v>
      </c>
      <c r="X435" s="14" t="str">
        <f>IFERROR(VLOOKUP(CLEAN($V435),'All Security Controls'!$A:$I, 4, FALSE),"---")</f>
        <v>CRWG Yellow Criticality Control</v>
      </c>
      <c r="Y435" s="14" t="str">
        <f>IFERROR(VLOOKUP(CLEAN($V435),'All Security Controls'!$A:$I,5, FALSE),"---")</f>
        <v>Constantly</v>
      </c>
      <c r="Z435" s="14" t="str">
        <f>IFERROR(VLOOKUP(CLEAN($V435),'All Security Controls'!$A:$I,6, FALSE),"---")</f>
        <v>Automated</v>
      </c>
      <c r="AA435" s="14" t="str">
        <f>IFERROR(VLOOKUP(CLEAN($V435),'All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35" s="14" t="str">
        <f>IFERROR(VLOOKUP(CLEAN($V435),'All Security Controls'!$A:$I,8, FALSE),"---")</f>
        <v>IDS</v>
      </c>
      <c r="AC435" s="14" t="str">
        <f>IFERROR(VLOOKUP(CLEAN($V435),'All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35" s="26">
        <v>434</v>
      </c>
    </row>
    <row r="436" spans="1:30" s="10" customFormat="1">
      <c r="A436"/>
      <c r="B436"/>
      <c r="C436"/>
      <c r="D436"/>
      <c r="E436"/>
      <c r="F436"/>
      <c r="G436"/>
      <c r="H436"/>
      <c r="I436"/>
      <c r="J436"/>
      <c r="K436"/>
      <c r="L436"/>
      <c r="M436"/>
      <c r="N436"/>
      <c r="O436"/>
      <c r="P436"/>
      <c r="Q436"/>
      <c r="R436"/>
      <c r="S436"/>
      <c r="T436"/>
      <c r="V436" s="66" t="s">
        <v>450</v>
      </c>
      <c r="W436" s="16" t="str">
        <f>IFERROR(VLOOKUP(CLEAN($V436),'All Security Controls'!A:I, 2, FALSE),"---")</f>
        <v>Information System Monitoring | Automated Alerts</v>
      </c>
      <c r="X436" s="14" t="str">
        <f>IFERROR(VLOOKUP(CLEAN($V436),'All Security Controls'!$A:$I, 4, FALSE),"---")</f>
        <v>CRWG Yellow Criticality Control</v>
      </c>
      <c r="Y436" s="14" t="str">
        <f>IFERROR(VLOOKUP(CLEAN($V436),'All Security Controls'!$A:$I,5, FALSE),"---")</f>
        <v>Constantly</v>
      </c>
      <c r="Z436" s="14" t="str">
        <f>IFERROR(VLOOKUP(CLEAN($V436),'All Security Controls'!$A:$I,6, FALSE),"---")</f>
        <v>Automated</v>
      </c>
      <c r="AA436" s="14" t="str">
        <f>IFERROR(VLOOKUP(CLEAN($V436),'All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36" s="14" t="str">
        <f>IFERROR(VLOOKUP(CLEAN($V436),'All Security Controls'!$A:$I,8, FALSE),"---")</f>
        <v>Enterprise Logging Tool</v>
      </c>
      <c r="AC436" s="14" t="str">
        <f>IFERROR(VLOOKUP(CLEAN($V436),'All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36" s="26">
        <v>435</v>
      </c>
    </row>
    <row r="437" spans="1:30" s="10" customFormat="1">
      <c r="A437"/>
      <c r="B437"/>
      <c r="C437"/>
      <c r="D437"/>
      <c r="E437"/>
      <c r="F437"/>
      <c r="G437"/>
      <c r="H437"/>
      <c r="I437"/>
      <c r="J437"/>
      <c r="K437"/>
      <c r="L437"/>
      <c r="M437"/>
      <c r="N437"/>
      <c r="O437"/>
      <c r="P437"/>
      <c r="Q437"/>
      <c r="R437"/>
      <c r="S437"/>
      <c r="T437"/>
      <c r="V437" s="66" t="s">
        <v>451</v>
      </c>
      <c r="W437" s="16" t="str">
        <f>IFERROR(VLOOKUP(CLEAN($V437),'All Security Controls'!A:I, 2, FALSE),"---")</f>
        <v>Information System Monitoring | Wireless Intrusion Detection</v>
      </c>
      <c r="X437" s="14" t="str">
        <f>IFERROR(VLOOKUP(CLEAN($V437),'All Security Controls'!$A:$I, 4, FALSE),"---")</f>
        <v>CRWG Yellow Criticality Control</v>
      </c>
      <c r="Y437" s="14" t="str">
        <f>IFERROR(VLOOKUP(CLEAN($V437),'All Security Controls'!$A:$I,5, FALSE),"---")</f>
        <v>Constantly</v>
      </c>
      <c r="Z437" s="14" t="str">
        <f>IFERROR(VLOOKUP(CLEAN($V437),'All Security Controls'!$A:$I,6, FALSE),"---")</f>
        <v>Automated</v>
      </c>
      <c r="AA437" s="14" t="str">
        <f>IFERROR(VLOOKUP(CLEAN($V437),'All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37" s="14" t="str">
        <f>IFERROR(VLOOKUP(CLEAN($V437),'All Security Controls'!$A:$I,8, FALSE),"---")</f>
        <v>WIDS</v>
      </c>
      <c r="AC437" s="14" t="str">
        <f>IFERROR(VLOOKUP(CLEAN($V437),'All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37" s="26">
        <v>436</v>
      </c>
    </row>
    <row r="438" spans="1:30" s="10" customFormat="1">
      <c r="A438"/>
      <c r="B438"/>
      <c r="C438"/>
      <c r="D438"/>
      <c r="E438"/>
      <c r="F438"/>
      <c r="G438"/>
      <c r="H438"/>
      <c r="I438"/>
      <c r="J438"/>
      <c r="K438"/>
      <c r="L438"/>
      <c r="M438"/>
      <c r="N438"/>
      <c r="O438"/>
      <c r="P438"/>
      <c r="Q438"/>
      <c r="R438"/>
      <c r="S438"/>
      <c r="T438"/>
      <c r="V438" s="66" t="s">
        <v>452</v>
      </c>
      <c r="W438" s="16" t="str">
        <f>IFERROR(VLOOKUP(CLEAN($V438),'All Security Controls'!A:I, 2, FALSE),"---")</f>
        <v>Information System Monitoring | Wireless to Wireline Communications</v>
      </c>
      <c r="X438" s="14" t="str">
        <f>IFERROR(VLOOKUP(CLEAN($V438),'All Security Controls'!$A:$I, 4, FALSE),"---")</f>
        <v>CRWG Yellow Criticality Control</v>
      </c>
      <c r="Y438" s="14" t="str">
        <f>IFERROR(VLOOKUP(CLEAN($V438),'All Security Controls'!$A:$I,5, FALSE),"---")</f>
        <v>Constantly</v>
      </c>
      <c r="Z438" s="14" t="str">
        <f>IFERROR(VLOOKUP(CLEAN($V438),'All Security Controls'!$A:$I,6, FALSE),"---")</f>
        <v>Automated</v>
      </c>
      <c r="AA438" s="14" t="str">
        <f>IFERROR(VLOOKUP(CLEAN($V438),'All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38" s="14" t="str">
        <f>IFERROR(VLOOKUP(CLEAN($V438),'All Security Controls'!$A:$I,8, FALSE),"---")</f>
        <v>WIDS</v>
      </c>
      <c r="AC438" s="14" t="str">
        <f>IFERROR(VLOOKUP(CLEAN($V438),'All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38" s="26">
        <v>437</v>
      </c>
    </row>
    <row r="439" spans="1:30" s="10" customFormat="1">
      <c r="A439"/>
      <c r="B439"/>
      <c r="C439"/>
      <c r="D439"/>
      <c r="E439"/>
      <c r="F439"/>
      <c r="G439"/>
      <c r="H439"/>
      <c r="I439"/>
      <c r="J439"/>
      <c r="K439"/>
      <c r="L439"/>
      <c r="M439"/>
      <c r="N439"/>
      <c r="O439"/>
      <c r="P439"/>
      <c r="Q439"/>
      <c r="R439"/>
      <c r="S439"/>
      <c r="T439"/>
      <c r="V439" s="66" t="s">
        <v>453</v>
      </c>
      <c r="W439" s="16" t="str">
        <f>IFERROR(VLOOKUP(CLEAN($V439),'All Security Controls'!A:I, 2, FALSE),"---")</f>
        <v>Information System Monitoring | Correlate Monitoring Information</v>
      </c>
      <c r="X439" s="14" t="str">
        <f>IFERROR(VLOOKUP(CLEAN($V439),'All Security Controls'!$A:$I, 4, FALSE),"---")</f>
        <v>CRWG White Criticality Control</v>
      </c>
      <c r="Y439" s="14" t="str">
        <f>IFERROR(VLOOKUP(CLEAN($V439),'All Security Controls'!$A:$I,5, FALSE),"---")</f>
        <v>Annually</v>
      </c>
      <c r="Z439" s="14" t="str">
        <f>IFERROR(VLOOKUP(CLEAN($V439),'All Security Controls'!$A:$I,6, FALSE),"---")</f>
        <v>Manual</v>
      </c>
      <c r="AA439" s="14" t="str">
        <f>IFERROR(VLOOKUP(CLEAN($V439),'All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39" s="14" t="str">
        <f>IFERROR(VLOOKUP(CLEAN($V439),'All Security Controls'!$A:$I,8, FALSE),"---")</f>
        <v>POA&amp;M</v>
      </c>
      <c r="AC439" s="14" t="str">
        <f>IFERROR(VLOOKUP(CLEAN($V439),'All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39" s="26">
        <v>438</v>
      </c>
    </row>
    <row r="440" spans="1:30" s="10" customFormat="1">
      <c r="A440"/>
      <c r="B440"/>
      <c r="C440"/>
      <c r="D440"/>
      <c r="E440"/>
      <c r="F440"/>
      <c r="G440"/>
      <c r="H440"/>
      <c r="I440"/>
      <c r="J440"/>
      <c r="K440"/>
      <c r="L440"/>
      <c r="M440"/>
      <c r="N440"/>
      <c r="O440"/>
      <c r="P440"/>
      <c r="Q440"/>
      <c r="R440"/>
      <c r="S440"/>
      <c r="T440"/>
      <c r="V440" s="66" t="s">
        <v>454</v>
      </c>
      <c r="W440" s="16" t="str">
        <f>IFERROR(VLOOKUP(CLEAN($V440),'All Security Controls'!A:I, 2, FALSE),"---")</f>
        <v>Information System Monitoring | Individuals Posing Greater Risk</v>
      </c>
      <c r="X440" s="14" t="str">
        <f>IFERROR(VLOOKUP(CLEAN($V440),'All Security Controls'!$A:$I, 4, FALSE),"---")</f>
        <v>CRWG Yellow Criticality Control</v>
      </c>
      <c r="Y440" s="14" t="str">
        <f>IFERROR(VLOOKUP(CLEAN($V440),'All Security Controls'!$A:$I,5, FALSE),"---")</f>
        <v>Quarterly</v>
      </c>
      <c r="Z440" s="14" t="str">
        <f>IFERROR(VLOOKUP(CLEAN($V440),'All Security Controls'!$A:$I,6, FALSE),"---")</f>
        <v>Manual</v>
      </c>
      <c r="AA440" s="14" t="str">
        <f>IFERROR(VLOOKUP(CLEAN($V440),'All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40" s="14" t="str">
        <f>IFERROR(VLOOKUP(CLEAN($V440),'All Security Controls'!$A:$I,8, FALSE),"---")</f>
        <v>POA&amp;M</v>
      </c>
      <c r="AC440" s="14" t="str">
        <f>IFERROR(VLOOKUP(CLEAN($V440),'All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40" s="26">
        <v>439</v>
      </c>
    </row>
    <row r="441" spans="1:30" s="10" customFormat="1">
      <c r="A441"/>
      <c r="B441"/>
      <c r="C441"/>
      <c r="D441"/>
      <c r="E441"/>
      <c r="F441"/>
      <c r="G441"/>
      <c r="H441"/>
      <c r="I441"/>
      <c r="J441"/>
      <c r="K441"/>
      <c r="L441"/>
      <c r="M441"/>
      <c r="N441"/>
      <c r="O441"/>
      <c r="P441"/>
      <c r="Q441"/>
      <c r="R441"/>
      <c r="S441"/>
      <c r="T441"/>
      <c r="V441" s="66" t="s">
        <v>455</v>
      </c>
      <c r="W441" s="16" t="str">
        <f>IFERROR(VLOOKUP(CLEAN($V441),'All Security Controls'!A:I, 2, FALSE),"---")</f>
        <v>Information System Monitoring | Privileged User</v>
      </c>
      <c r="X441" s="14" t="str">
        <f>IFERROR(VLOOKUP(CLEAN($V441),'All Security Controls'!$A:$I, 4, FALSE),"---")</f>
        <v>CRWG White Criticality Control</v>
      </c>
      <c r="Y441" s="14" t="str">
        <f>IFERROR(VLOOKUP(CLEAN($V441),'All Security Controls'!$A:$I,5, FALSE),"---")</f>
        <v>Annually</v>
      </c>
      <c r="Z441" s="14" t="str">
        <f>IFERROR(VLOOKUP(CLEAN($V441),'All Security Controls'!$A:$I,6, FALSE),"---")</f>
        <v>Manual</v>
      </c>
      <c r="AA441" s="14" t="str">
        <f>IFERROR(VLOOKUP(CLEAN($V441),'All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41" s="14" t="str">
        <f>IFERROR(VLOOKUP(CLEAN($V441),'All Security Controls'!$A:$I,8, FALSE),"---")</f>
        <v>POA&amp;M</v>
      </c>
      <c r="AC441" s="14" t="str">
        <f>IFERROR(VLOOKUP(CLEAN($V441),'All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41" s="26">
        <v>440</v>
      </c>
    </row>
    <row r="442" spans="1:30" s="10" customFormat="1">
      <c r="A442"/>
      <c r="B442"/>
      <c r="C442"/>
      <c r="D442"/>
      <c r="E442"/>
      <c r="F442"/>
      <c r="G442"/>
      <c r="H442"/>
      <c r="I442"/>
      <c r="J442"/>
      <c r="K442"/>
      <c r="L442"/>
      <c r="M442"/>
      <c r="N442"/>
      <c r="O442"/>
      <c r="P442"/>
      <c r="Q442"/>
      <c r="R442"/>
      <c r="S442"/>
      <c r="T442"/>
      <c r="V442" s="66" t="s">
        <v>456</v>
      </c>
      <c r="W442" s="16" t="str">
        <f>IFERROR(VLOOKUP(CLEAN($V442),'All Security Controls'!A:I, 2, FALSE),"---")</f>
        <v>Information System Monitoring | Unauthorized Network Services</v>
      </c>
      <c r="X442" s="14" t="str">
        <f>IFERROR(VLOOKUP(CLEAN($V442),'All Security Controls'!$A:$I, 4, FALSE),"---")</f>
        <v>CRWG Yellow Criticality Control</v>
      </c>
      <c r="Y442" s="14" t="str">
        <f>IFERROR(VLOOKUP(CLEAN($V442),'All Security Controls'!$A:$I,5, FALSE),"---")</f>
        <v>Quarterly</v>
      </c>
      <c r="Z442" s="14" t="str">
        <f>IFERROR(VLOOKUP(CLEAN($V442),'All Security Controls'!$A:$I,6, FALSE),"---")</f>
        <v>Manual</v>
      </c>
      <c r="AA442" s="14" t="str">
        <f>IFERROR(VLOOKUP(CLEAN($V442),'All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42" s="14" t="str">
        <f>IFERROR(VLOOKUP(CLEAN($V442),'All Security Controls'!$A:$I,8, FALSE),"---")</f>
        <v>POA&amp;M</v>
      </c>
      <c r="AC442" s="14" t="str">
        <f>IFERROR(VLOOKUP(CLEAN($V442),'All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42" s="26">
        <v>441</v>
      </c>
    </row>
    <row r="443" spans="1:30" s="10" customFormat="1">
      <c r="A443"/>
      <c r="B443"/>
      <c r="C443"/>
      <c r="D443"/>
      <c r="E443"/>
      <c r="F443"/>
      <c r="G443"/>
      <c r="H443"/>
      <c r="I443"/>
      <c r="J443"/>
      <c r="K443"/>
      <c r="L443"/>
      <c r="M443"/>
      <c r="N443"/>
      <c r="O443"/>
      <c r="P443"/>
      <c r="Q443"/>
      <c r="R443"/>
      <c r="S443"/>
      <c r="T443"/>
      <c r="V443" s="66" t="s">
        <v>457</v>
      </c>
      <c r="W443" s="16" t="str">
        <f>IFERROR(VLOOKUP(CLEAN($V443),'All Security Controls'!A:I, 2, FALSE),"---")</f>
        <v>Information System Monitoring | Host-Based Devices</v>
      </c>
      <c r="X443" s="14" t="str">
        <f>IFERROR(VLOOKUP(CLEAN($V443),'All Security Controls'!$A:$I, 4, FALSE),"---")</f>
        <v>CRWG Yellow Criticality Control</v>
      </c>
      <c r="Y443" s="14" t="str">
        <f>IFERROR(VLOOKUP(CLEAN($V443),'All Security Controls'!$A:$I,5, FALSE),"---")</f>
        <v>Constantly</v>
      </c>
      <c r="Z443" s="14" t="str">
        <f>IFERROR(VLOOKUP(CLEAN($V443),'All Security Controls'!$A:$I,6, FALSE),"---")</f>
        <v>Automated</v>
      </c>
      <c r="AA443" s="14" t="str">
        <f>IFERROR(VLOOKUP(CLEAN($V443),'All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43" s="14" t="str">
        <f>IFERROR(VLOOKUP(CLEAN($V443),'All Security Controls'!$A:$I,8, FALSE),"---")</f>
        <v>HBSS</v>
      </c>
      <c r="AC443" s="14" t="str">
        <f>IFERROR(VLOOKUP(CLEAN($V443),'All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43" s="26">
        <v>442</v>
      </c>
    </row>
    <row r="444" spans="1:30" s="10" customFormat="1">
      <c r="A444"/>
      <c r="B444"/>
      <c r="C444"/>
      <c r="D444"/>
      <c r="E444"/>
      <c r="F444"/>
      <c r="G444"/>
      <c r="H444"/>
      <c r="I444"/>
      <c r="J444"/>
      <c r="K444"/>
      <c r="L444"/>
      <c r="M444"/>
      <c r="N444"/>
      <c r="O444"/>
      <c r="P444"/>
      <c r="Q444"/>
      <c r="R444"/>
      <c r="S444"/>
      <c r="T444"/>
      <c r="V444" s="66" t="s">
        <v>458</v>
      </c>
      <c r="W444" s="16" t="str">
        <f>IFERROR(VLOOKUP(CLEAN($V444),'All Security Controls'!A:I, 2, FALSE),"---")</f>
        <v>Security Alerts, Advisories, And Directives</v>
      </c>
      <c r="X444" s="14" t="str">
        <f>IFERROR(VLOOKUP(CLEAN($V444),'All Security Controls'!$A:$I, 4, FALSE),"---")</f>
        <v>CRWG Yellow Criticality Control</v>
      </c>
      <c r="Y444" s="14" t="str">
        <f>IFERROR(VLOOKUP(CLEAN($V444),'All Security Controls'!$A:$I,5, FALSE),"---")</f>
        <v>Constantly</v>
      </c>
      <c r="Z444" s="14" t="str">
        <f>IFERROR(VLOOKUP(CLEAN($V444),'All Security Controls'!$A:$I,6, FALSE),"---")</f>
        <v>Manual</v>
      </c>
      <c r="AA444" s="14" t="str">
        <f>IFERROR(VLOOKUP(CLEAN($V444),'All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44" s="14" t="str">
        <f>IFERROR(VLOOKUP(CLEAN($V444),'All Security Controls'!$A:$I,8, FALSE),"---")</f>
        <v>POA&amp;M</v>
      </c>
      <c r="AC444" s="14" t="str">
        <f>IFERROR(VLOOKUP(CLEAN($V444),'All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44" s="26">
        <v>443</v>
      </c>
    </row>
    <row r="445" spans="1:30" s="10" customFormat="1">
      <c r="A445"/>
      <c r="B445"/>
      <c r="C445"/>
      <c r="D445"/>
      <c r="E445"/>
      <c r="F445"/>
      <c r="G445"/>
      <c r="H445"/>
      <c r="I445"/>
      <c r="J445"/>
      <c r="K445"/>
      <c r="L445"/>
      <c r="M445"/>
      <c r="N445"/>
      <c r="O445"/>
      <c r="P445"/>
      <c r="Q445"/>
      <c r="R445"/>
      <c r="S445"/>
      <c r="T445"/>
      <c r="V445" s="66" t="s">
        <v>459</v>
      </c>
      <c r="W445" s="16" t="str">
        <f>IFERROR(VLOOKUP(CLEAN($V445),'All Security Controls'!A:I, 2, FALSE),"---")</f>
        <v>Security Alerts, Advisories, And Directives | Automated Alerts and Advisories</v>
      </c>
      <c r="X445" s="14" t="str">
        <f>IFERROR(VLOOKUP(CLEAN($V445),'All Security Controls'!$A:$I, 4, FALSE),"---")</f>
        <v>CRWG Yellow Criticality Control</v>
      </c>
      <c r="Y445" s="14" t="str">
        <f>IFERROR(VLOOKUP(CLEAN($V445),'All Security Controls'!$A:$I,5, FALSE),"---")</f>
        <v>Quarterly</v>
      </c>
      <c r="Z445" s="14" t="str">
        <f>IFERROR(VLOOKUP(CLEAN($V445),'All Security Controls'!$A:$I,6, FALSE),"---")</f>
        <v>Manual</v>
      </c>
      <c r="AA445" s="14" t="str">
        <f>IFERROR(VLOOKUP(CLEAN($V445),'All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45" s="14" t="str">
        <f>IFERROR(VLOOKUP(CLEAN($V445),'All Security Controls'!$A:$I,8, FALSE),"---")</f>
        <v>POA&amp;M</v>
      </c>
      <c r="AC445" s="14" t="str">
        <f>IFERROR(VLOOKUP(CLEAN($V445),'All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45" s="26">
        <v>444</v>
      </c>
    </row>
    <row r="446" spans="1:30" s="10" customFormat="1">
      <c r="A446"/>
      <c r="B446"/>
      <c r="C446"/>
      <c r="D446"/>
      <c r="E446"/>
      <c r="F446"/>
      <c r="G446"/>
      <c r="H446"/>
      <c r="I446"/>
      <c r="J446"/>
      <c r="K446"/>
      <c r="L446"/>
      <c r="M446"/>
      <c r="N446"/>
      <c r="O446"/>
      <c r="P446"/>
      <c r="Q446"/>
      <c r="R446"/>
      <c r="S446"/>
      <c r="T446"/>
      <c r="V446" s="66" t="s">
        <v>460</v>
      </c>
      <c r="W446" s="16" t="str">
        <f>IFERROR(VLOOKUP(CLEAN($V446),'All Security Controls'!A:I, 2, FALSE),"---")</f>
        <v xml:space="preserve">Security Functionality Verification </v>
      </c>
      <c r="X446" s="14" t="str">
        <f>IFERROR(VLOOKUP(CLEAN($V446),'All Security Controls'!$A:$I, 4, FALSE),"---")</f>
        <v>CRWG Yellow Criticality Control</v>
      </c>
      <c r="Y446" s="14" t="str">
        <f>IFERROR(VLOOKUP(CLEAN($V446),'All Security Controls'!$A:$I,5, FALSE),"---")</f>
        <v>Quarterly</v>
      </c>
      <c r="Z446" s="14" t="str">
        <f>IFERROR(VLOOKUP(CLEAN($V446),'All Security Controls'!$A:$I,6, FALSE),"---")</f>
        <v>Manual</v>
      </c>
      <c r="AA446" s="14" t="str">
        <f>IFERROR(VLOOKUP(CLEAN($V446),'All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46" s="14" t="str">
        <f>IFERROR(VLOOKUP(CLEAN($V446),'All Security Controls'!$A:$I,8, FALSE),"---")</f>
        <v>POA&amp;M</v>
      </c>
      <c r="AC446" s="14" t="str">
        <f>IFERROR(VLOOKUP(CLEAN($V446),'All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46" s="26">
        <v>445</v>
      </c>
    </row>
    <row r="447" spans="1:30" s="10" customFormat="1">
      <c r="A447"/>
      <c r="B447"/>
      <c r="C447"/>
      <c r="D447"/>
      <c r="E447"/>
      <c r="F447"/>
      <c r="G447"/>
      <c r="H447"/>
      <c r="I447"/>
      <c r="J447"/>
      <c r="K447"/>
      <c r="L447"/>
      <c r="M447"/>
      <c r="N447"/>
      <c r="O447"/>
      <c r="P447"/>
      <c r="Q447"/>
      <c r="R447"/>
      <c r="S447"/>
      <c r="T447"/>
      <c r="V447" s="66" t="s">
        <v>461</v>
      </c>
      <c r="W447" s="16" t="str">
        <f>IFERROR(VLOOKUP(CLEAN($V447),'All Security Controls'!A:I, 2, FALSE),"---")</f>
        <v>Security Functionality Verification | Report Verification Results</v>
      </c>
      <c r="X447" s="14" t="str">
        <f>IFERROR(VLOOKUP(CLEAN($V447),'All Security Controls'!$A:$I, 4, FALSE),"---")</f>
        <v>CRWG White Criticality Control</v>
      </c>
      <c r="Y447" s="14" t="str">
        <f>IFERROR(VLOOKUP(CLEAN($V447),'All Security Controls'!$A:$I,5, FALSE),"---")</f>
        <v>Annually</v>
      </c>
      <c r="Z447" s="14" t="str">
        <f>IFERROR(VLOOKUP(CLEAN($V447),'All Security Controls'!$A:$I,6, FALSE),"---")</f>
        <v>Manual</v>
      </c>
      <c r="AA447" s="14" t="str">
        <f>IFERROR(VLOOKUP(CLEAN($V447),'All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47" s="14" t="str">
        <f>IFERROR(VLOOKUP(CLEAN($V447),'All Security Controls'!$A:$I,8, FALSE),"---")</f>
        <v>POA&amp;M</v>
      </c>
      <c r="AC447" s="14" t="str">
        <f>IFERROR(VLOOKUP(CLEAN($V447),'All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47" s="26">
        <v>446</v>
      </c>
    </row>
    <row r="448" spans="1:30" s="10" customFormat="1">
      <c r="A448"/>
      <c r="B448"/>
      <c r="C448"/>
      <c r="D448"/>
      <c r="E448"/>
      <c r="F448"/>
      <c r="G448"/>
      <c r="H448"/>
      <c r="I448"/>
      <c r="J448"/>
      <c r="K448"/>
      <c r="L448"/>
      <c r="M448"/>
      <c r="N448"/>
      <c r="O448"/>
      <c r="P448"/>
      <c r="Q448"/>
      <c r="R448"/>
      <c r="S448"/>
      <c r="T448"/>
      <c r="V448" s="66" t="s">
        <v>462</v>
      </c>
      <c r="W448" s="16" t="str">
        <f>IFERROR(VLOOKUP(CLEAN($V448),'All Security Controls'!A:I, 2, FALSE),"---")</f>
        <v xml:space="preserve">Software, Firmware and Information Integrity </v>
      </c>
      <c r="X448" s="14" t="str">
        <f>IFERROR(VLOOKUP(CLEAN($V448),'All Security Controls'!$A:$I, 4, FALSE),"---")</f>
        <v>CRWG Yellow Criticality Control</v>
      </c>
      <c r="Y448" s="14" t="str">
        <f>IFERROR(VLOOKUP(CLEAN($V448),'All Security Controls'!$A:$I,5, FALSE),"---")</f>
        <v>Annually</v>
      </c>
      <c r="Z448" s="14" t="str">
        <f>IFERROR(VLOOKUP(CLEAN($V448),'All Security Controls'!$A:$I,6, FALSE),"---")</f>
        <v>Manual</v>
      </c>
      <c r="AA448" s="14" t="str">
        <f>IFERROR(VLOOKUP(CLEAN($V448),'All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48" s="14" t="str">
        <f>IFERROR(VLOOKUP(CLEAN($V448),'All Security Controls'!$A:$I,8, FALSE),"---")</f>
        <v>POA&amp;M</v>
      </c>
      <c r="AC448" s="14" t="str">
        <f>IFERROR(VLOOKUP(CLEAN($V448),'All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48" s="26">
        <v>447</v>
      </c>
    </row>
    <row r="449" spans="1:30" s="10" customFormat="1">
      <c r="A449"/>
      <c r="B449"/>
      <c r="C449"/>
      <c r="D449"/>
      <c r="E449"/>
      <c r="F449"/>
      <c r="G449"/>
      <c r="H449"/>
      <c r="I449"/>
      <c r="J449"/>
      <c r="K449"/>
      <c r="L449"/>
      <c r="M449"/>
      <c r="N449"/>
      <c r="O449"/>
      <c r="P449"/>
      <c r="Q449"/>
      <c r="R449"/>
      <c r="S449"/>
      <c r="T449"/>
      <c r="V449" s="66" t="s">
        <v>463</v>
      </c>
      <c r="W449" s="16" t="str">
        <f>IFERROR(VLOOKUP(CLEAN($V449),'All Security Controls'!A:I, 2, FALSE),"---")</f>
        <v>Software, Firmware and Information Integrity | Integrity Checks</v>
      </c>
      <c r="X449" s="14" t="str">
        <f>IFERROR(VLOOKUP(CLEAN($V449),'All Security Controls'!$A:$I, 4, FALSE),"---")</f>
        <v>CRWG Yellow Criticality Control</v>
      </c>
      <c r="Y449" s="14" t="str">
        <f>IFERROR(VLOOKUP(CLEAN($V449),'All Security Controls'!$A:$I,5, FALSE),"---")</f>
        <v>Annually</v>
      </c>
      <c r="Z449" s="14" t="str">
        <f>IFERROR(VLOOKUP(CLEAN($V449),'All Security Controls'!$A:$I,6, FALSE),"---")</f>
        <v>Manual</v>
      </c>
      <c r="AA449" s="14" t="str">
        <f>IFERROR(VLOOKUP(CLEAN($V449),'All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49" s="14" t="str">
        <f>IFERROR(VLOOKUP(CLEAN($V449),'All Security Controls'!$A:$I,8, FALSE),"---")</f>
        <v>POA&amp;M</v>
      </c>
      <c r="AC449" s="14" t="str">
        <f>IFERROR(VLOOKUP(CLEAN($V449),'All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49" s="26">
        <v>448</v>
      </c>
    </row>
    <row r="450" spans="1:30" s="10" customFormat="1">
      <c r="A450"/>
      <c r="B450"/>
      <c r="C450"/>
      <c r="D450"/>
      <c r="E450"/>
      <c r="F450"/>
      <c r="G450"/>
      <c r="H450"/>
      <c r="I450"/>
      <c r="J450"/>
      <c r="K450"/>
      <c r="L450"/>
      <c r="M450"/>
      <c r="N450"/>
      <c r="O450"/>
      <c r="P450"/>
      <c r="Q450"/>
      <c r="R450"/>
      <c r="S450"/>
      <c r="T450"/>
      <c r="V450" s="66" t="s">
        <v>464</v>
      </c>
      <c r="W450" s="16" t="str">
        <f>IFERROR(VLOOKUP(CLEAN($V450),'All Security Controls'!A:I, 2, FALSE),"---")</f>
        <v>Software, Firmware and Information Integrity | Automated Notifications of Integrity Violations</v>
      </c>
      <c r="X450" s="14" t="str">
        <f>IFERROR(VLOOKUP(CLEAN($V450),'All Security Controls'!$A:$I, 4, FALSE),"---")</f>
        <v>CRWG Yellow Criticality Control</v>
      </c>
      <c r="Y450" s="14" t="str">
        <f>IFERROR(VLOOKUP(CLEAN($V450),'All Security Controls'!$A:$I,5, FALSE),"---")</f>
        <v>Constantly</v>
      </c>
      <c r="Z450" s="14" t="str">
        <f>IFERROR(VLOOKUP(CLEAN($V450),'All Security Controls'!$A:$I,6, FALSE),"---")</f>
        <v>Automated</v>
      </c>
      <c r="AA450" s="14" t="str">
        <f>IFERROR(VLOOKUP(CLEAN($V450),'All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50" s="14" t="str">
        <f>IFERROR(VLOOKUP(CLEAN($V450),'All Security Controls'!$A:$I,8, FALSE),"---")</f>
        <v>Enterprise Logging Tool</v>
      </c>
      <c r="AC450" s="14" t="str">
        <f>IFERROR(VLOOKUP(CLEAN($V450),'All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50" s="26">
        <v>449</v>
      </c>
    </row>
    <row r="451" spans="1:30" s="10" customFormat="1">
      <c r="A451"/>
      <c r="B451"/>
      <c r="C451"/>
      <c r="D451"/>
      <c r="E451"/>
      <c r="F451"/>
      <c r="G451"/>
      <c r="H451"/>
      <c r="I451"/>
      <c r="J451"/>
      <c r="K451"/>
      <c r="L451"/>
      <c r="M451"/>
      <c r="N451"/>
      <c r="O451"/>
      <c r="P451"/>
      <c r="Q451"/>
      <c r="R451"/>
      <c r="S451"/>
      <c r="T451"/>
      <c r="V451" s="66" t="s">
        <v>465</v>
      </c>
      <c r="W451" s="16" t="str">
        <f>IFERROR(VLOOKUP(CLEAN($V451),'All Security Controls'!A:I, 2, FALSE),"---")</f>
        <v>Software And Information Integrity | Automated Response to Integrity Violations</v>
      </c>
      <c r="X451" s="14" t="str">
        <f>IFERROR(VLOOKUP(CLEAN($V451),'All Security Controls'!$A:$I, 4, FALSE),"---")</f>
        <v>CRWG Yellow Criticality Control</v>
      </c>
      <c r="Y451" s="14" t="str">
        <f>IFERROR(VLOOKUP(CLEAN($V451),'All Security Controls'!$A:$I,5, FALSE),"---")</f>
        <v>Constantly</v>
      </c>
      <c r="Z451" s="14" t="str">
        <f>IFERROR(VLOOKUP(CLEAN($V451),'All Security Controls'!$A:$I,6, FALSE),"---")</f>
        <v>Automated</v>
      </c>
      <c r="AA451" s="14" t="str">
        <f>IFERROR(VLOOKUP(CLEAN($V451),'All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51" s="14" t="str">
        <f>IFERROR(VLOOKUP(CLEAN($V451),'All Security Controls'!$A:$I,8, FALSE),"---")</f>
        <v>Enterprise Logging Tool</v>
      </c>
      <c r="AC451" s="14" t="str">
        <f>IFERROR(VLOOKUP(CLEAN($V451),'All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51" s="26">
        <v>450</v>
      </c>
    </row>
    <row r="452" spans="1:30" s="10" customFormat="1">
      <c r="A452"/>
      <c r="B452"/>
      <c r="C452"/>
      <c r="D452"/>
      <c r="E452"/>
      <c r="F452"/>
      <c r="G452"/>
      <c r="H452"/>
      <c r="I452"/>
      <c r="J452"/>
      <c r="K452"/>
      <c r="L452"/>
      <c r="M452"/>
      <c r="N452"/>
      <c r="O452"/>
      <c r="P452"/>
      <c r="Q452"/>
      <c r="R452"/>
      <c r="S452"/>
      <c r="T452"/>
      <c r="V452" s="66" t="s">
        <v>466</v>
      </c>
      <c r="W452" s="16" t="str">
        <f>IFERROR(VLOOKUP(CLEAN($V452),'All Security Controls'!A:I, 2, FALSE),"---")</f>
        <v>Software, Firmware, and Information Integrity | Cryptographic Protection</v>
      </c>
      <c r="X452" s="14" t="str">
        <f>IFERROR(VLOOKUP(CLEAN($V452),'All Security Controls'!$A:$I, 4, FALSE),"---")</f>
        <v>CRWG White Criticality Control</v>
      </c>
      <c r="Y452" s="14" t="str">
        <f>IFERROR(VLOOKUP(CLEAN($V452),'All Security Controls'!$A:$I,5, FALSE),"---")</f>
        <v>Annually</v>
      </c>
      <c r="Z452" s="14" t="str">
        <f>IFERROR(VLOOKUP(CLEAN($V452),'All Security Controls'!$A:$I,6, FALSE),"---")</f>
        <v>Manual</v>
      </c>
      <c r="AA452" s="14" t="str">
        <f>IFERROR(VLOOKUP(CLEAN($V452),'All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52" s="14" t="str">
        <f>IFERROR(VLOOKUP(CLEAN($V452),'All Security Controls'!$A:$I,8, FALSE),"---")</f>
        <v>POA&amp;M</v>
      </c>
      <c r="AC452" s="14" t="str">
        <f>IFERROR(VLOOKUP(CLEAN($V452),'All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52" s="26">
        <v>451</v>
      </c>
    </row>
    <row r="453" spans="1:30" s="10" customFormat="1">
      <c r="A453"/>
      <c r="B453"/>
      <c r="C453"/>
      <c r="D453"/>
      <c r="E453"/>
      <c r="F453"/>
      <c r="G453"/>
      <c r="H453"/>
      <c r="I453"/>
      <c r="J453"/>
      <c r="K453"/>
      <c r="L453"/>
      <c r="M453"/>
      <c r="N453"/>
      <c r="O453"/>
      <c r="P453"/>
      <c r="Q453"/>
      <c r="R453"/>
      <c r="S453"/>
      <c r="T453"/>
      <c r="V453" s="66" t="s">
        <v>467</v>
      </c>
      <c r="W453" s="16" t="str">
        <f>IFERROR(VLOOKUP(CLEAN($V453),'All Security Controls'!A:I, 2, FALSE),"---")</f>
        <v>Software And Information Integrity | Integration of Detection and Response</v>
      </c>
      <c r="X453" s="14" t="str">
        <f>IFERROR(VLOOKUP(CLEAN($V453),'All Security Controls'!$A:$I, 4, FALSE),"---")</f>
        <v>CRWG White Criticality Control</v>
      </c>
      <c r="Y453" s="14" t="str">
        <f>IFERROR(VLOOKUP(CLEAN($V453),'All Security Controls'!$A:$I,5, FALSE),"---")</f>
        <v>Annually</v>
      </c>
      <c r="Z453" s="14" t="str">
        <f>IFERROR(VLOOKUP(CLEAN($V453),'All Security Controls'!$A:$I,6, FALSE),"---")</f>
        <v>Manual</v>
      </c>
      <c r="AA453" s="14" t="str">
        <f>IFERROR(VLOOKUP(CLEAN($V453),'All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53" s="14" t="str">
        <f>IFERROR(VLOOKUP(CLEAN($V453),'All Security Controls'!$A:$I,8, FALSE),"---")</f>
        <v>POA&amp;M</v>
      </c>
      <c r="AC453" s="14" t="str">
        <f>IFERROR(VLOOKUP(CLEAN($V453),'All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53" s="26">
        <v>452</v>
      </c>
    </row>
    <row r="454" spans="1:30" s="10" customFormat="1">
      <c r="A454"/>
      <c r="B454"/>
      <c r="C454"/>
      <c r="D454"/>
      <c r="E454"/>
      <c r="F454"/>
      <c r="G454"/>
      <c r="H454"/>
      <c r="I454"/>
      <c r="J454"/>
      <c r="K454"/>
      <c r="L454"/>
      <c r="M454"/>
      <c r="N454"/>
      <c r="O454"/>
      <c r="P454"/>
      <c r="Q454"/>
      <c r="R454"/>
      <c r="S454"/>
      <c r="T454"/>
      <c r="V454" s="66" t="s">
        <v>468</v>
      </c>
      <c r="W454" s="16" t="str">
        <f>IFERROR(VLOOKUP(CLEAN($V454),'All Security Controls'!A:I, 2, FALSE),"---")</f>
        <v xml:space="preserve">Software And Information Integrity | Auditing Capability for Significant Events </v>
      </c>
      <c r="X454" s="14" t="str">
        <f>IFERROR(VLOOKUP(CLEAN($V454),'All Security Controls'!$A:$I, 4, FALSE),"---")</f>
        <v>CRWG Yellow Criticality Control</v>
      </c>
      <c r="Y454" s="14" t="str">
        <f>IFERROR(VLOOKUP(CLEAN($V454),'All Security Controls'!$A:$I,5, FALSE),"---")</f>
        <v>Constantly</v>
      </c>
      <c r="Z454" s="14" t="str">
        <f>IFERROR(VLOOKUP(CLEAN($V454),'All Security Controls'!$A:$I,6, FALSE),"---")</f>
        <v>Automated</v>
      </c>
      <c r="AA454" s="14" t="str">
        <f>IFERROR(VLOOKUP(CLEAN($V454),'All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54" s="14" t="str">
        <f>IFERROR(VLOOKUP(CLEAN($V454),'All Security Controls'!$A:$I,8, FALSE),"---")</f>
        <v>Enterprise Logging Tool</v>
      </c>
      <c r="AC454" s="14" t="str">
        <f>IFERROR(VLOOKUP(CLEAN($V454),'All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54" s="26">
        <v>453</v>
      </c>
    </row>
    <row r="455" spans="1:30" s="10" customFormat="1">
      <c r="A455"/>
      <c r="B455"/>
      <c r="C455"/>
      <c r="D455"/>
      <c r="E455"/>
      <c r="F455"/>
      <c r="G455"/>
      <c r="H455"/>
      <c r="I455"/>
      <c r="J455"/>
      <c r="K455"/>
      <c r="L455"/>
      <c r="M455"/>
      <c r="N455"/>
      <c r="O455"/>
      <c r="P455"/>
      <c r="Q455"/>
      <c r="R455"/>
      <c r="S455"/>
      <c r="T455"/>
      <c r="V455" s="66" t="s">
        <v>469</v>
      </c>
      <c r="W455" s="16" t="str">
        <f>IFERROR(VLOOKUP(CLEAN($V455),'All Security Controls'!A:I, 2, FALSE),"---")</f>
        <v>Software And Information Integrity | Binary or Machine Executable Code</v>
      </c>
      <c r="X455" s="14" t="str">
        <f>IFERROR(VLOOKUP(CLEAN($V455),'All Security Controls'!$A:$I, 4, FALSE),"---")</f>
        <v>CRWG Yellow Criticality Control</v>
      </c>
      <c r="Y455" s="14" t="str">
        <f>IFERROR(VLOOKUP(CLEAN($V455),'All Security Controls'!$A:$I,5, FALSE),"---")</f>
        <v>Annually</v>
      </c>
      <c r="Z455" s="14" t="str">
        <f>IFERROR(VLOOKUP(CLEAN($V455),'All Security Controls'!$A:$I,6, FALSE),"---")</f>
        <v>Manual</v>
      </c>
      <c r="AA455" s="14" t="str">
        <f>IFERROR(VLOOKUP(CLEAN($V455),'All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55" s="14" t="str">
        <f>IFERROR(VLOOKUP(CLEAN($V455),'All Security Controls'!$A:$I,8, FALSE),"---")</f>
        <v>POA&amp;M</v>
      </c>
      <c r="AC455" s="14" t="str">
        <f>IFERROR(VLOOKUP(CLEAN($V455),'All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55" s="26">
        <v>454</v>
      </c>
    </row>
    <row r="456" spans="1:30" s="10" customFormat="1">
      <c r="A456"/>
      <c r="B456"/>
      <c r="C456"/>
      <c r="D456"/>
      <c r="E456"/>
      <c r="F456"/>
      <c r="G456"/>
      <c r="H456"/>
      <c r="I456"/>
      <c r="J456"/>
      <c r="K456"/>
      <c r="L456"/>
      <c r="M456"/>
      <c r="N456"/>
      <c r="O456"/>
      <c r="P456"/>
      <c r="Q456"/>
      <c r="R456"/>
      <c r="S456"/>
      <c r="T456"/>
      <c r="V456" s="66" t="s">
        <v>470</v>
      </c>
      <c r="W456" s="16" t="str">
        <f>IFERROR(VLOOKUP(CLEAN($V456),'All Security Controls'!A:I, 2, FALSE),"---")</f>
        <v xml:space="preserve">Spam Protection </v>
      </c>
      <c r="X456" s="14" t="str">
        <f>IFERROR(VLOOKUP(CLEAN($V456),'All Security Controls'!$A:$I, 4, FALSE),"---")</f>
        <v>CRWG White Criticality Control</v>
      </c>
      <c r="Y456" s="14" t="str">
        <f>IFERROR(VLOOKUP(CLEAN($V456),'All Security Controls'!$A:$I,5, FALSE),"---")</f>
        <v>Annually</v>
      </c>
      <c r="Z456" s="14" t="str">
        <f>IFERROR(VLOOKUP(CLEAN($V456),'All Security Controls'!$A:$I,6, FALSE),"---")</f>
        <v>Manual</v>
      </c>
      <c r="AA456" s="14" t="str">
        <f>IFERROR(VLOOKUP(CLEAN($V456),'All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56" s="14" t="str">
        <f>IFERROR(VLOOKUP(CLEAN($V456),'All Security Controls'!$A:$I,8, FALSE),"---")</f>
        <v>POA&amp;M</v>
      </c>
      <c r="AC456" s="14" t="str">
        <f>IFERROR(VLOOKUP(CLEAN($V456),'All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56" s="26">
        <v>455</v>
      </c>
    </row>
    <row r="457" spans="1:30" s="10" customFormat="1">
      <c r="A457"/>
      <c r="B457"/>
      <c r="C457"/>
      <c r="D457"/>
      <c r="E457"/>
      <c r="F457"/>
      <c r="G457"/>
      <c r="H457"/>
      <c r="I457"/>
      <c r="J457"/>
      <c r="K457"/>
      <c r="L457"/>
      <c r="M457"/>
      <c r="N457"/>
      <c r="O457"/>
      <c r="P457"/>
      <c r="Q457"/>
      <c r="R457"/>
      <c r="S457"/>
      <c r="T457"/>
      <c r="V457" s="66" t="s">
        <v>471</v>
      </c>
      <c r="W457" s="16" t="str">
        <f>IFERROR(VLOOKUP(CLEAN($V457),'All Security Controls'!A:I, 2, FALSE),"---")</f>
        <v>Spam Protection | Central Management of Protection Mechanisms</v>
      </c>
      <c r="X457" s="14" t="str">
        <f>IFERROR(VLOOKUP(CLEAN($V457),'All Security Controls'!$A:$I, 4, FALSE),"---")</f>
        <v>CRWG White Criticality Control</v>
      </c>
      <c r="Y457" s="14" t="str">
        <f>IFERROR(VLOOKUP(CLEAN($V457),'All Security Controls'!$A:$I,5, FALSE),"---")</f>
        <v>Annually</v>
      </c>
      <c r="Z457" s="14" t="str">
        <f>IFERROR(VLOOKUP(CLEAN($V457),'All Security Controls'!$A:$I,6, FALSE),"---")</f>
        <v>Manual</v>
      </c>
      <c r="AA457" s="14" t="str">
        <f>IFERROR(VLOOKUP(CLEAN($V457),'All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57" s="14" t="str">
        <f>IFERROR(VLOOKUP(CLEAN($V457),'All Security Controls'!$A:$I,8, FALSE),"---")</f>
        <v>POA&amp;M</v>
      </c>
      <c r="AC457" s="14" t="str">
        <f>IFERROR(VLOOKUP(CLEAN($V457),'All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57" s="26">
        <v>456</v>
      </c>
    </row>
    <row r="458" spans="1:30" s="10" customFormat="1">
      <c r="A458"/>
      <c r="B458"/>
      <c r="C458"/>
      <c r="D458"/>
      <c r="E458"/>
      <c r="F458"/>
      <c r="G458"/>
      <c r="H458"/>
      <c r="I458"/>
      <c r="J458"/>
      <c r="K458"/>
      <c r="L458"/>
      <c r="M458"/>
      <c r="N458"/>
      <c r="O458"/>
      <c r="P458"/>
      <c r="Q458"/>
      <c r="R458"/>
      <c r="S458"/>
      <c r="T458"/>
      <c r="V458" s="66" t="s">
        <v>472</v>
      </c>
      <c r="W458" s="16" t="str">
        <f>IFERROR(VLOOKUP(CLEAN($V458),'All Security Controls'!A:I, 2, FALSE),"---")</f>
        <v>Spam Protection | Automatic updates</v>
      </c>
      <c r="X458" s="14" t="str">
        <f>IFERROR(VLOOKUP(CLEAN($V458),'All Security Controls'!$A:$I, 4, FALSE),"---")</f>
        <v>CRWG White Criticality Control</v>
      </c>
      <c r="Y458" s="14" t="str">
        <f>IFERROR(VLOOKUP(CLEAN($V458),'All Security Controls'!$A:$I,5, FALSE),"---")</f>
        <v>Annually</v>
      </c>
      <c r="Z458" s="14" t="str">
        <f>IFERROR(VLOOKUP(CLEAN($V458),'All Security Controls'!$A:$I,6, FALSE),"---")</f>
        <v>Manual</v>
      </c>
      <c r="AA458" s="14" t="str">
        <f>IFERROR(VLOOKUP(CLEAN($V458),'All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58" s="14" t="str">
        <f>IFERROR(VLOOKUP(CLEAN($V458),'All Security Controls'!$A:$I,8, FALSE),"---")</f>
        <v>POA&amp;M</v>
      </c>
      <c r="AC458" s="14" t="str">
        <f>IFERROR(VLOOKUP(CLEAN($V458),'All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58" s="26">
        <v>457</v>
      </c>
    </row>
    <row r="459" spans="1:30" s="10" customFormat="1">
      <c r="A459"/>
      <c r="B459"/>
      <c r="C459"/>
      <c r="D459"/>
      <c r="E459"/>
      <c r="F459"/>
      <c r="G459"/>
      <c r="H459"/>
      <c r="I459"/>
      <c r="J459"/>
      <c r="K459"/>
      <c r="L459"/>
      <c r="M459"/>
      <c r="N459"/>
      <c r="O459"/>
      <c r="P459"/>
      <c r="Q459"/>
      <c r="R459"/>
      <c r="S459"/>
      <c r="T459"/>
      <c r="V459" s="66" t="s">
        <v>473</v>
      </c>
      <c r="W459" s="16" t="str">
        <f>IFERROR(VLOOKUP(CLEAN($V459),'All Security Controls'!A:I, 2, FALSE),"---")</f>
        <v xml:space="preserve">Information Input Validation </v>
      </c>
      <c r="X459" s="14" t="str">
        <f>IFERROR(VLOOKUP(CLEAN($V459),'All Security Controls'!$A:$I, 4, FALSE),"---")</f>
        <v>CRWG Yellow Criticality Control</v>
      </c>
      <c r="Y459" s="14" t="str">
        <f>IFERROR(VLOOKUP(CLEAN($V459),'All Security Controls'!$A:$I,5, FALSE),"---")</f>
        <v>Annually</v>
      </c>
      <c r="Z459" s="14" t="str">
        <f>IFERROR(VLOOKUP(CLEAN($V459),'All Security Controls'!$A:$I,6, FALSE),"---")</f>
        <v>Manual</v>
      </c>
      <c r="AA459" s="14" t="str">
        <f>IFERROR(VLOOKUP(CLEAN($V459),'All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59" s="14" t="str">
        <f>IFERROR(VLOOKUP(CLEAN($V459),'All Security Controls'!$A:$I,8, FALSE),"---")</f>
        <v>POA&amp;M</v>
      </c>
      <c r="AC459" s="14" t="str">
        <f>IFERROR(VLOOKUP(CLEAN($V459),'All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59" s="26">
        <v>458</v>
      </c>
    </row>
    <row r="460" spans="1:30" s="10" customFormat="1">
      <c r="A460"/>
      <c r="B460"/>
      <c r="C460"/>
      <c r="D460"/>
      <c r="E460"/>
      <c r="F460"/>
      <c r="G460"/>
      <c r="H460"/>
      <c r="I460"/>
      <c r="J460"/>
      <c r="K460"/>
      <c r="L460"/>
      <c r="M460"/>
      <c r="N460"/>
      <c r="O460"/>
      <c r="P460"/>
      <c r="Q460"/>
      <c r="R460"/>
      <c r="S460"/>
      <c r="T460"/>
      <c r="V460" s="66" t="s">
        <v>474</v>
      </c>
      <c r="W460" s="16" t="str">
        <f>IFERROR(VLOOKUP(CLEAN($V460),'All Security Controls'!A:I, 2, FALSE),"---")</f>
        <v>Information Input Validation | Predictable Behavior</v>
      </c>
      <c r="X460" s="14" t="str">
        <f>IFERROR(VLOOKUP(CLEAN($V460),'All Security Controls'!$A:$I, 4, FALSE),"---")</f>
        <v>CRWG Yellow Criticality Control</v>
      </c>
      <c r="Y460" s="14" t="str">
        <f>IFERROR(VLOOKUP(CLEAN($V460),'All Security Controls'!$A:$I,5, FALSE),"---")</f>
        <v>Annually</v>
      </c>
      <c r="Z460" s="14" t="str">
        <f>IFERROR(VLOOKUP(CLEAN($V460),'All Security Controls'!$A:$I,6, FALSE),"---")</f>
        <v>Manual</v>
      </c>
      <c r="AA460" s="14" t="str">
        <f>IFERROR(VLOOKUP(CLEAN($V460),'All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60" s="14" t="str">
        <f>IFERROR(VLOOKUP(CLEAN($V460),'All Security Controls'!$A:$I,8, FALSE),"---")</f>
        <v>POA&amp;M</v>
      </c>
      <c r="AC460" s="14" t="str">
        <f>IFERROR(VLOOKUP(CLEAN($V460),'All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60" s="26">
        <v>459</v>
      </c>
    </row>
    <row r="461" spans="1:30" s="10" customFormat="1">
      <c r="A461"/>
      <c r="B461"/>
      <c r="C461"/>
      <c r="D461"/>
      <c r="E461"/>
      <c r="F461"/>
      <c r="G461"/>
      <c r="H461"/>
      <c r="I461"/>
      <c r="J461"/>
      <c r="K461"/>
      <c r="L461"/>
      <c r="M461"/>
      <c r="N461"/>
      <c r="O461"/>
      <c r="P461"/>
      <c r="Q461"/>
      <c r="R461"/>
      <c r="S461"/>
      <c r="T461"/>
      <c r="V461" s="66" t="s">
        <v>475</v>
      </c>
      <c r="W461" s="16" t="str">
        <f>IFERROR(VLOOKUP(CLEAN($V461),'All Security Controls'!A:I, 2, FALSE),"---")</f>
        <v xml:space="preserve">Error Handling </v>
      </c>
      <c r="X461" s="14" t="str">
        <f>IFERROR(VLOOKUP(CLEAN($V461),'All Security Controls'!$A:$I, 4, FALSE),"---")</f>
        <v>CRWG Yellow Criticality Control</v>
      </c>
      <c r="Y461" s="14" t="str">
        <f>IFERROR(VLOOKUP(CLEAN($V461),'All Security Controls'!$A:$I,5, FALSE),"---")</f>
        <v>Annually</v>
      </c>
      <c r="Z461" s="14" t="str">
        <f>IFERROR(VLOOKUP(CLEAN($V461),'All Security Controls'!$A:$I,6, FALSE),"---")</f>
        <v>Manual</v>
      </c>
      <c r="AA461" s="14" t="str">
        <f>IFERROR(VLOOKUP(CLEAN($V461),'All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61" s="14" t="str">
        <f>IFERROR(VLOOKUP(CLEAN($V461),'All Security Controls'!$A:$I,8, FALSE),"---")</f>
        <v>POA&amp;M</v>
      </c>
      <c r="AC461" s="14" t="str">
        <f>IFERROR(VLOOKUP(CLEAN($V461),'All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61" s="26">
        <v>460</v>
      </c>
    </row>
    <row r="462" spans="1:30" s="10" customFormat="1">
      <c r="A462"/>
      <c r="B462"/>
      <c r="C462"/>
      <c r="D462"/>
      <c r="E462"/>
      <c r="F462"/>
      <c r="G462"/>
      <c r="H462"/>
      <c r="I462"/>
      <c r="J462"/>
      <c r="K462"/>
      <c r="L462"/>
      <c r="M462"/>
      <c r="N462"/>
      <c r="O462"/>
      <c r="P462"/>
      <c r="Q462"/>
      <c r="R462"/>
      <c r="S462"/>
      <c r="T462"/>
      <c r="V462" s="66" t="s">
        <v>476</v>
      </c>
      <c r="W462" s="16" t="str">
        <f>IFERROR(VLOOKUP(CLEAN($V462),'All Security Controls'!A:I, 2, FALSE),"---")</f>
        <v xml:space="preserve">Information Output Handling And Retention </v>
      </c>
      <c r="X462" s="14" t="str">
        <f>IFERROR(VLOOKUP(CLEAN($V462),'All Security Controls'!$A:$I, 4, FALSE),"---")</f>
        <v>CRWG Yellow Criticality Control</v>
      </c>
      <c r="Y462" s="14" t="str">
        <f>IFERROR(VLOOKUP(CLEAN($V462),'All Security Controls'!$A:$I,5, FALSE),"---")</f>
        <v>Annually</v>
      </c>
      <c r="Z462" s="14" t="str">
        <f>IFERROR(VLOOKUP(CLEAN($V462),'All Security Controls'!$A:$I,6, FALSE),"---")</f>
        <v>Manual</v>
      </c>
      <c r="AA462" s="14" t="str">
        <f>IFERROR(VLOOKUP(CLEAN($V462),'All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62" s="14" t="str">
        <f>IFERROR(VLOOKUP(CLEAN($V462),'All Security Controls'!$A:$I,8, FALSE),"---")</f>
        <v>POA&amp;M</v>
      </c>
      <c r="AC462" s="14" t="str">
        <f>IFERROR(VLOOKUP(CLEAN($V462),'All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62" s="26">
        <v>461</v>
      </c>
    </row>
    <row r="463" spans="1:30" s="10" customFormat="1">
      <c r="A463"/>
      <c r="B463"/>
      <c r="C463"/>
      <c r="D463"/>
      <c r="E463"/>
      <c r="F463"/>
      <c r="G463"/>
      <c r="H463"/>
      <c r="I463"/>
      <c r="J463"/>
      <c r="K463"/>
      <c r="L463"/>
      <c r="M463"/>
      <c r="N463"/>
      <c r="O463"/>
      <c r="P463"/>
      <c r="Q463"/>
      <c r="R463"/>
      <c r="S463"/>
      <c r="T463"/>
      <c r="V463" s="66" t="s">
        <v>477</v>
      </c>
      <c r="W463" s="16" t="str">
        <f>IFERROR(VLOOKUP(CLEAN($V463),'All Security Controls'!A:I, 2, FALSE),"---")</f>
        <v>Memory Protection</v>
      </c>
      <c r="X463" s="14" t="str">
        <f>IFERROR(VLOOKUP(CLEAN($V463),'All Security Controls'!$A:$I, 4, FALSE),"---")</f>
        <v>CRWG Yellow Criticality Control</v>
      </c>
      <c r="Y463" s="14" t="str">
        <f>IFERROR(VLOOKUP(CLEAN($V463),'All Security Controls'!$A:$I,5, FALSE),"---")</f>
        <v>Annually</v>
      </c>
      <c r="Z463" s="14" t="str">
        <f>IFERROR(VLOOKUP(CLEAN($V463),'All Security Controls'!$A:$I,6, FALSE),"---")</f>
        <v>Manual</v>
      </c>
      <c r="AA463" s="14" t="str">
        <f>IFERROR(VLOOKUP(CLEAN($V463),'All Security Controls'!$A:$I,7, FALSE),"---")</f>
        <v>via telephone or e-mail, the System Owner reports to the cybersecurity chain of command, and after appropriate (but not prolonged) investigation into the severity/urgency of the situation, the AO is advised and provided an authorization/connection decision recommendation</v>
      </c>
      <c r="AB463" s="14" t="str">
        <f>IFERROR(VLOOKUP(CLEAN($V463),'All Security Controls'!$A:$I,8, FALSE),"---")</f>
        <v>POA&amp;M</v>
      </c>
      <c r="AC463" s="14" t="str">
        <f>IFERROR(VLOOKUP(CLEAN($V463),'All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63" s="26">
        <v>462</v>
      </c>
    </row>
    <row r="464" spans="1:30" s="10" customFormat="1">
      <c r="A464"/>
      <c r="B464"/>
      <c r="C464"/>
      <c r="D464"/>
      <c r="E464"/>
      <c r="F464"/>
      <c r="G464"/>
      <c r="H464"/>
      <c r="I464"/>
      <c r="J464"/>
      <c r="K464"/>
      <c r="L464"/>
      <c r="M464"/>
      <c r="N464"/>
      <c r="O464"/>
      <c r="P464"/>
      <c r="Q464"/>
      <c r="R464"/>
      <c r="S464"/>
      <c r="T464"/>
      <c r="V464" s="66" t="s">
        <v>478</v>
      </c>
      <c r="W464" s="16" t="str">
        <f>IFERROR(VLOOKUP(CLEAN($V464),'All Security Controls'!A:I, 2, FALSE),"---")</f>
        <v>Privacy Notice</v>
      </c>
      <c r="X464" s="14" t="str">
        <f>IFERROR(VLOOKUP(CLEAN($V464),'All Security Controls'!$A:$I, 4, FALSE),"---")</f>
        <v>CRWG White Criticality Control</v>
      </c>
      <c r="Y464" s="14" t="str">
        <f>IFERROR(VLOOKUP(CLEAN($V464),'All Security Controls'!$A:$I,5, FALSE),"---")</f>
        <v>Annually</v>
      </c>
      <c r="Z464" s="14" t="str">
        <f>IFERROR(VLOOKUP(CLEAN($V464),'All Security Controls'!$A:$I,6, FALSE),"---")</f>
        <v>Manual</v>
      </c>
      <c r="AA464" s="14" t="str">
        <f>IFERROR(VLOOKUP(CLEAN($V464),'All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64" s="14" t="str">
        <f>IFERROR(VLOOKUP(CLEAN($V464),'All Security Controls'!$A:$I,8, FALSE),"---")</f>
        <v>POA&amp;M</v>
      </c>
      <c r="AC464" s="14" t="str">
        <f>IFERROR(VLOOKUP(CLEAN($V464),'All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64" s="26">
        <v>463</v>
      </c>
    </row>
    <row r="465" spans="1:30" s="10" customFormat="1">
      <c r="A465"/>
      <c r="B465"/>
      <c r="C465"/>
      <c r="D465"/>
      <c r="E465"/>
      <c r="F465"/>
      <c r="G465"/>
      <c r="H465"/>
      <c r="I465"/>
      <c r="J465"/>
      <c r="K465"/>
      <c r="L465"/>
      <c r="M465"/>
      <c r="N465"/>
      <c r="O465"/>
      <c r="P465"/>
      <c r="Q465"/>
      <c r="R465"/>
      <c r="S465"/>
      <c r="T465"/>
      <c r="V465" s="66" t="s">
        <v>479</v>
      </c>
      <c r="W465" s="16" t="str">
        <f>IFERROR(VLOOKUP(CLEAN($V465),'All Security Controls'!A:I, 2, FALSE),"---")</f>
        <v>System of Records Notices and Privacy Act Statements</v>
      </c>
      <c r="X465" s="14" t="str">
        <f>IFERROR(VLOOKUP(CLEAN($V465),'All Security Controls'!$A:$I, 4, FALSE),"---")</f>
        <v>CRWG White Criticality Control</v>
      </c>
      <c r="Y465" s="14" t="str">
        <f>IFERROR(VLOOKUP(CLEAN($V465),'All Security Controls'!$A:$I,5, FALSE),"---")</f>
        <v>Annually</v>
      </c>
      <c r="Z465" s="14" t="str">
        <f>IFERROR(VLOOKUP(CLEAN($V465),'All Security Controls'!$A:$I,6, FALSE),"---")</f>
        <v>Manual</v>
      </c>
      <c r="AA465" s="14" t="str">
        <f>IFERROR(VLOOKUP(CLEAN($V465),'All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65" s="14" t="str">
        <f>IFERROR(VLOOKUP(CLEAN($V465),'All Security Controls'!$A:$I,8, FALSE),"---")</f>
        <v>POA&amp;M</v>
      </c>
      <c r="AC465" s="14" t="str">
        <f>IFERROR(VLOOKUP(CLEAN($V465),'All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65" s="26">
        <v>464</v>
      </c>
    </row>
    <row r="466" spans="1:30" s="10" customFormat="1">
      <c r="A466"/>
      <c r="B466"/>
      <c r="C466"/>
      <c r="D466"/>
      <c r="E466"/>
      <c r="F466"/>
      <c r="G466"/>
      <c r="H466"/>
      <c r="I466"/>
      <c r="J466"/>
      <c r="K466"/>
      <c r="L466"/>
      <c r="M466"/>
      <c r="N466"/>
      <c r="O466"/>
      <c r="P466"/>
      <c r="Q466"/>
      <c r="R466"/>
      <c r="S466"/>
      <c r="T466"/>
      <c r="V466" s="66" t="s">
        <v>480</v>
      </c>
      <c r="W466" s="16" t="str">
        <f>IFERROR(VLOOKUP(CLEAN($V466),'All Security Controls'!A:I, 2, FALSE),"---")</f>
        <v>System of Records Notices and Privacy Act Statements | Public Website Publication</v>
      </c>
      <c r="X466" s="14" t="str">
        <f>IFERROR(VLOOKUP(CLEAN($V466),'All Security Controls'!$A:$I, 4, FALSE),"---")</f>
        <v>CRWG White Criticality Control</v>
      </c>
      <c r="Y466" s="14" t="str">
        <f>IFERROR(VLOOKUP(CLEAN($V466),'All Security Controls'!$A:$I,5, FALSE),"---")</f>
        <v>Annually</v>
      </c>
      <c r="Z466" s="14" t="str">
        <f>IFERROR(VLOOKUP(CLEAN($V466),'All Security Controls'!$A:$I,6, FALSE),"---")</f>
        <v>Manual</v>
      </c>
      <c r="AA466" s="14" t="str">
        <f>IFERROR(VLOOKUP(CLEAN($V466),'All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66" s="14" t="str">
        <f>IFERROR(VLOOKUP(CLEAN($V466),'All Security Controls'!$A:$I,8, FALSE),"---")</f>
        <v>POA&amp;M</v>
      </c>
      <c r="AC466" s="14" t="str">
        <f>IFERROR(VLOOKUP(CLEAN($V466),'All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66" s="26">
        <v>465</v>
      </c>
    </row>
    <row r="467" spans="1:30" s="10" customFormat="1">
      <c r="A467"/>
      <c r="B467"/>
      <c r="C467"/>
      <c r="D467"/>
      <c r="E467"/>
      <c r="F467"/>
      <c r="G467"/>
      <c r="H467"/>
      <c r="I467"/>
      <c r="J467"/>
      <c r="K467"/>
      <c r="L467"/>
      <c r="M467"/>
      <c r="N467"/>
      <c r="O467"/>
      <c r="P467"/>
      <c r="Q467"/>
      <c r="R467"/>
      <c r="S467"/>
      <c r="T467"/>
      <c r="V467" s="66" t="s">
        <v>481</v>
      </c>
      <c r="W467" s="16" t="str">
        <f>IFERROR(VLOOKUP(CLEAN($V467),'All Security Controls'!A:I, 2, FALSE),"---")</f>
        <v>Dissemination of Privacy Program Information</v>
      </c>
      <c r="X467" s="14" t="str">
        <f>IFERROR(VLOOKUP(CLEAN($V467),'All Security Controls'!$A:$I, 4, FALSE),"---")</f>
        <v>CRWG White Criticality Control</v>
      </c>
      <c r="Y467" s="14" t="str">
        <f>IFERROR(VLOOKUP(CLEAN($V467),'All Security Controls'!$A:$I,5, FALSE),"---")</f>
        <v>Annually</v>
      </c>
      <c r="Z467" s="14" t="str">
        <f>IFERROR(VLOOKUP(CLEAN($V467),'All Security Controls'!$A:$I,6, FALSE),"---")</f>
        <v>Manual</v>
      </c>
      <c r="AA467" s="14" t="str">
        <f>IFERROR(VLOOKUP(CLEAN($V467),'All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67" s="14" t="str">
        <f>IFERROR(VLOOKUP(CLEAN($V467),'All Security Controls'!$A:$I,8, FALSE),"---")</f>
        <v>POA&amp;M</v>
      </c>
      <c r="AC467" s="14" t="str">
        <f>IFERROR(VLOOKUP(CLEAN($V467),'All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67" s="26">
        <v>466</v>
      </c>
    </row>
    <row r="468" spans="1:30" s="10" customFormat="1">
      <c r="A468"/>
      <c r="B468"/>
      <c r="C468"/>
      <c r="D468"/>
      <c r="E468"/>
      <c r="F468"/>
      <c r="G468"/>
      <c r="H468"/>
      <c r="I468"/>
      <c r="J468"/>
      <c r="K468"/>
      <c r="L468"/>
      <c r="M468"/>
      <c r="N468"/>
      <c r="O468"/>
      <c r="P468"/>
      <c r="Q468"/>
      <c r="R468"/>
      <c r="S468"/>
      <c r="T468"/>
      <c r="V468" s="66" t="s">
        <v>482</v>
      </c>
      <c r="W468" s="16" t="str">
        <f>IFERROR(VLOOKUP(CLEAN($V468),'All Security Controls'!A:I, 2, FALSE),"---")</f>
        <v>Internal Use</v>
      </c>
      <c r="X468" s="14" t="str">
        <f>IFERROR(VLOOKUP(CLEAN($V468),'All Security Controls'!$A:$I, 4, FALSE),"---")</f>
        <v>CRWG White Criticality Control</v>
      </c>
      <c r="Y468" s="14" t="str">
        <f>IFERROR(VLOOKUP(CLEAN($V468),'All Security Controls'!$A:$I,5, FALSE),"---")</f>
        <v>Annually</v>
      </c>
      <c r="Z468" s="14" t="str">
        <f>IFERROR(VLOOKUP(CLEAN($V468),'All Security Controls'!$A:$I,6, FALSE),"---")</f>
        <v>Manual</v>
      </c>
      <c r="AA468" s="14" t="str">
        <f>IFERROR(VLOOKUP(CLEAN($V468),'All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68" s="14" t="str">
        <f>IFERROR(VLOOKUP(CLEAN($V468),'All Security Controls'!$A:$I,8, FALSE),"---")</f>
        <v>POA&amp;M</v>
      </c>
      <c r="AC468" s="14" t="str">
        <f>IFERROR(VLOOKUP(CLEAN($V468),'All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68" s="26">
        <v>467</v>
      </c>
    </row>
    <row r="469" spans="1:30" s="10" customFormat="1">
      <c r="A469"/>
      <c r="B469"/>
      <c r="C469"/>
      <c r="D469"/>
      <c r="E469"/>
      <c r="F469"/>
      <c r="G469"/>
      <c r="H469"/>
      <c r="I469"/>
      <c r="J469"/>
      <c r="K469"/>
      <c r="L469"/>
      <c r="M469"/>
      <c r="N469"/>
      <c r="O469"/>
      <c r="P469"/>
      <c r="Q469"/>
      <c r="R469"/>
      <c r="S469"/>
      <c r="T469"/>
      <c r="V469" s="66" t="s">
        <v>483</v>
      </c>
      <c r="W469" s="16" t="str">
        <f>IFERROR(VLOOKUP(CLEAN($V469),'All Security Controls'!A:I, 2, FALSE),"---")</f>
        <v>Information Sharing with Third Parties</v>
      </c>
      <c r="X469" s="14" t="str">
        <f>IFERROR(VLOOKUP(CLEAN($V469),'All Security Controls'!$A:$I, 4, FALSE),"---")</f>
        <v>CRWG White Criticality Control</v>
      </c>
      <c r="Y469" s="14" t="str">
        <f>IFERROR(VLOOKUP(CLEAN($V469),'All Security Controls'!$A:$I,5, FALSE),"---")</f>
        <v>Annually</v>
      </c>
      <c r="Z469" s="14" t="str">
        <f>IFERROR(VLOOKUP(CLEAN($V469),'All Security Controls'!$A:$I,6, FALSE),"---")</f>
        <v>Manual</v>
      </c>
      <c r="AA469" s="14" t="str">
        <f>IFERROR(VLOOKUP(CLEAN($V469),'All Security Controls'!$A:$I,7, FALSE),"---")</f>
        <v>System Owner resolves the situation in due course, keeping the cybersecurity chain advised via e-mail or normal tracking tools (e.g., eMASS); the AO is contacted for an authorization/connection decision only if the risk cannot be reduced back to the accepted level in a reasonable time</v>
      </c>
      <c r="AB469" s="14" t="str">
        <f>IFERROR(VLOOKUP(CLEAN($V469),'All Security Controls'!$A:$I,8, FALSE),"---")</f>
        <v>POA&amp;M</v>
      </c>
      <c r="AC469" s="14" t="str">
        <f>IFERROR(VLOOKUP(CLEAN($V469),'All Security Controls'!$A:$I,9, FALSE),"---")</f>
        <v>Attributes for Criticality, Frequency, Method, Reporting, and Tracking are selected per guidance from DoD Guide for Developing a System-Level Continuous Monitoring Strategy and the DCSA System-Level Continuous Monitoring of Security Controls Guide</v>
      </c>
      <c r="AD469" s="26">
        <v>468</v>
      </c>
    </row>
    <row r="470" spans="1:30" s="10" customFormat="1">
      <c r="A470"/>
      <c r="B470"/>
      <c r="C470"/>
      <c r="D470"/>
      <c r="E470"/>
      <c r="F470"/>
      <c r="G470"/>
      <c r="H470"/>
      <c r="I470"/>
      <c r="J470"/>
      <c r="K470"/>
      <c r="L470"/>
      <c r="M470"/>
      <c r="N470"/>
      <c r="O470"/>
      <c r="P470"/>
      <c r="Q470"/>
      <c r="R470"/>
      <c r="S470"/>
      <c r="T470"/>
      <c r="V470" s="24"/>
      <c r="W470" s="16" t="str">
        <f>IFERROR(VLOOKUP(CLEAN($V470),'All Security Controls'!A:I, 2, FALSE),"---")</f>
        <v>---</v>
      </c>
      <c r="X470" s="14" t="str">
        <f>IFERROR(VLOOKUP(CLEAN($V470),'All Security Controls'!$A:$I, 4, FALSE),"---")</f>
        <v>---</v>
      </c>
      <c r="Y470" s="14" t="str">
        <f>IFERROR(VLOOKUP(CLEAN($V470),'All Security Controls'!$A:$I,5, FALSE),"---")</f>
        <v>---</v>
      </c>
      <c r="Z470" s="14" t="str">
        <f>IFERROR(VLOOKUP(CLEAN($V470),'All Security Controls'!$A:$I,6, FALSE),"---")</f>
        <v>---</v>
      </c>
      <c r="AA470" s="14" t="str">
        <f>IFERROR(VLOOKUP(CLEAN($V470),'All Security Controls'!$A:$I,7, FALSE),"---")</f>
        <v>---</v>
      </c>
      <c r="AB470" s="14" t="str">
        <f>IFERROR(VLOOKUP(CLEAN($V470),'All Security Controls'!$A:$I,8, FALSE),"---")</f>
        <v>---</v>
      </c>
      <c r="AC470" s="14" t="str">
        <f>IFERROR(VLOOKUP(CLEAN($V470),'All Security Controls'!$A:$I,9, FALSE),"---")</f>
        <v>---</v>
      </c>
      <c r="AD470" s="26">
        <v>469</v>
      </c>
    </row>
    <row r="471" spans="1:30" s="10" customFormat="1">
      <c r="A471"/>
      <c r="B471"/>
      <c r="C471"/>
      <c r="D471"/>
      <c r="E471"/>
      <c r="F471"/>
      <c r="G471"/>
      <c r="H471"/>
      <c r="I471"/>
      <c r="J471"/>
      <c r="K471"/>
      <c r="L471"/>
      <c r="M471"/>
      <c r="N471"/>
      <c r="O471"/>
      <c r="P471"/>
      <c r="Q471"/>
      <c r="R471"/>
      <c r="S471"/>
      <c r="T471"/>
      <c r="V471" s="24"/>
      <c r="W471" s="16" t="str">
        <f>IFERROR(VLOOKUP(CLEAN($V471),'All Security Controls'!A:I, 2, FALSE),"---")</f>
        <v>---</v>
      </c>
      <c r="X471" s="14" t="str">
        <f>IFERROR(VLOOKUP(CLEAN($V471),'All Security Controls'!$A:$I, 4, FALSE),"---")</f>
        <v>---</v>
      </c>
      <c r="Y471" s="14" t="str">
        <f>IFERROR(VLOOKUP(CLEAN($V471),'All Security Controls'!$A:$I,5, FALSE),"---")</f>
        <v>---</v>
      </c>
      <c r="Z471" s="14" t="str">
        <f>IFERROR(VLOOKUP(CLEAN($V471),'All Security Controls'!$A:$I,6, FALSE),"---")</f>
        <v>---</v>
      </c>
      <c r="AA471" s="14" t="str">
        <f>IFERROR(VLOOKUP(CLEAN($V471),'All Security Controls'!$A:$I,7, FALSE),"---")</f>
        <v>---</v>
      </c>
      <c r="AB471" s="14" t="str">
        <f>IFERROR(VLOOKUP(CLEAN($V471),'All Security Controls'!$A:$I,8, FALSE),"---")</f>
        <v>---</v>
      </c>
      <c r="AC471" s="14" t="str">
        <f>IFERROR(VLOOKUP(CLEAN($V471),'All Security Controls'!$A:$I,9, FALSE),"---")</f>
        <v>---</v>
      </c>
      <c r="AD471" s="26">
        <v>470</v>
      </c>
    </row>
    <row r="472" spans="1:30" s="10" customFormat="1" thickBot="1">
      <c r="A472"/>
      <c r="B472"/>
      <c r="C472"/>
      <c r="D472"/>
      <c r="E472"/>
      <c r="F472"/>
      <c r="G472"/>
      <c r="H472"/>
      <c r="I472"/>
      <c r="J472"/>
      <c r="K472"/>
      <c r="L472"/>
      <c r="M472"/>
      <c r="N472"/>
      <c r="O472"/>
      <c r="P472"/>
      <c r="Q472"/>
      <c r="R472"/>
      <c r="S472"/>
      <c r="T472"/>
      <c r="V472" s="24"/>
      <c r="W472" s="16" t="str">
        <f>IFERROR(VLOOKUP(CLEAN($V472),'All Security Controls'!A:I, 2, FALSE),"---")</f>
        <v>---</v>
      </c>
      <c r="X472" s="14" t="str">
        <f>IFERROR(VLOOKUP(CLEAN($V472),'All Security Controls'!$A:$I, 4, FALSE),"---")</f>
        <v>---</v>
      </c>
      <c r="Y472" s="14" t="str">
        <f>IFERROR(VLOOKUP(CLEAN($V472),'All Security Controls'!$A:$I,5, FALSE),"---")</f>
        <v>---</v>
      </c>
      <c r="Z472" s="14" t="str">
        <f>IFERROR(VLOOKUP(CLEAN($V472),'All Security Controls'!$A:$I,6, FALSE),"---")</f>
        <v>---</v>
      </c>
      <c r="AA472" s="14" t="str">
        <f>IFERROR(VLOOKUP(CLEAN($V472),'All Security Controls'!$A:$I,7, FALSE),"---")</f>
        <v>---</v>
      </c>
      <c r="AB472" s="14" t="str">
        <f>IFERROR(VLOOKUP(CLEAN($V472),'All Security Controls'!$A:$I,8, FALSE),"---")</f>
        <v>---</v>
      </c>
      <c r="AC472" s="14" t="str">
        <f>IFERROR(VLOOKUP(CLEAN($V472),'All Security Controls'!$A:$I,9, FALSE),"---")</f>
        <v>---</v>
      </c>
      <c r="AD472" s="26">
        <v>471</v>
      </c>
    </row>
    <row r="473" spans="1:30" s="10" customFormat="1" thickBot="1">
      <c r="A473"/>
      <c r="B473"/>
      <c r="C473"/>
      <c r="D473"/>
      <c r="E473"/>
      <c r="F473"/>
      <c r="G473"/>
      <c r="H473"/>
      <c r="I473"/>
      <c r="J473"/>
      <c r="K473"/>
      <c r="L473"/>
      <c r="M473"/>
      <c r="N473"/>
      <c r="O473"/>
      <c r="P473"/>
      <c r="Q473"/>
      <c r="R473"/>
      <c r="S473"/>
      <c r="T473"/>
      <c r="V473" s="24"/>
      <c r="W473" s="16" t="str">
        <f>IFERROR(VLOOKUP(CLEAN($V473),'All Security Controls'!A:I, 2, FALSE),"---")</f>
        <v>---</v>
      </c>
      <c r="X473" s="14" t="str">
        <f>IFERROR(VLOOKUP(CLEAN($V473),'All Security Controls'!$A:$I, 4, FALSE),"---")</f>
        <v>---</v>
      </c>
      <c r="Y473" s="14" t="str">
        <f>IFERROR(VLOOKUP(CLEAN($V473),'All Security Controls'!$A:$I,5, FALSE),"---")</f>
        <v>---</v>
      </c>
      <c r="Z473" s="14" t="str">
        <f>IFERROR(VLOOKUP(CLEAN($V473),'All Security Controls'!$A:$I,6, FALSE),"---")</f>
        <v>---</v>
      </c>
      <c r="AA473" s="14" t="str">
        <f>IFERROR(VLOOKUP(CLEAN($V473),'All Security Controls'!$A:$I,7, FALSE),"---")</f>
        <v>---</v>
      </c>
      <c r="AB473" s="14" t="str">
        <f>IFERROR(VLOOKUP(CLEAN($V473),'All Security Controls'!$A:$I,8, FALSE),"---")</f>
        <v>---</v>
      </c>
      <c r="AC473" s="14" t="str">
        <f>IFERROR(VLOOKUP(CLEAN($V473),'All Security Controls'!$A:$I,9, FALSE),"---")</f>
        <v>---</v>
      </c>
      <c r="AD473" s="26">
        <v>472</v>
      </c>
    </row>
    <row r="474" spans="1:30" s="10" customFormat="1" thickBot="1">
      <c r="A474"/>
      <c r="B474"/>
      <c r="C474"/>
      <c r="D474"/>
      <c r="E474"/>
      <c r="F474"/>
      <c r="G474"/>
      <c r="H474"/>
      <c r="I474"/>
      <c r="J474"/>
      <c r="K474"/>
      <c r="L474"/>
      <c r="M474"/>
      <c r="N474"/>
      <c r="O474"/>
      <c r="P474"/>
      <c r="Q474"/>
      <c r="R474"/>
      <c r="S474"/>
      <c r="T474"/>
      <c r="V474" s="24"/>
      <c r="W474" s="16" t="str">
        <f>IFERROR(VLOOKUP(CLEAN($V474),'All Security Controls'!A:I, 2, FALSE),"---")</f>
        <v>---</v>
      </c>
      <c r="X474" s="14" t="str">
        <f>IFERROR(VLOOKUP(CLEAN($V474),'All Security Controls'!$A:$I, 4, FALSE),"---")</f>
        <v>---</v>
      </c>
      <c r="Y474" s="14" t="str">
        <f>IFERROR(VLOOKUP(CLEAN($V474),'All Security Controls'!$A:$I,5, FALSE),"---")</f>
        <v>---</v>
      </c>
      <c r="Z474" s="14" t="str">
        <f>IFERROR(VLOOKUP(CLEAN($V474),'All Security Controls'!$A:$I,6, FALSE),"---")</f>
        <v>---</v>
      </c>
      <c r="AA474" s="14" t="str">
        <f>IFERROR(VLOOKUP(CLEAN($V474),'All Security Controls'!$A:$I,7, FALSE),"---")</f>
        <v>---</v>
      </c>
      <c r="AB474" s="14" t="str">
        <f>IFERROR(VLOOKUP(CLEAN($V474),'All Security Controls'!$A:$I,8, FALSE),"---")</f>
        <v>---</v>
      </c>
      <c r="AC474" s="14" t="str">
        <f>IFERROR(VLOOKUP(CLEAN($V474),'All Security Controls'!$A:$I,9, FALSE),"---")</f>
        <v>---</v>
      </c>
      <c r="AD474" s="26">
        <v>473</v>
      </c>
    </row>
    <row r="475" spans="1:30" s="10" customFormat="1" thickBot="1">
      <c r="A475"/>
      <c r="B475"/>
      <c r="C475"/>
      <c r="D475"/>
      <c r="E475"/>
      <c r="F475"/>
      <c r="G475"/>
      <c r="H475"/>
      <c r="I475"/>
      <c r="J475"/>
      <c r="K475"/>
      <c r="L475"/>
      <c r="M475"/>
      <c r="N475"/>
      <c r="O475"/>
      <c r="P475"/>
      <c r="Q475"/>
      <c r="R475"/>
      <c r="S475"/>
      <c r="T475"/>
      <c r="V475" s="24"/>
      <c r="W475" s="16" t="str">
        <f>IFERROR(VLOOKUP(CLEAN($V475),'All Security Controls'!A:I, 2, FALSE),"---")</f>
        <v>---</v>
      </c>
      <c r="X475" s="14" t="str">
        <f>IFERROR(VLOOKUP(CLEAN($V475),'All Security Controls'!$A:$I, 4, FALSE),"---")</f>
        <v>---</v>
      </c>
      <c r="Y475" s="14" t="str">
        <f>IFERROR(VLOOKUP(CLEAN($V475),'All Security Controls'!$A:$I,5, FALSE),"---")</f>
        <v>---</v>
      </c>
      <c r="Z475" s="14" t="str">
        <f>IFERROR(VLOOKUP(CLEAN($V475),'All Security Controls'!$A:$I,6, FALSE),"---")</f>
        <v>---</v>
      </c>
      <c r="AA475" s="14" t="str">
        <f>IFERROR(VLOOKUP(CLEAN($V475),'All Security Controls'!$A:$I,7, FALSE),"---")</f>
        <v>---</v>
      </c>
      <c r="AB475" s="14" t="str">
        <f>IFERROR(VLOOKUP(CLEAN($V475),'All Security Controls'!$A:$I,8, FALSE),"---")</f>
        <v>---</v>
      </c>
      <c r="AC475" s="14" t="str">
        <f>IFERROR(VLOOKUP(CLEAN($V475),'All Security Controls'!$A:$I,9, FALSE),"---")</f>
        <v>---</v>
      </c>
      <c r="AD475" s="26">
        <v>474</v>
      </c>
    </row>
    <row r="476" spans="1:30" s="10" customFormat="1" thickBot="1">
      <c r="A476"/>
      <c r="B476"/>
      <c r="C476"/>
      <c r="D476"/>
      <c r="E476"/>
      <c r="F476"/>
      <c r="G476"/>
      <c r="H476"/>
      <c r="I476"/>
      <c r="J476"/>
      <c r="K476"/>
      <c r="L476"/>
      <c r="M476"/>
      <c r="N476"/>
      <c r="O476"/>
      <c r="P476"/>
      <c r="Q476"/>
      <c r="R476"/>
      <c r="S476"/>
      <c r="T476"/>
      <c r="V476" s="24"/>
      <c r="W476" s="16" t="str">
        <f>IFERROR(VLOOKUP(CLEAN($V476),'All Security Controls'!A:I, 2, FALSE),"---")</f>
        <v>---</v>
      </c>
      <c r="X476" s="14" t="str">
        <f>IFERROR(VLOOKUP(CLEAN($V476),'All Security Controls'!$A:$I, 4, FALSE),"---")</f>
        <v>---</v>
      </c>
      <c r="Y476" s="14" t="str">
        <f>IFERROR(VLOOKUP(CLEAN($V476),'All Security Controls'!$A:$I,5, FALSE),"---")</f>
        <v>---</v>
      </c>
      <c r="Z476" s="14" t="str">
        <f>IFERROR(VLOOKUP(CLEAN($V476),'All Security Controls'!$A:$I,6, FALSE),"---")</f>
        <v>---</v>
      </c>
      <c r="AA476" s="14" t="str">
        <f>IFERROR(VLOOKUP(CLEAN($V476),'All Security Controls'!$A:$I,7, FALSE),"---")</f>
        <v>---</v>
      </c>
      <c r="AB476" s="14" t="str">
        <f>IFERROR(VLOOKUP(CLEAN($V476),'All Security Controls'!$A:$I,8, FALSE),"---")</f>
        <v>---</v>
      </c>
      <c r="AC476" s="14" t="str">
        <f>IFERROR(VLOOKUP(CLEAN($V476),'All Security Controls'!$A:$I,9, FALSE),"---")</f>
        <v>---</v>
      </c>
      <c r="AD476" s="26">
        <v>475</v>
      </c>
    </row>
    <row r="477" spans="1:30" s="10" customFormat="1" thickBot="1">
      <c r="A477"/>
      <c r="B477"/>
      <c r="C477"/>
      <c r="D477"/>
      <c r="E477"/>
      <c r="F477"/>
      <c r="G477"/>
      <c r="H477"/>
      <c r="I477"/>
      <c r="J477"/>
      <c r="K477"/>
      <c r="L477"/>
      <c r="M477"/>
      <c r="N477"/>
      <c r="O477"/>
      <c r="P477"/>
      <c r="Q477"/>
      <c r="R477"/>
      <c r="S477"/>
      <c r="T477"/>
      <c r="V477" s="24"/>
      <c r="W477" s="16" t="str">
        <f>IFERROR(VLOOKUP(CLEAN($V477),'All Security Controls'!A:I, 2, FALSE),"---")</f>
        <v>---</v>
      </c>
      <c r="X477" s="14" t="str">
        <f>IFERROR(VLOOKUP(CLEAN($V477),'All Security Controls'!$A:$I, 4, FALSE),"---")</f>
        <v>---</v>
      </c>
      <c r="Y477" s="14" t="str">
        <f>IFERROR(VLOOKUP(CLEAN($V477),'All Security Controls'!$A:$I,5, FALSE),"---")</f>
        <v>---</v>
      </c>
      <c r="Z477" s="14" t="str">
        <f>IFERROR(VLOOKUP(CLEAN($V477),'All Security Controls'!$A:$I,6, FALSE),"---")</f>
        <v>---</v>
      </c>
      <c r="AA477" s="14" t="str">
        <f>IFERROR(VLOOKUP(CLEAN($V477),'All Security Controls'!$A:$I,7, FALSE),"---")</f>
        <v>---</v>
      </c>
      <c r="AB477" s="14" t="str">
        <f>IFERROR(VLOOKUP(CLEAN($V477),'All Security Controls'!$A:$I,8, FALSE),"---")</f>
        <v>---</v>
      </c>
      <c r="AC477" s="14" t="str">
        <f>IFERROR(VLOOKUP(CLEAN($V477),'All Security Controls'!$A:$I,9, FALSE),"---")</f>
        <v>---</v>
      </c>
      <c r="AD477" s="26">
        <v>476</v>
      </c>
    </row>
    <row r="478" spans="1:30" s="10" customFormat="1" thickBot="1">
      <c r="A478"/>
      <c r="B478"/>
      <c r="C478"/>
      <c r="D478"/>
      <c r="E478"/>
      <c r="F478"/>
      <c r="G478"/>
      <c r="H478"/>
      <c r="I478"/>
      <c r="J478"/>
      <c r="K478"/>
      <c r="L478"/>
      <c r="M478"/>
      <c r="N478"/>
      <c r="O478"/>
      <c r="P478"/>
      <c r="Q478"/>
      <c r="R478"/>
      <c r="S478"/>
      <c r="T478"/>
      <c r="V478" s="24"/>
      <c r="W478" s="16" t="str">
        <f>IFERROR(VLOOKUP(CLEAN($V478),'All Security Controls'!A:I, 2, FALSE),"---")</f>
        <v>---</v>
      </c>
      <c r="X478" s="14" t="str">
        <f>IFERROR(VLOOKUP(CLEAN($V478),'All Security Controls'!$A:$I, 4, FALSE),"---")</f>
        <v>---</v>
      </c>
      <c r="Y478" s="14" t="str">
        <f>IFERROR(VLOOKUP(CLEAN($V478),'All Security Controls'!$A:$I,5, FALSE),"---")</f>
        <v>---</v>
      </c>
      <c r="Z478" s="14" t="str">
        <f>IFERROR(VLOOKUP(CLEAN($V478),'All Security Controls'!$A:$I,6, FALSE),"---")</f>
        <v>---</v>
      </c>
      <c r="AA478" s="14" t="str">
        <f>IFERROR(VLOOKUP(CLEAN($V478),'All Security Controls'!$A:$I,7, FALSE),"---")</f>
        <v>---</v>
      </c>
      <c r="AB478" s="14" t="str">
        <f>IFERROR(VLOOKUP(CLEAN($V478),'All Security Controls'!$A:$I,8, FALSE),"---")</f>
        <v>---</v>
      </c>
      <c r="AC478" s="14" t="str">
        <f>IFERROR(VLOOKUP(CLEAN($V478),'All Security Controls'!$A:$I,9, FALSE),"---")</f>
        <v>---</v>
      </c>
      <c r="AD478" s="26">
        <v>477</v>
      </c>
    </row>
    <row r="479" spans="1:30" s="10" customFormat="1" thickBot="1">
      <c r="A479"/>
      <c r="B479"/>
      <c r="C479"/>
      <c r="D479"/>
      <c r="E479"/>
      <c r="F479"/>
      <c r="G479"/>
      <c r="H479"/>
      <c r="I479"/>
      <c r="J479"/>
      <c r="K479"/>
      <c r="L479"/>
      <c r="M479"/>
      <c r="N479"/>
      <c r="O479"/>
      <c r="P479"/>
      <c r="Q479"/>
      <c r="R479"/>
      <c r="S479"/>
      <c r="T479"/>
      <c r="V479" s="24"/>
      <c r="W479" s="16" t="str">
        <f>IFERROR(VLOOKUP(CLEAN($V479),'All Security Controls'!A:I, 2, FALSE),"---")</f>
        <v>---</v>
      </c>
      <c r="X479" s="14" t="str">
        <f>IFERROR(VLOOKUP(CLEAN($V479),'All Security Controls'!$A:$I, 4, FALSE),"---")</f>
        <v>---</v>
      </c>
      <c r="Y479" s="14" t="str">
        <f>IFERROR(VLOOKUP(CLEAN($V479),'All Security Controls'!$A:$I,5, FALSE),"---")</f>
        <v>---</v>
      </c>
      <c r="Z479" s="14" t="str">
        <f>IFERROR(VLOOKUP(CLEAN($V479),'All Security Controls'!$A:$I,6, FALSE),"---")</f>
        <v>---</v>
      </c>
      <c r="AA479" s="14" t="str">
        <f>IFERROR(VLOOKUP(CLEAN($V479),'All Security Controls'!$A:$I,7, FALSE),"---")</f>
        <v>---</v>
      </c>
      <c r="AB479" s="14" t="str">
        <f>IFERROR(VLOOKUP(CLEAN($V479),'All Security Controls'!$A:$I,8, FALSE),"---")</f>
        <v>---</v>
      </c>
      <c r="AC479" s="14" t="str">
        <f>IFERROR(VLOOKUP(CLEAN($V479),'All Security Controls'!$A:$I,9, FALSE),"---")</f>
        <v>---</v>
      </c>
      <c r="AD479" s="26">
        <v>478</v>
      </c>
    </row>
    <row r="480" spans="1:30" s="10" customFormat="1" thickBot="1">
      <c r="A480"/>
      <c r="B480"/>
      <c r="C480"/>
      <c r="D480"/>
      <c r="E480"/>
      <c r="F480"/>
      <c r="G480"/>
      <c r="H480"/>
      <c r="I480"/>
      <c r="J480"/>
      <c r="K480"/>
      <c r="L480"/>
      <c r="M480"/>
      <c r="N480"/>
      <c r="O480"/>
      <c r="P480"/>
      <c r="Q480"/>
      <c r="R480"/>
      <c r="S480"/>
      <c r="T480"/>
      <c r="V480" s="24"/>
      <c r="W480" s="16" t="str">
        <f>IFERROR(VLOOKUP(CLEAN($V480),'All Security Controls'!A:I, 2, FALSE),"---")</f>
        <v>---</v>
      </c>
      <c r="X480" s="14" t="str">
        <f>IFERROR(VLOOKUP(CLEAN($V480),'All Security Controls'!$A:$I, 4, FALSE),"---")</f>
        <v>---</v>
      </c>
      <c r="Y480" s="14" t="str">
        <f>IFERROR(VLOOKUP(CLEAN($V480),'All Security Controls'!$A:$I,5, FALSE),"---")</f>
        <v>---</v>
      </c>
      <c r="Z480" s="14" t="str">
        <f>IFERROR(VLOOKUP(CLEAN($V480),'All Security Controls'!$A:$I,6, FALSE),"---")</f>
        <v>---</v>
      </c>
      <c r="AA480" s="14" t="str">
        <f>IFERROR(VLOOKUP(CLEAN($V480),'All Security Controls'!$A:$I,7, FALSE),"---")</f>
        <v>---</v>
      </c>
      <c r="AB480" s="14" t="str">
        <f>IFERROR(VLOOKUP(CLEAN($V480),'All Security Controls'!$A:$I,8, FALSE),"---")</f>
        <v>---</v>
      </c>
      <c r="AC480" s="14" t="str">
        <f>IFERROR(VLOOKUP(CLEAN($V480),'All Security Controls'!$A:$I,9, FALSE),"---")</f>
        <v>---</v>
      </c>
      <c r="AD480" s="26">
        <v>479</v>
      </c>
    </row>
    <row r="481" spans="1:30" s="10" customFormat="1" thickBot="1">
      <c r="A481"/>
      <c r="B481"/>
      <c r="C481"/>
      <c r="D481"/>
      <c r="E481"/>
      <c r="F481"/>
      <c r="G481"/>
      <c r="H481"/>
      <c r="I481"/>
      <c r="J481"/>
      <c r="K481"/>
      <c r="L481"/>
      <c r="M481"/>
      <c r="N481"/>
      <c r="O481"/>
      <c r="P481"/>
      <c r="Q481"/>
      <c r="R481"/>
      <c r="S481"/>
      <c r="T481"/>
      <c r="V481" s="24"/>
      <c r="W481" s="16" t="str">
        <f>IFERROR(VLOOKUP(CLEAN($V481),'All Security Controls'!A:I, 2, FALSE),"---")</f>
        <v>---</v>
      </c>
      <c r="X481" s="14" t="str">
        <f>IFERROR(VLOOKUP(CLEAN($V481),'All Security Controls'!$A:$I, 4, FALSE),"---")</f>
        <v>---</v>
      </c>
      <c r="Y481" s="14" t="str">
        <f>IFERROR(VLOOKUP(CLEAN($V481),'All Security Controls'!$A:$I,5, FALSE),"---")</f>
        <v>---</v>
      </c>
      <c r="Z481" s="14" t="str">
        <f>IFERROR(VLOOKUP(CLEAN($V481),'All Security Controls'!$A:$I,6, FALSE),"---")</f>
        <v>---</v>
      </c>
      <c r="AA481" s="14" t="str">
        <f>IFERROR(VLOOKUP(CLEAN($V481),'All Security Controls'!$A:$I,7, FALSE),"---")</f>
        <v>---</v>
      </c>
      <c r="AB481" s="14" t="str">
        <f>IFERROR(VLOOKUP(CLEAN($V481),'All Security Controls'!$A:$I,8, FALSE),"---")</f>
        <v>---</v>
      </c>
      <c r="AC481" s="14" t="str">
        <f>IFERROR(VLOOKUP(CLEAN($V481),'All Security Controls'!$A:$I,9, FALSE),"---")</f>
        <v>---</v>
      </c>
      <c r="AD481" s="26">
        <v>480</v>
      </c>
    </row>
    <row r="482" spans="1:30" s="10" customFormat="1" thickBot="1">
      <c r="A482"/>
      <c r="B482"/>
      <c r="C482"/>
      <c r="D482"/>
      <c r="E482"/>
      <c r="F482"/>
      <c r="G482"/>
      <c r="H482"/>
      <c r="I482"/>
      <c r="J482"/>
      <c r="K482"/>
      <c r="L482"/>
      <c r="M482"/>
      <c r="N482"/>
      <c r="O482"/>
      <c r="P482"/>
      <c r="Q482"/>
      <c r="R482"/>
      <c r="S482"/>
      <c r="T482"/>
      <c r="V482" s="24"/>
      <c r="W482" s="16" t="str">
        <f>IFERROR(VLOOKUP(CLEAN($V482),'All Security Controls'!A:I, 2, FALSE),"---")</f>
        <v>---</v>
      </c>
      <c r="X482" s="14" t="str">
        <f>IFERROR(VLOOKUP(CLEAN($V482),'All Security Controls'!$A:$I, 4, FALSE),"---")</f>
        <v>---</v>
      </c>
      <c r="Y482" s="14" t="str">
        <f>IFERROR(VLOOKUP(CLEAN($V482),'All Security Controls'!$A:$I,5, FALSE),"---")</f>
        <v>---</v>
      </c>
      <c r="Z482" s="14" t="str">
        <f>IFERROR(VLOOKUP(CLEAN($V482),'All Security Controls'!$A:$I,6, FALSE),"---")</f>
        <v>---</v>
      </c>
      <c r="AA482" s="14" t="str">
        <f>IFERROR(VLOOKUP(CLEAN($V482),'All Security Controls'!$A:$I,7, FALSE),"---")</f>
        <v>---</v>
      </c>
      <c r="AB482" s="14" t="str">
        <f>IFERROR(VLOOKUP(CLEAN($V482),'All Security Controls'!$A:$I,8, FALSE),"---")</f>
        <v>---</v>
      </c>
      <c r="AC482" s="14" t="str">
        <f>IFERROR(VLOOKUP(CLEAN($V482),'All Security Controls'!$A:$I,9, FALSE),"---")</f>
        <v>---</v>
      </c>
      <c r="AD482" s="26">
        <v>481</v>
      </c>
    </row>
    <row r="483" spans="1:30" s="10" customFormat="1" thickBot="1">
      <c r="A483"/>
      <c r="B483"/>
      <c r="C483"/>
      <c r="D483"/>
      <c r="E483"/>
      <c r="F483"/>
      <c r="G483"/>
      <c r="H483"/>
      <c r="I483"/>
      <c r="J483"/>
      <c r="K483"/>
      <c r="L483"/>
      <c r="M483"/>
      <c r="N483"/>
      <c r="O483"/>
      <c r="P483"/>
      <c r="Q483"/>
      <c r="R483"/>
      <c r="S483"/>
      <c r="T483"/>
      <c r="V483" s="24"/>
      <c r="W483" s="16" t="str">
        <f>IFERROR(VLOOKUP(CLEAN($V483),'All Security Controls'!A:I, 2, FALSE),"---")</f>
        <v>---</v>
      </c>
      <c r="X483" s="14" t="str">
        <f>IFERROR(VLOOKUP(CLEAN($V483),'All Security Controls'!$A:$I, 4, FALSE),"---")</f>
        <v>---</v>
      </c>
      <c r="Y483" s="14" t="str">
        <f>IFERROR(VLOOKUP(CLEAN($V483),'All Security Controls'!$A:$I,5, FALSE),"---")</f>
        <v>---</v>
      </c>
      <c r="Z483" s="14" t="str">
        <f>IFERROR(VLOOKUP(CLEAN($V483),'All Security Controls'!$A:$I,6, FALSE),"---")</f>
        <v>---</v>
      </c>
      <c r="AA483" s="14" t="str">
        <f>IFERROR(VLOOKUP(CLEAN($V483),'All Security Controls'!$A:$I,7, FALSE),"---")</f>
        <v>---</v>
      </c>
      <c r="AB483" s="14" t="str">
        <f>IFERROR(VLOOKUP(CLEAN($V483),'All Security Controls'!$A:$I,8, FALSE),"---")</f>
        <v>---</v>
      </c>
      <c r="AC483" s="14" t="str">
        <f>IFERROR(VLOOKUP(CLEAN($V483),'All Security Controls'!$A:$I,9, FALSE),"---")</f>
        <v>---</v>
      </c>
      <c r="AD483" s="26">
        <v>482</v>
      </c>
    </row>
    <row r="484" spans="1:30" s="10" customFormat="1" thickBot="1">
      <c r="A484"/>
      <c r="B484"/>
      <c r="C484"/>
      <c r="D484"/>
      <c r="E484"/>
      <c r="F484"/>
      <c r="G484"/>
      <c r="H484"/>
      <c r="I484"/>
      <c r="J484"/>
      <c r="K484"/>
      <c r="L484"/>
      <c r="M484"/>
      <c r="N484"/>
      <c r="O484"/>
      <c r="P484"/>
      <c r="Q484"/>
      <c r="R484"/>
      <c r="S484"/>
      <c r="T484"/>
      <c r="V484" s="24"/>
      <c r="W484" s="16" t="str">
        <f>IFERROR(VLOOKUP(CLEAN($V484),'All Security Controls'!A:I, 2, FALSE),"---")</f>
        <v>---</v>
      </c>
      <c r="X484" s="14" t="str">
        <f>IFERROR(VLOOKUP(CLEAN($V484),'All Security Controls'!$A:$I, 4, FALSE),"---")</f>
        <v>---</v>
      </c>
      <c r="Y484" s="14" t="str">
        <f>IFERROR(VLOOKUP(CLEAN($V484),'All Security Controls'!$A:$I,5, FALSE),"---")</f>
        <v>---</v>
      </c>
      <c r="Z484" s="14" t="str">
        <f>IFERROR(VLOOKUP(CLEAN($V484),'All Security Controls'!$A:$I,6, FALSE),"---")</f>
        <v>---</v>
      </c>
      <c r="AA484" s="14" t="str">
        <f>IFERROR(VLOOKUP(CLEAN($V484),'All Security Controls'!$A:$I,7, FALSE),"---")</f>
        <v>---</v>
      </c>
      <c r="AB484" s="14" t="str">
        <f>IFERROR(VLOOKUP(CLEAN($V484),'All Security Controls'!$A:$I,8, FALSE),"---")</f>
        <v>---</v>
      </c>
      <c r="AC484" s="14" t="str">
        <f>IFERROR(VLOOKUP(CLEAN($V484),'All Security Controls'!$A:$I,9, FALSE),"---")</f>
        <v>---</v>
      </c>
      <c r="AD484" s="26">
        <v>483</v>
      </c>
    </row>
    <row r="485" spans="1:30" s="10" customFormat="1" thickBot="1">
      <c r="A485"/>
      <c r="B485"/>
      <c r="C485"/>
      <c r="D485"/>
      <c r="E485"/>
      <c r="F485"/>
      <c r="G485"/>
      <c r="H485"/>
      <c r="I485"/>
      <c r="J485"/>
      <c r="K485"/>
      <c r="L485"/>
      <c r="M485"/>
      <c r="N485"/>
      <c r="O485"/>
      <c r="P485"/>
      <c r="Q485"/>
      <c r="R485"/>
      <c r="S485"/>
      <c r="T485"/>
      <c r="V485" s="24"/>
      <c r="W485" s="16" t="str">
        <f>IFERROR(VLOOKUP(CLEAN($V485),'All Security Controls'!A:I, 2, FALSE),"---")</f>
        <v>---</v>
      </c>
      <c r="X485" s="14" t="str">
        <f>IFERROR(VLOOKUP(CLEAN($V485),'All Security Controls'!$A:$I, 4, FALSE),"---")</f>
        <v>---</v>
      </c>
      <c r="Y485" s="14" t="str">
        <f>IFERROR(VLOOKUP(CLEAN($V485),'All Security Controls'!$A:$I,5, FALSE),"---")</f>
        <v>---</v>
      </c>
      <c r="Z485" s="14" t="str">
        <f>IFERROR(VLOOKUP(CLEAN($V485),'All Security Controls'!$A:$I,6, FALSE),"---")</f>
        <v>---</v>
      </c>
      <c r="AA485" s="14" t="str">
        <f>IFERROR(VLOOKUP(CLEAN($V485),'All Security Controls'!$A:$I,7, FALSE),"---")</f>
        <v>---</v>
      </c>
      <c r="AB485" s="14" t="str">
        <f>IFERROR(VLOOKUP(CLEAN($V485),'All Security Controls'!$A:$I,8, FALSE),"---")</f>
        <v>---</v>
      </c>
      <c r="AC485" s="14" t="str">
        <f>IFERROR(VLOOKUP(CLEAN($V485),'All Security Controls'!$A:$I,9, FALSE),"---")</f>
        <v>---</v>
      </c>
      <c r="AD485" s="26">
        <v>484</v>
      </c>
    </row>
    <row r="486" spans="1:30" s="10" customFormat="1" thickBot="1">
      <c r="A486"/>
      <c r="B486"/>
      <c r="C486"/>
      <c r="D486"/>
      <c r="E486"/>
      <c r="F486"/>
      <c r="G486"/>
      <c r="H486"/>
      <c r="I486"/>
      <c r="J486"/>
      <c r="K486"/>
      <c r="L486"/>
      <c r="M486"/>
      <c r="N486"/>
      <c r="O486"/>
      <c r="P486"/>
      <c r="Q486"/>
      <c r="R486"/>
      <c r="S486"/>
      <c r="T486"/>
      <c r="V486" s="24"/>
      <c r="W486" s="16" t="str">
        <f>IFERROR(VLOOKUP(CLEAN($V486),'All Security Controls'!A:I, 2, FALSE),"---")</f>
        <v>---</v>
      </c>
      <c r="X486" s="14" t="str">
        <f>IFERROR(VLOOKUP(CLEAN($V486),'All Security Controls'!$A:$I, 4, FALSE),"---")</f>
        <v>---</v>
      </c>
      <c r="Y486" s="14" t="str">
        <f>IFERROR(VLOOKUP(CLEAN($V486),'All Security Controls'!$A:$I,5, FALSE),"---")</f>
        <v>---</v>
      </c>
      <c r="Z486" s="14" t="str">
        <f>IFERROR(VLOOKUP(CLEAN($V486),'All Security Controls'!$A:$I,6, FALSE),"---")</f>
        <v>---</v>
      </c>
      <c r="AA486" s="14" t="str">
        <f>IFERROR(VLOOKUP(CLEAN($V486),'All Security Controls'!$A:$I,7, FALSE),"---")</f>
        <v>---</v>
      </c>
      <c r="AB486" s="14" t="str">
        <f>IFERROR(VLOOKUP(CLEAN($V486),'All Security Controls'!$A:$I,8, FALSE),"---")</f>
        <v>---</v>
      </c>
      <c r="AC486" s="14" t="str">
        <f>IFERROR(VLOOKUP(CLEAN($V486),'All Security Controls'!$A:$I,9, FALSE),"---")</f>
        <v>---</v>
      </c>
      <c r="AD486" s="26">
        <v>485</v>
      </c>
    </row>
    <row r="487" spans="1:30" s="10" customFormat="1" thickBot="1">
      <c r="A487"/>
      <c r="B487"/>
      <c r="C487"/>
      <c r="D487"/>
      <c r="E487"/>
      <c r="F487"/>
      <c r="G487"/>
      <c r="H487"/>
      <c r="I487"/>
      <c r="J487"/>
      <c r="K487"/>
      <c r="L487"/>
      <c r="M487"/>
      <c r="N487"/>
      <c r="O487"/>
      <c r="P487"/>
      <c r="Q487"/>
      <c r="R487"/>
      <c r="S487"/>
      <c r="T487"/>
      <c r="V487" s="24"/>
      <c r="W487" s="16" t="str">
        <f>IFERROR(VLOOKUP(CLEAN($V487),'All Security Controls'!A:I, 2, FALSE),"---")</f>
        <v>---</v>
      </c>
      <c r="X487" s="14" t="str">
        <f>IFERROR(VLOOKUP(CLEAN($V487),'All Security Controls'!$A:$I, 4, FALSE),"---")</f>
        <v>---</v>
      </c>
      <c r="Y487" s="14" t="str">
        <f>IFERROR(VLOOKUP(CLEAN($V487),'All Security Controls'!$A:$I,5, FALSE),"---")</f>
        <v>---</v>
      </c>
      <c r="Z487" s="14" t="str">
        <f>IFERROR(VLOOKUP(CLEAN($V487),'All Security Controls'!$A:$I,6, FALSE),"---")</f>
        <v>---</v>
      </c>
      <c r="AA487" s="14" t="str">
        <f>IFERROR(VLOOKUP(CLEAN($V487),'All Security Controls'!$A:$I,7, FALSE),"---")</f>
        <v>---</v>
      </c>
      <c r="AB487" s="14" t="str">
        <f>IFERROR(VLOOKUP(CLEAN($V487),'All Security Controls'!$A:$I,8, FALSE),"---")</f>
        <v>---</v>
      </c>
      <c r="AC487" s="14" t="str">
        <f>IFERROR(VLOOKUP(CLEAN($V487),'All Security Controls'!$A:$I,9, FALSE),"---")</f>
        <v>---</v>
      </c>
      <c r="AD487" s="26">
        <v>486</v>
      </c>
    </row>
    <row r="488" spans="1:30" s="10" customFormat="1" thickBot="1">
      <c r="A488"/>
      <c r="B488"/>
      <c r="C488"/>
      <c r="D488"/>
      <c r="E488"/>
      <c r="F488"/>
      <c r="G488"/>
      <c r="H488"/>
      <c r="I488"/>
      <c r="J488"/>
      <c r="K488"/>
      <c r="L488"/>
      <c r="M488"/>
      <c r="N488"/>
      <c r="O488"/>
      <c r="P488"/>
      <c r="Q488"/>
      <c r="R488"/>
      <c r="S488"/>
      <c r="T488"/>
      <c r="V488" s="24"/>
      <c r="W488" s="16" t="str">
        <f>IFERROR(VLOOKUP(CLEAN($V488),'All Security Controls'!A:I, 2, FALSE),"---")</f>
        <v>---</v>
      </c>
      <c r="X488" s="14" t="str">
        <f>IFERROR(VLOOKUP(CLEAN($V488),'All Security Controls'!$A:$I, 4, FALSE),"---")</f>
        <v>---</v>
      </c>
      <c r="Y488" s="14" t="str">
        <f>IFERROR(VLOOKUP(CLEAN($V488),'All Security Controls'!$A:$I,5, FALSE),"---")</f>
        <v>---</v>
      </c>
      <c r="Z488" s="14" t="str">
        <f>IFERROR(VLOOKUP(CLEAN($V488),'All Security Controls'!$A:$I,6, FALSE),"---")</f>
        <v>---</v>
      </c>
      <c r="AA488" s="14" t="str">
        <f>IFERROR(VLOOKUP(CLEAN($V488),'All Security Controls'!$A:$I,7, FALSE),"---")</f>
        <v>---</v>
      </c>
      <c r="AB488" s="14" t="str">
        <f>IFERROR(VLOOKUP(CLEAN($V488),'All Security Controls'!$A:$I,8, FALSE),"---")</f>
        <v>---</v>
      </c>
      <c r="AC488" s="14" t="str">
        <f>IFERROR(VLOOKUP(CLEAN($V488),'All Security Controls'!$A:$I,9, FALSE),"---")</f>
        <v>---</v>
      </c>
      <c r="AD488" s="26">
        <v>487</v>
      </c>
    </row>
    <row r="489" spans="1:30" s="10" customFormat="1" thickBot="1">
      <c r="A489"/>
      <c r="B489"/>
      <c r="C489"/>
      <c r="D489"/>
      <c r="E489"/>
      <c r="F489"/>
      <c r="G489"/>
      <c r="H489"/>
      <c r="I489"/>
      <c r="J489"/>
      <c r="K489"/>
      <c r="L489"/>
      <c r="M489"/>
      <c r="N489"/>
      <c r="O489"/>
      <c r="P489"/>
      <c r="Q489"/>
      <c r="R489"/>
      <c r="S489"/>
      <c r="T489"/>
      <c r="V489" s="24"/>
      <c r="W489" s="16" t="str">
        <f>IFERROR(VLOOKUP(CLEAN($V489),'All Security Controls'!A:I, 2, FALSE),"---")</f>
        <v>---</v>
      </c>
      <c r="X489" s="14" t="str">
        <f>IFERROR(VLOOKUP(CLEAN($V489),'All Security Controls'!$A:$I, 4, FALSE),"---")</f>
        <v>---</v>
      </c>
      <c r="Y489" s="14" t="str">
        <f>IFERROR(VLOOKUP(CLEAN($V489),'All Security Controls'!$A:$I,5, FALSE),"---")</f>
        <v>---</v>
      </c>
      <c r="Z489" s="14" t="str">
        <f>IFERROR(VLOOKUP(CLEAN($V489),'All Security Controls'!$A:$I,6, FALSE),"---")</f>
        <v>---</v>
      </c>
      <c r="AA489" s="14" t="str">
        <f>IFERROR(VLOOKUP(CLEAN($V489),'All Security Controls'!$A:$I,7, FALSE),"---")</f>
        <v>---</v>
      </c>
      <c r="AB489" s="14" t="str">
        <f>IFERROR(VLOOKUP(CLEAN($V489),'All Security Controls'!$A:$I,8, FALSE),"---")</f>
        <v>---</v>
      </c>
      <c r="AC489" s="14" t="str">
        <f>IFERROR(VLOOKUP(CLEAN($V489),'All Security Controls'!$A:$I,9, FALSE),"---")</f>
        <v>---</v>
      </c>
      <c r="AD489" s="26">
        <v>488</v>
      </c>
    </row>
    <row r="490" spans="1:30" s="10" customFormat="1" thickBot="1">
      <c r="A490"/>
      <c r="B490"/>
      <c r="C490"/>
      <c r="D490"/>
      <c r="E490"/>
      <c r="F490"/>
      <c r="G490"/>
      <c r="H490"/>
      <c r="I490"/>
      <c r="J490"/>
      <c r="K490"/>
      <c r="L490"/>
      <c r="M490"/>
      <c r="N490"/>
      <c r="O490"/>
      <c r="P490"/>
      <c r="Q490"/>
      <c r="R490"/>
      <c r="S490"/>
      <c r="T490"/>
      <c r="V490" s="24"/>
      <c r="W490" s="16" t="str">
        <f>IFERROR(VLOOKUP(CLEAN($V490),'All Security Controls'!A:I, 2, FALSE),"---")</f>
        <v>---</v>
      </c>
      <c r="X490" s="14" t="str">
        <f>IFERROR(VLOOKUP(CLEAN($V490),'All Security Controls'!$A:$I, 4, FALSE),"---")</f>
        <v>---</v>
      </c>
      <c r="Y490" s="14" t="str">
        <f>IFERROR(VLOOKUP(CLEAN($V490),'All Security Controls'!$A:$I,5, FALSE),"---")</f>
        <v>---</v>
      </c>
      <c r="Z490" s="14" t="str">
        <f>IFERROR(VLOOKUP(CLEAN($V490),'All Security Controls'!$A:$I,6, FALSE),"---")</f>
        <v>---</v>
      </c>
      <c r="AA490" s="14" t="str">
        <f>IFERROR(VLOOKUP(CLEAN($V490),'All Security Controls'!$A:$I,7, FALSE),"---")</f>
        <v>---</v>
      </c>
      <c r="AB490" s="14" t="str">
        <f>IFERROR(VLOOKUP(CLEAN($V490),'All Security Controls'!$A:$I,8, FALSE),"---")</f>
        <v>---</v>
      </c>
      <c r="AC490" s="14" t="str">
        <f>IFERROR(VLOOKUP(CLEAN($V490),'All Security Controls'!$A:$I,9, FALSE),"---")</f>
        <v>---</v>
      </c>
      <c r="AD490" s="26">
        <v>489</v>
      </c>
    </row>
    <row r="491" spans="1:30" s="10" customFormat="1" thickBot="1">
      <c r="A491"/>
      <c r="B491"/>
      <c r="C491"/>
      <c r="D491"/>
      <c r="E491"/>
      <c r="F491"/>
      <c r="G491"/>
      <c r="H491"/>
      <c r="I491"/>
      <c r="J491"/>
      <c r="K491"/>
      <c r="L491"/>
      <c r="M491"/>
      <c r="N491"/>
      <c r="O491"/>
      <c r="P491"/>
      <c r="Q491"/>
      <c r="R491"/>
      <c r="S491"/>
      <c r="T491"/>
      <c r="V491" s="24"/>
      <c r="W491" s="16" t="str">
        <f>IFERROR(VLOOKUP(CLEAN($V491),'All Security Controls'!A:I, 2, FALSE),"---")</f>
        <v>---</v>
      </c>
      <c r="X491" s="14" t="str">
        <f>IFERROR(VLOOKUP(CLEAN($V491),'All Security Controls'!$A:$I, 4, FALSE),"---")</f>
        <v>---</v>
      </c>
      <c r="Y491" s="14" t="str">
        <f>IFERROR(VLOOKUP(CLEAN($V491),'All Security Controls'!$A:$I,5, FALSE),"---")</f>
        <v>---</v>
      </c>
      <c r="Z491" s="14" t="str">
        <f>IFERROR(VLOOKUP(CLEAN($V491),'All Security Controls'!$A:$I,6, FALSE),"---")</f>
        <v>---</v>
      </c>
      <c r="AA491" s="14" t="str">
        <f>IFERROR(VLOOKUP(CLEAN($V491),'All Security Controls'!$A:$I,7, FALSE),"---")</f>
        <v>---</v>
      </c>
      <c r="AB491" s="14" t="str">
        <f>IFERROR(VLOOKUP(CLEAN($V491),'All Security Controls'!$A:$I,8, FALSE),"---")</f>
        <v>---</v>
      </c>
      <c r="AC491" s="14" t="str">
        <f>IFERROR(VLOOKUP(CLEAN($V491),'All Security Controls'!$A:$I,9, FALSE),"---")</f>
        <v>---</v>
      </c>
      <c r="AD491" s="26">
        <v>490</v>
      </c>
    </row>
    <row r="492" spans="1:30" s="10" customFormat="1" thickBot="1">
      <c r="A492"/>
      <c r="B492"/>
      <c r="C492"/>
      <c r="D492"/>
      <c r="E492"/>
      <c r="F492"/>
      <c r="G492"/>
      <c r="H492"/>
      <c r="I492"/>
      <c r="J492"/>
      <c r="K492"/>
      <c r="L492"/>
      <c r="M492"/>
      <c r="N492"/>
      <c r="O492"/>
      <c r="P492"/>
      <c r="Q492"/>
      <c r="R492"/>
      <c r="S492"/>
      <c r="T492"/>
      <c r="V492" s="24"/>
      <c r="W492" s="16" t="str">
        <f>IFERROR(VLOOKUP(CLEAN($V492),'All Security Controls'!A:I, 2, FALSE),"---")</f>
        <v>---</v>
      </c>
      <c r="X492" s="14" t="str">
        <f>IFERROR(VLOOKUP(CLEAN($V492),'All Security Controls'!$A:$I, 4, FALSE),"---")</f>
        <v>---</v>
      </c>
      <c r="Y492" s="14" t="str">
        <f>IFERROR(VLOOKUP(CLEAN($V492),'All Security Controls'!$A:$I,5, FALSE),"---")</f>
        <v>---</v>
      </c>
      <c r="Z492" s="14" t="str">
        <f>IFERROR(VLOOKUP(CLEAN($V492),'All Security Controls'!$A:$I,6, FALSE),"---")</f>
        <v>---</v>
      </c>
      <c r="AA492" s="14" t="str">
        <f>IFERROR(VLOOKUP(CLEAN($V492),'All Security Controls'!$A:$I,7, FALSE),"---")</f>
        <v>---</v>
      </c>
      <c r="AB492" s="14" t="str">
        <f>IFERROR(VLOOKUP(CLEAN($V492),'All Security Controls'!$A:$I,8, FALSE),"---")</f>
        <v>---</v>
      </c>
      <c r="AC492" s="14" t="str">
        <f>IFERROR(VLOOKUP(CLEAN($V492),'All Security Controls'!$A:$I,9, FALSE),"---")</f>
        <v>---</v>
      </c>
      <c r="AD492" s="26">
        <v>491</v>
      </c>
    </row>
    <row r="493" spans="1:30" s="10" customFormat="1" thickBot="1">
      <c r="A493"/>
      <c r="B493"/>
      <c r="C493"/>
      <c r="D493"/>
      <c r="E493"/>
      <c r="F493"/>
      <c r="G493"/>
      <c r="H493"/>
      <c r="I493"/>
      <c r="J493"/>
      <c r="K493"/>
      <c r="L493"/>
      <c r="M493"/>
      <c r="N493"/>
      <c r="O493"/>
      <c r="P493"/>
      <c r="Q493"/>
      <c r="R493"/>
      <c r="S493"/>
      <c r="T493"/>
      <c r="V493" s="24"/>
      <c r="W493" s="16" t="str">
        <f>IFERROR(VLOOKUP(CLEAN($V493),'All Security Controls'!A:I, 2, FALSE),"---")</f>
        <v>---</v>
      </c>
      <c r="X493" s="14" t="str">
        <f>IFERROR(VLOOKUP(CLEAN($V493),'All Security Controls'!$A:$I, 4, FALSE),"---")</f>
        <v>---</v>
      </c>
      <c r="Y493" s="14" t="str">
        <f>IFERROR(VLOOKUP(CLEAN($V493),'All Security Controls'!$A:$I,5, FALSE),"---")</f>
        <v>---</v>
      </c>
      <c r="Z493" s="14" t="str">
        <f>IFERROR(VLOOKUP(CLEAN($V493),'All Security Controls'!$A:$I,6, FALSE),"---")</f>
        <v>---</v>
      </c>
      <c r="AA493" s="14" t="str">
        <f>IFERROR(VLOOKUP(CLEAN($V493),'All Security Controls'!$A:$I,7, FALSE),"---")</f>
        <v>---</v>
      </c>
      <c r="AB493" s="14" t="str">
        <f>IFERROR(VLOOKUP(CLEAN($V493),'All Security Controls'!$A:$I,8, FALSE),"---")</f>
        <v>---</v>
      </c>
      <c r="AC493" s="14" t="str">
        <f>IFERROR(VLOOKUP(CLEAN($V493),'All Security Controls'!$A:$I,9, FALSE),"---")</f>
        <v>---</v>
      </c>
      <c r="AD493" s="26">
        <v>492</v>
      </c>
    </row>
    <row r="494" spans="1:30" s="10" customFormat="1" thickBot="1">
      <c r="A494"/>
      <c r="B494"/>
      <c r="C494"/>
      <c r="D494"/>
      <c r="E494"/>
      <c r="F494"/>
      <c r="G494"/>
      <c r="H494"/>
      <c r="I494"/>
      <c r="J494"/>
      <c r="K494"/>
      <c r="L494"/>
      <c r="M494"/>
      <c r="N494"/>
      <c r="O494"/>
      <c r="P494"/>
      <c r="Q494"/>
      <c r="R494"/>
      <c r="S494"/>
      <c r="T494"/>
      <c r="V494" s="24"/>
      <c r="W494" s="16" t="str">
        <f>IFERROR(VLOOKUP(CLEAN($V494),'All Security Controls'!A:I, 2, FALSE),"---")</f>
        <v>---</v>
      </c>
      <c r="X494" s="14" t="str">
        <f>IFERROR(VLOOKUP(CLEAN($V494),'All Security Controls'!$A:$I, 4, FALSE),"---")</f>
        <v>---</v>
      </c>
      <c r="Y494" s="14" t="str">
        <f>IFERROR(VLOOKUP(CLEAN($V494),'All Security Controls'!$A:$I,5, FALSE),"---")</f>
        <v>---</v>
      </c>
      <c r="Z494" s="14" t="str">
        <f>IFERROR(VLOOKUP(CLEAN($V494),'All Security Controls'!$A:$I,6, FALSE),"---")</f>
        <v>---</v>
      </c>
      <c r="AA494" s="14" t="str">
        <f>IFERROR(VLOOKUP(CLEAN($V494),'All Security Controls'!$A:$I,7, FALSE),"---")</f>
        <v>---</v>
      </c>
      <c r="AB494" s="14" t="str">
        <f>IFERROR(VLOOKUP(CLEAN($V494),'All Security Controls'!$A:$I,8, FALSE),"---")</f>
        <v>---</v>
      </c>
      <c r="AC494" s="14" t="str">
        <f>IFERROR(VLOOKUP(CLEAN($V494),'All Security Controls'!$A:$I,9, FALSE),"---")</f>
        <v>---</v>
      </c>
      <c r="AD494" s="26">
        <v>493</v>
      </c>
    </row>
    <row r="495" spans="1:30" s="10" customFormat="1" thickBot="1">
      <c r="A495"/>
      <c r="B495"/>
      <c r="C495"/>
      <c r="D495"/>
      <c r="E495"/>
      <c r="F495"/>
      <c r="G495"/>
      <c r="H495"/>
      <c r="I495"/>
      <c r="J495"/>
      <c r="K495"/>
      <c r="L495"/>
      <c r="M495"/>
      <c r="N495"/>
      <c r="O495"/>
      <c r="P495"/>
      <c r="Q495"/>
      <c r="R495"/>
      <c r="S495"/>
      <c r="T495"/>
      <c r="V495" s="24"/>
      <c r="W495" s="16" t="str">
        <f>IFERROR(VLOOKUP(CLEAN($V495),'All Security Controls'!A:I, 2, FALSE),"---")</f>
        <v>---</v>
      </c>
      <c r="X495" s="14" t="str">
        <f>IFERROR(VLOOKUP(CLEAN($V495),'All Security Controls'!$A:$I, 4, FALSE),"---")</f>
        <v>---</v>
      </c>
      <c r="Y495" s="14" t="str">
        <f>IFERROR(VLOOKUP(CLEAN($V495),'All Security Controls'!$A:$I,5, FALSE),"---")</f>
        <v>---</v>
      </c>
      <c r="Z495" s="14" t="str">
        <f>IFERROR(VLOOKUP(CLEAN($V495),'All Security Controls'!$A:$I,6, FALSE),"---")</f>
        <v>---</v>
      </c>
      <c r="AA495" s="14" t="str">
        <f>IFERROR(VLOOKUP(CLEAN($V495),'All Security Controls'!$A:$I,7, FALSE),"---")</f>
        <v>---</v>
      </c>
      <c r="AB495" s="14" t="str">
        <f>IFERROR(VLOOKUP(CLEAN($V495),'All Security Controls'!$A:$I,8, FALSE),"---")</f>
        <v>---</v>
      </c>
      <c r="AC495" s="14" t="str">
        <f>IFERROR(VLOOKUP(CLEAN($V495),'All Security Controls'!$A:$I,9, FALSE),"---")</f>
        <v>---</v>
      </c>
      <c r="AD495" s="26">
        <v>494</v>
      </c>
    </row>
    <row r="496" spans="1:30" s="10" customFormat="1" thickBot="1">
      <c r="A496"/>
      <c r="B496"/>
      <c r="C496"/>
      <c r="D496"/>
      <c r="E496"/>
      <c r="F496"/>
      <c r="G496"/>
      <c r="H496"/>
      <c r="I496"/>
      <c r="J496"/>
      <c r="K496"/>
      <c r="L496"/>
      <c r="M496"/>
      <c r="N496"/>
      <c r="O496"/>
      <c r="P496"/>
      <c r="Q496"/>
      <c r="R496"/>
      <c r="S496"/>
      <c r="T496"/>
      <c r="V496" s="24"/>
      <c r="W496" s="16" t="str">
        <f>IFERROR(VLOOKUP(CLEAN($V496),'All Security Controls'!A:I, 2, FALSE),"---")</f>
        <v>---</v>
      </c>
      <c r="X496" s="14" t="str">
        <f>IFERROR(VLOOKUP(CLEAN($V496),'All Security Controls'!$A:$I, 4, FALSE),"---")</f>
        <v>---</v>
      </c>
      <c r="Y496" s="14" t="str">
        <f>IFERROR(VLOOKUP(CLEAN($V496),'All Security Controls'!$A:$I,5, FALSE),"---")</f>
        <v>---</v>
      </c>
      <c r="Z496" s="14" t="str">
        <f>IFERROR(VLOOKUP(CLEAN($V496),'All Security Controls'!$A:$I,6, FALSE),"---")</f>
        <v>---</v>
      </c>
      <c r="AA496" s="14" t="str">
        <f>IFERROR(VLOOKUP(CLEAN($V496),'All Security Controls'!$A:$I,7, FALSE),"---")</f>
        <v>---</v>
      </c>
      <c r="AB496" s="14" t="str">
        <f>IFERROR(VLOOKUP(CLEAN($V496),'All Security Controls'!$A:$I,8, FALSE),"---")</f>
        <v>---</v>
      </c>
      <c r="AC496" s="14" t="str">
        <f>IFERROR(VLOOKUP(CLEAN($V496),'All Security Controls'!$A:$I,9, FALSE),"---")</f>
        <v>---</v>
      </c>
      <c r="AD496" s="26">
        <v>495</v>
      </c>
    </row>
    <row r="497" spans="1:30" s="10" customFormat="1" thickBot="1">
      <c r="A497"/>
      <c r="B497"/>
      <c r="C497"/>
      <c r="D497"/>
      <c r="E497"/>
      <c r="F497"/>
      <c r="G497"/>
      <c r="H497"/>
      <c r="I497"/>
      <c r="J497"/>
      <c r="K497"/>
      <c r="L497"/>
      <c r="M497"/>
      <c r="N497"/>
      <c r="O497"/>
      <c r="P497"/>
      <c r="Q497"/>
      <c r="R497"/>
      <c r="S497"/>
      <c r="T497"/>
      <c r="V497" s="24"/>
      <c r="W497" s="16" t="str">
        <f>IFERROR(VLOOKUP(CLEAN($V497),'All Security Controls'!A:I, 2, FALSE),"---")</f>
        <v>---</v>
      </c>
      <c r="X497" s="14" t="str">
        <f>IFERROR(VLOOKUP(CLEAN($V497),'All Security Controls'!$A:$I, 4, FALSE),"---")</f>
        <v>---</v>
      </c>
      <c r="Y497" s="14" t="str">
        <f>IFERROR(VLOOKUP(CLEAN($V497),'All Security Controls'!$A:$I,5, FALSE),"---")</f>
        <v>---</v>
      </c>
      <c r="Z497" s="14" t="str">
        <f>IFERROR(VLOOKUP(CLEAN($V497),'All Security Controls'!$A:$I,6, FALSE),"---")</f>
        <v>---</v>
      </c>
      <c r="AA497" s="14" t="str">
        <f>IFERROR(VLOOKUP(CLEAN($V497),'All Security Controls'!$A:$I,7, FALSE),"---")</f>
        <v>---</v>
      </c>
      <c r="AB497" s="14" t="str">
        <f>IFERROR(VLOOKUP(CLEAN($V497),'All Security Controls'!$A:$I,8, FALSE),"---")</f>
        <v>---</v>
      </c>
      <c r="AC497" s="14" t="str">
        <f>IFERROR(VLOOKUP(CLEAN($V497),'All Security Controls'!$A:$I,9, FALSE),"---")</f>
        <v>---</v>
      </c>
      <c r="AD497" s="26">
        <v>496</v>
      </c>
    </row>
    <row r="498" spans="1:30" s="10" customFormat="1" thickBot="1">
      <c r="A498"/>
      <c r="B498"/>
      <c r="C498"/>
      <c r="D498"/>
      <c r="E498"/>
      <c r="F498"/>
      <c r="G498"/>
      <c r="H498"/>
      <c r="I498"/>
      <c r="J498"/>
      <c r="K498"/>
      <c r="L498"/>
      <c r="M498"/>
      <c r="N498"/>
      <c r="O498"/>
      <c r="P498"/>
      <c r="Q498"/>
      <c r="R498"/>
      <c r="S498"/>
      <c r="T498"/>
      <c r="V498" s="24"/>
      <c r="W498" s="16" t="str">
        <f>IFERROR(VLOOKUP(CLEAN($V498),'All Security Controls'!A:I, 2, FALSE),"---")</f>
        <v>---</v>
      </c>
      <c r="X498" s="14" t="str">
        <f>IFERROR(VLOOKUP(CLEAN($V498),'All Security Controls'!$A:$I, 4, FALSE),"---")</f>
        <v>---</v>
      </c>
      <c r="Y498" s="14" t="str">
        <f>IFERROR(VLOOKUP(CLEAN($V498),'All Security Controls'!$A:$I,5, FALSE),"---")</f>
        <v>---</v>
      </c>
      <c r="Z498" s="14" t="str">
        <f>IFERROR(VLOOKUP(CLEAN($V498),'All Security Controls'!$A:$I,6, FALSE),"---")</f>
        <v>---</v>
      </c>
      <c r="AA498" s="14" t="str">
        <f>IFERROR(VLOOKUP(CLEAN($V498),'All Security Controls'!$A:$I,7, FALSE),"---")</f>
        <v>---</v>
      </c>
      <c r="AB498" s="14" t="str">
        <f>IFERROR(VLOOKUP(CLEAN($V498),'All Security Controls'!$A:$I,8, FALSE),"---")</f>
        <v>---</v>
      </c>
      <c r="AC498" s="14" t="str">
        <f>IFERROR(VLOOKUP(CLEAN($V498),'All Security Controls'!$A:$I,9, FALSE),"---")</f>
        <v>---</v>
      </c>
      <c r="AD498" s="26">
        <v>497</v>
      </c>
    </row>
    <row r="499" spans="1:30" s="10" customFormat="1" thickBot="1">
      <c r="A499"/>
      <c r="B499"/>
      <c r="C499"/>
      <c r="D499"/>
      <c r="E499"/>
      <c r="F499"/>
      <c r="G499"/>
      <c r="H499"/>
      <c r="I499"/>
      <c r="J499"/>
      <c r="K499"/>
      <c r="L499"/>
      <c r="M499"/>
      <c r="N499"/>
      <c r="O499"/>
      <c r="P499"/>
      <c r="Q499"/>
      <c r="R499"/>
      <c r="S499"/>
      <c r="T499"/>
      <c r="V499" s="24"/>
      <c r="W499" s="16" t="str">
        <f>IFERROR(VLOOKUP(CLEAN($V499),'All Security Controls'!A:I, 2, FALSE),"---")</f>
        <v>---</v>
      </c>
      <c r="X499" s="14" t="str">
        <f>IFERROR(VLOOKUP(CLEAN($V499),'All Security Controls'!$A:$I, 4, FALSE),"---")</f>
        <v>---</v>
      </c>
      <c r="Y499" s="14" t="str">
        <f>IFERROR(VLOOKUP(CLEAN($V499),'All Security Controls'!$A:$I,5, FALSE),"---")</f>
        <v>---</v>
      </c>
      <c r="Z499" s="14" t="str">
        <f>IFERROR(VLOOKUP(CLEAN($V499),'All Security Controls'!$A:$I,6, FALSE),"---")</f>
        <v>---</v>
      </c>
      <c r="AA499" s="14" t="str">
        <f>IFERROR(VLOOKUP(CLEAN($V499),'All Security Controls'!$A:$I,7, FALSE),"---")</f>
        <v>---</v>
      </c>
      <c r="AB499" s="14" t="str">
        <f>IFERROR(VLOOKUP(CLEAN($V499),'All Security Controls'!$A:$I,8, FALSE),"---")</f>
        <v>---</v>
      </c>
      <c r="AC499" s="14" t="str">
        <f>IFERROR(VLOOKUP(CLEAN($V499),'All Security Controls'!$A:$I,9, FALSE),"---")</f>
        <v>---</v>
      </c>
      <c r="AD499" s="26">
        <v>498</v>
      </c>
    </row>
    <row r="500" spans="1:30" s="10" customFormat="1" thickBot="1">
      <c r="A500"/>
      <c r="B500"/>
      <c r="C500"/>
      <c r="D500"/>
      <c r="E500"/>
      <c r="F500"/>
      <c r="G500"/>
      <c r="H500"/>
      <c r="I500"/>
      <c r="J500"/>
      <c r="K500"/>
      <c r="L500"/>
      <c r="M500"/>
      <c r="N500"/>
      <c r="O500"/>
      <c r="P500"/>
      <c r="Q500"/>
      <c r="R500"/>
      <c r="S500"/>
      <c r="T500"/>
      <c r="V500" s="24"/>
      <c r="W500" s="16" t="str">
        <f>IFERROR(VLOOKUP(CLEAN($V500),'All Security Controls'!A:I, 2, FALSE),"---")</f>
        <v>---</v>
      </c>
      <c r="X500" s="14" t="str">
        <f>IFERROR(VLOOKUP(CLEAN($V500),'All Security Controls'!$A:$I, 4, FALSE),"---")</f>
        <v>---</v>
      </c>
      <c r="Y500" s="14" t="str">
        <f>IFERROR(VLOOKUP(CLEAN($V500),'All Security Controls'!$A:$I,5, FALSE),"---")</f>
        <v>---</v>
      </c>
      <c r="Z500" s="14" t="str">
        <f>IFERROR(VLOOKUP(CLEAN($V500),'All Security Controls'!$A:$I,6, FALSE),"---")</f>
        <v>---</v>
      </c>
      <c r="AA500" s="14" t="str">
        <f>IFERROR(VLOOKUP(CLEAN($V500),'All Security Controls'!$A:$I,7, FALSE),"---")</f>
        <v>---</v>
      </c>
      <c r="AB500" s="14" t="str">
        <f>IFERROR(VLOOKUP(CLEAN($V500),'All Security Controls'!$A:$I,8, FALSE),"---")</f>
        <v>---</v>
      </c>
      <c r="AC500" s="14" t="str">
        <f>IFERROR(VLOOKUP(CLEAN($V500),'All Security Controls'!$A:$I,9, FALSE),"---")</f>
        <v>---</v>
      </c>
      <c r="AD500" s="26">
        <v>499</v>
      </c>
    </row>
    <row r="501" spans="1:30" s="10" customFormat="1" thickBot="1">
      <c r="A501"/>
      <c r="B501"/>
      <c r="C501"/>
      <c r="D501"/>
      <c r="E501"/>
      <c r="F501"/>
      <c r="G501"/>
      <c r="H501"/>
      <c r="I501"/>
      <c r="J501"/>
      <c r="K501"/>
      <c r="L501"/>
      <c r="M501"/>
      <c r="N501"/>
      <c r="O501"/>
      <c r="P501"/>
      <c r="Q501"/>
      <c r="R501"/>
      <c r="S501"/>
      <c r="T501"/>
      <c r="V501" s="24"/>
      <c r="W501" s="16" t="str">
        <f>IFERROR(VLOOKUP(CLEAN($V501),'All Security Controls'!A:I, 2, FALSE),"---")</f>
        <v>---</v>
      </c>
      <c r="X501" s="14" t="str">
        <f>IFERROR(VLOOKUP(CLEAN($V501),'All Security Controls'!$A:$I, 4, FALSE),"---")</f>
        <v>---</v>
      </c>
      <c r="Y501" s="14" t="str">
        <f>IFERROR(VLOOKUP(CLEAN($V501),'All Security Controls'!$A:$I,5, FALSE),"---")</f>
        <v>---</v>
      </c>
      <c r="Z501" s="14" t="str">
        <f>IFERROR(VLOOKUP(CLEAN($V501),'All Security Controls'!$A:$I,6, FALSE),"---")</f>
        <v>---</v>
      </c>
      <c r="AA501" s="14" t="str">
        <f>IFERROR(VLOOKUP(CLEAN($V501),'All Security Controls'!$A:$I,7, FALSE),"---")</f>
        <v>---</v>
      </c>
      <c r="AB501" s="14" t="str">
        <f>IFERROR(VLOOKUP(CLEAN($V501),'All Security Controls'!$A:$I,8, FALSE),"---")</f>
        <v>---</v>
      </c>
      <c r="AC501" s="14" t="str">
        <f>IFERROR(VLOOKUP(CLEAN($V501),'All Security Controls'!$A:$I,9, FALSE),"---")</f>
        <v>---</v>
      </c>
      <c r="AD501" s="26">
        <v>500</v>
      </c>
    </row>
    <row r="502" spans="1:30" s="10" customFormat="1" thickBot="1">
      <c r="A502"/>
      <c r="B502"/>
      <c r="C502"/>
      <c r="D502"/>
      <c r="E502"/>
      <c r="F502"/>
      <c r="G502"/>
      <c r="H502"/>
      <c r="I502"/>
      <c r="J502"/>
      <c r="K502"/>
      <c r="L502"/>
      <c r="M502"/>
      <c r="N502"/>
      <c r="O502"/>
      <c r="P502"/>
      <c r="Q502"/>
      <c r="R502"/>
      <c r="S502"/>
      <c r="T502"/>
      <c r="V502" s="24"/>
      <c r="W502" s="16" t="str">
        <f>IFERROR(VLOOKUP(CLEAN($V502),'All Security Controls'!A:I, 2, FALSE),"---")</f>
        <v>---</v>
      </c>
      <c r="X502" s="14" t="str">
        <f>IFERROR(VLOOKUP(CLEAN($V502),'All Security Controls'!$A:$I, 4, FALSE),"---")</f>
        <v>---</v>
      </c>
      <c r="Y502" s="14" t="str">
        <f>IFERROR(VLOOKUP(CLEAN($V502),'All Security Controls'!$A:$I,5, FALSE),"---")</f>
        <v>---</v>
      </c>
      <c r="Z502" s="14" t="str">
        <f>IFERROR(VLOOKUP(CLEAN($V502),'All Security Controls'!$A:$I,6, FALSE),"---")</f>
        <v>---</v>
      </c>
      <c r="AA502" s="14" t="str">
        <f>IFERROR(VLOOKUP(CLEAN($V502),'All Security Controls'!$A:$I,7, FALSE),"---")</f>
        <v>---</v>
      </c>
      <c r="AB502" s="14" t="str">
        <f>IFERROR(VLOOKUP(CLEAN($V502),'All Security Controls'!$A:$I,8, FALSE),"---")</f>
        <v>---</v>
      </c>
      <c r="AC502" s="14" t="str">
        <f>IFERROR(VLOOKUP(CLEAN($V502),'All Security Controls'!$A:$I,9, FALSE),"---")</f>
        <v>---</v>
      </c>
      <c r="AD502" s="26">
        <v>501</v>
      </c>
    </row>
    <row r="503" spans="1:30" s="10" customFormat="1" thickBot="1">
      <c r="A503"/>
      <c r="B503"/>
      <c r="C503"/>
      <c r="D503"/>
      <c r="E503"/>
      <c r="F503"/>
      <c r="G503"/>
      <c r="H503"/>
      <c r="I503"/>
      <c r="J503"/>
      <c r="K503"/>
      <c r="L503"/>
      <c r="M503"/>
      <c r="N503"/>
      <c r="O503"/>
      <c r="P503"/>
      <c r="Q503"/>
      <c r="R503"/>
      <c r="S503"/>
      <c r="T503"/>
      <c r="V503" s="24"/>
      <c r="W503" s="16" t="str">
        <f>IFERROR(VLOOKUP(CLEAN($V503),'All Security Controls'!A:I, 2, FALSE),"---")</f>
        <v>---</v>
      </c>
      <c r="X503" s="14" t="str">
        <f>IFERROR(VLOOKUP(CLEAN($V503),'All Security Controls'!$A:$I, 4, FALSE),"---")</f>
        <v>---</v>
      </c>
      <c r="Y503" s="14" t="str">
        <f>IFERROR(VLOOKUP(CLEAN($V503),'All Security Controls'!$A:$I,5, FALSE),"---")</f>
        <v>---</v>
      </c>
      <c r="Z503" s="14" t="str">
        <f>IFERROR(VLOOKUP(CLEAN($V503),'All Security Controls'!$A:$I,6, FALSE),"---")</f>
        <v>---</v>
      </c>
      <c r="AA503" s="14" t="str">
        <f>IFERROR(VLOOKUP(CLEAN($V503),'All Security Controls'!$A:$I,7, FALSE),"---")</f>
        <v>---</v>
      </c>
      <c r="AB503" s="14" t="str">
        <f>IFERROR(VLOOKUP(CLEAN($V503),'All Security Controls'!$A:$I,8, FALSE),"---")</f>
        <v>---</v>
      </c>
      <c r="AC503" s="14" t="str">
        <f>IFERROR(VLOOKUP(CLEAN($V503),'All Security Controls'!$A:$I,9, FALSE),"---")</f>
        <v>---</v>
      </c>
      <c r="AD503" s="26">
        <v>502</v>
      </c>
    </row>
    <row r="504" spans="1:30" s="10" customFormat="1" thickBot="1">
      <c r="A504"/>
      <c r="B504"/>
      <c r="C504"/>
      <c r="D504"/>
      <c r="E504"/>
      <c r="F504"/>
      <c r="G504"/>
      <c r="H504"/>
      <c r="I504"/>
      <c r="J504"/>
      <c r="K504"/>
      <c r="L504"/>
      <c r="M504"/>
      <c r="N504"/>
      <c r="O504"/>
      <c r="P504"/>
      <c r="Q504"/>
      <c r="R504"/>
      <c r="S504"/>
      <c r="T504"/>
      <c r="V504" s="24"/>
      <c r="W504" s="16" t="str">
        <f>IFERROR(VLOOKUP(CLEAN($V504),'All Security Controls'!A:I, 2, FALSE),"---")</f>
        <v>---</v>
      </c>
      <c r="X504" s="14" t="str">
        <f>IFERROR(VLOOKUP(CLEAN($V504),'All Security Controls'!$A:$I, 4, FALSE),"---")</f>
        <v>---</v>
      </c>
      <c r="Y504" s="14" t="str">
        <f>IFERROR(VLOOKUP(CLEAN($V504),'All Security Controls'!$A:$I,5, FALSE),"---")</f>
        <v>---</v>
      </c>
      <c r="Z504" s="14" t="str">
        <f>IFERROR(VLOOKUP(CLEAN($V504),'All Security Controls'!$A:$I,6, FALSE),"---")</f>
        <v>---</v>
      </c>
      <c r="AA504" s="14" t="str">
        <f>IFERROR(VLOOKUP(CLEAN($V504),'All Security Controls'!$A:$I,7, FALSE),"---")</f>
        <v>---</v>
      </c>
      <c r="AB504" s="14" t="str">
        <f>IFERROR(VLOOKUP(CLEAN($V504),'All Security Controls'!$A:$I,8, FALSE),"---")</f>
        <v>---</v>
      </c>
      <c r="AC504" s="14" t="str">
        <f>IFERROR(VLOOKUP(CLEAN($V504),'All Security Controls'!$A:$I,9, FALSE),"---")</f>
        <v>---</v>
      </c>
      <c r="AD504" s="26">
        <v>503</v>
      </c>
    </row>
    <row r="505" spans="1:30" s="10" customFormat="1" thickBot="1">
      <c r="A505"/>
      <c r="B505"/>
      <c r="C505"/>
      <c r="D505"/>
      <c r="E505"/>
      <c r="F505"/>
      <c r="G505"/>
      <c r="H505"/>
      <c r="I505"/>
      <c r="J505"/>
      <c r="K505"/>
      <c r="L505"/>
      <c r="M505"/>
      <c r="N505"/>
      <c r="O505"/>
      <c r="P505"/>
      <c r="Q505"/>
      <c r="R505"/>
      <c r="S505"/>
      <c r="T505"/>
      <c r="V505" s="24"/>
      <c r="W505" s="16" t="str">
        <f>IFERROR(VLOOKUP(CLEAN($V505),'All Security Controls'!A:I, 2, FALSE),"---")</f>
        <v>---</v>
      </c>
      <c r="X505" s="14" t="str">
        <f>IFERROR(VLOOKUP(CLEAN($V505),'All Security Controls'!$A:$I, 4, FALSE),"---")</f>
        <v>---</v>
      </c>
      <c r="Y505" s="14" t="str">
        <f>IFERROR(VLOOKUP(CLEAN($V505),'All Security Controls'!$A:$I,5, FALSE),"---")</f>
        <v>---</v>
      </c>
      <c r="Z505" s="14" t="str">
        <f>IFERROR(VLOOKUP(CLEAN($V505),'All Security Controls'!$A:$I,6, FALSE),"---")</f>
        <v>---</v>
      </c>
      <c r="AA505" s="14" t="str">
        <f>IFERROR(VLOOKUP(CLEAN($V505),'All Security Controls'!$A:$I,7, FALSE),"---")</f>
        <v>---</v>
      </c>
      <c r="AB505" s="14" t="str">
        <f>IFERROR(VLOOKUP(CLEAN($V505),'All Security Controls'!$A:$I,8, FALSE),"---")</f>
        <v>---</v>
      </c>
      <c r="AC505" s="14" t="str">
        <f>IFERROR(VLOOKUP(CLEAN($V505),'All Security Controls'!$A:$I,9, FALSE),"---")</f>
        <v>---</v>
      </c>
      <c r="AD505" s="26">
        <v>504</v>
      </c>
    </row>
    <row r="506" spans="1:30" s="10" customFormat="1" thickBot="1">
      <c r="A506"/>
      <c r="B506"/>
      <c r="C506"/>
      <c r="D506"/>
      <c r="E506"/>
      <c r="F506"/>
      <c r="G506"/>
      <c r="H506"/>
      <c r="I506"/>
      <c r="J506"/>
      <c r="K506"/>
      <c r="L506"/>
      <c r="M506"/>
      <c r="N506"/>
      <c r="O506"/>
      <c r="P506"/>
      <c r="Q506"/>
      <c r="R506"/>
      <c r="S506"/>
      <c r="T506"/>
      <c r="V506" s="24"/>
      <c r="W506" s="16" t="str">
        <f>IFERROR(VLOOKUP(CLEAN($V506),'All Security Controls'!A:I, 2, FALSE),"---")</f>
        <v>---</v>
      </c>
      <c r="X506" s="14" t="str">
        <f>IFERROR(VLOOKUP(CLEAN($V506),'All Security Controls'!$A:$I, 4, FALSE),"---")</f>
        <v>---</v>
      </c>
      <c r="Y506" s="14" t="str">
        <f>IFERROR(VLOOKUP(CLEAN($V506),'All Security Controls'!$A:$I,5, FALSE),"---")</f>
        <v>---</v>
      </c>
      <c r="Z506" s="14" t="str">
        <f>IFERROR(VLOOKUP(CLEAN($V506),'All Security Controls'!$A:$I,6, FALSE),"---")</f>
        <v>---</v>
      </c>
      <c r="AA506" s="14" t="str">
        <f>IFERROR(VLOOKUP(CLEAN($V506),'All Security Controls'!$A:$I,7, FALSE),"---")</f>
        <v>---</v>
      </c>
      <c r="AB506" s="14" t="str">
        <f>IFERROR(VLOOKUP(CLEAN($V506),'All Security Controls'!$A:$I,8, FALSE),"---")</f>
        <v>---</v>
      </c>
      <c r="AC506" s="14" t="str">
        <f>IFERROR(VLOOKUP(CLEAN($V506),'All Security Controls'!$A:$I,9, FALSE),"---")</f>
        <v>---</v>
      </c>
      <c r="AD506" s="26">
        <v>505</v>
      </c>
    </row>
    <row r="507" spans="1:30" s="10" customFormat="1" thickBot="1">
      <c r="A507"/>
      <c r="B507"/>
      <c r="C507"/>
      <c r="D507"/>
      <c r="E507"/>
      <c r="F507"/>
      <c r="G507"/>
      <c r="H507"/>
      <c r="I507"/>
      <c r="J507"/>
      <c r="K507"/>
      <c r="L507"/>
      <c r="M507"/>
      <c r="N507"/>
      <c r="O507"/>
      <c r="P507"/>
      <c r="Q507"/>
      <c r="R507"/>
      <c r="S507"/>
      <c r="T507"/>
      <c r="V507" s="24"/>
      <c r="W507" s="16" t="str">
        <f>IFERROR(VLOOKUP(CLEAN($V507),'All Security Controls'!A:I, 2, FALSE),"---")</f>
        <v>---</v>
      </c>
      <c r="X507" s="14" t="str">
        <f>IFERROR(VLOOKUP(CLEAN($V507),'All Security Controls'!$A:$I, 4, FALSE),"---")</f>
        <v>---</v>
      </c>
      <c r="Y507" s="14" t="str">
        <f>IFERROR(VLOOKUP(CLEAN($V507),'All Security Controls'!$A:$I,5, FALSE),"---")</f>
        <v>---</v>
      </c>
      <c r="Z507" s="14" t="str">
        <f>IFERROR(VLOOKUP(CLEAN($V507),'All Security Controls'!$A:$I,6, FALSE),"---")</f>
        <v>---</v>
      </c>
      <c r="AA507" s="14" t="str">
        <f>IFERROR(VLOOKUP(CLEAN($V507),'All Security Controls'!$A:$I,7, FALSE),"---")</f>
        <v>---</v>
      </c>
      <c r="AB507" s="14" t="str">
        <f>IFERROR(VLOOKUP(CLEAN($V507),'All Security Controls'!$A:$I,8, FALSE),"---")</f>
        <v>---</v>
      </c>
      <c r="AC507" s="14" t="str">
        <f>IFERROR(VLOOKUP(CLEAN($V507),'All Security Controls'!$A:$I,9, FALSE),"---")</f>
        <v>---</v>
      </c>
      <c r="AD507" s="26">
        <v>506</v>
      </c>
    </row>
    <row r="508" spans="1:30" s="10" customFormat="1" thickBot="1">
      <c r="A508"/>
      <c r="B508"/>
      <c r="C508"/>
      <c r="D508"/>
      <c r="E508"/>
      <c r="F508"/>
      <c r="G508"/>
      <c r="H508"/>
      <c r="I508"/>
      <c r="J508"/>
      <c r="K508"/>
      <c r="L508"/>
      <c r="M508"/>
      <c r="N508"/>
      <c r="O508"/>
      <c r="P508"/>
      <c r="Q508"/>
      <c r="R508"/>
      <c r="S508"/>
      <c r="T508"/>
      <c r="V508" s="24"/>
      <c r="W508" s="16" t="str">
        <f>IFERROR(VLOOKUP(CLEAN($V508),'All Security Controls'!A:I, 2, FALSE),"---")</f>
        <v>---</v>
      </c>
      <c r="X508" s="14" t="str">
        <f>IFERROR(VLOOKUP(CLEAN($V508),'All Security Controls'!$A:$I, 4, FALSE),"---")</f>
        <v>---</v>
      </c>
      <c r="Y508" s="14" t="str">
        <f>IFERROR(VLOOKUP(CLEAN($V508),'All Security Controls'!$A:$I,5, FALSE),"---")</f>
        <v>---</v>
      </c>
      <c r="Z508" s="14" t="str">
        <f>IFERROR(VLOOKUP(CLEAN($V508),'All Security Controls'!$A:$I,6, FALSE),"---")</f>
        <v>---</v>
      </c>
      <c r="AA508" s="14" t="str">
        <f>IFERROR(VLOOKUP(CLEAN($V508),'All Security Controls'!$A:$I,7, FALSE),"---")</f>
        <v>---</v>
      </c>
      <c r="AB508" s="14" t="str">
        <f>IFERROR(VLOOKUP(CLEAN($V508),'All Security Controls'!$A:$I,8, FALSE),"---")</f>
        <v>---</v>
      </c>
      <c r="AC508" s="14" t="str">
        <f>IFERROR(VLOOKUP(CLEAN($V508),'All Security Controls'!$A:$I,9, FALSE),"---")</f>
        <v>---</v>
      </c>
      <c r="AD508" s="26">
        <v>507</v>
      </c>
    </row>
    <row r="509" spans="1:30" s="10" customFormat="1" thickBot="1">
      <c r="A509"/>
      <c r="B509"/>
      <c r="C509"/>
      <c r="D509"/>
      <c r="E509"/>
      <c r="F509"/>
      <c r="G509"/>
      <c r="H509"/>
      <c r="I509"/>
      <c r="J509"/>
      <c r="K509"/>
      <c r="L509"/>
      <c r="M509"/>
      <c r="N509"/>
      <c r="O509"/>
      <c r="P509"/>
      <c r="Q509"/>
      <c r="R509"/>
      <c r="S509"/>
      <c r="T509"/>
      <c r="V509" s="24"/>
      <c r="W509" s="16" t="str">
        <f>IFERROR(VLOOKUP(CLEAN($V509),'All Security Controls'!A:I, 2, FALSE),"---")</f>
        <v>---</v>
      </c>
      <c r="X509" s="14" t="str">
        <f>IFERROR(VLOOKUP(CLEAN($V509),'All Security Controls'!$A:$I, 4, FALSE),"---")</f>
        <v>---</v>
      </c>
      <c r="Y509" s="14" t="str">
        <f>IFERROR(VLOOKUP(CLEAN($V509),'All Security Controls'!$A:$I,5, FALSE),"---")</f>
        <v>---</v>
      </c>
      <c r="Z509" s="14" t="str">
        <f>IFERROR(VLOOKUP(CLEAN($V509),'All Security Controls'!$A:$I,6, FALSE),"---")</f>
        <v>---</v>
      </c>
      <c r="AA509" s="14" t="str">
        <f>IFERROR(VLOOKUP(CLEAN($V509),'All Security Controls'!$A:$I,7, FALSE),"---")</f>
        <v>---</v>
      </c>
      <c r="AB509" s="14" t="str">
        <f>IFERROR(VLOOKUP(CLEAN($V509),'All Security Controls'!$A:$I,8, FALSE),"---")</f>
        <v>---</v>
      </c>
      <c r="AC509" s="14" t="str">
        <f>IFERROR(VLOOKUP(CLEAN($V509),'All Security Controls'!$A:$I,9, FALSE),"---")</f>
        <v>---</v>
      </c>
      <c r="AD509" s="26">
        <v>508</v>
      </c>
    </row>
    <row r="510" spans="1:30" s="10" customFormat="1" thickBot="1">
      <c r="A510"/>
      <c r="B510"/>
      <c r="C510"/>
      <c r="D510"/>
      <c r="E510"/>
      <c r="F510"/>
      <c r="G510"/>
      <c r="H510"/>
      <c r="I510"/>
      <c r="J510"/>
      <c r="K510"/>
      <c r="L510"/>
      <c r="M510"/>
      <c r="N510"/>
      <c r="O510"/>
      <c r="P510"/>
      <c r="Q510"/>
      <c r="R510"/>
      <c r="S510"/>
      <c r="T510"/>
      <c r="V510" s="24"/>
      <c r="W510" s="16" t="str">
        <f>IFERROR(VLOOKUP(CLEAN($V510),'All Security Controls'!A:I, 2, FALSE),"---")</f>
        <v>---</v>
      </c>
      <c r="X510" s="14" t="str">
        <f>IFERROR(VLOOKUP(CLEAN($V510),'All Security Controls'!$A:$I, 4, FALSE),"---")</f>
        <v>---</v>
      </c>
      <c r="Y510" s="14" t="str">
        <f>IFERROR(VLOOKUP(CLEAN($V510),'All Security Controls'!$A:$I,5, FALSE),"---")</f>
        <v>---</v>
      </c>
      <c r="Z510" s="14" t="str">
        <f>IFERROR(VLOOKUP(CLEAN($V510),'All Security Controls'!$A:$I,6, FALSE),"---")</f>
        <v>---</v>
      </c>
      <c r="AA510" s="14" t="str">
        <f>IFERROR(VLOOKUP(CLEAN($V510),'All Security Controls'!$A:$I,7, FALSE),"---")</f>
        <v>---</v>
      </c>
      <c r="AB510" s="14" t="str">
        <f>IFERROR(VLOOKUP(CLEAN($V510),'All Security Controls'!$A:$I,8, FALSE),"---")</f>
        <v>---</v>
      </c>
      <c r="AC510" s="14" t="str">
        <f>IFERROR(VLOOKUP(CLEAN($V510),'All Security Controls'!$A:$I,9, FALSE),"---")</f>
        <v>---</v>
      </c>
      <c r="AD510" s="26">
        <v>509</v>
      </c>
    </row>
    <row r="511" spans="1:30" s="10" customFormat="1" thickBot="1">
      <c r="A511"/>
      <c r="B511"/>
      <c r="C511"/>
      <c r="D511"/>
      <c r="E511"/>
      <c r="F511"/>
      <c r="G511"/>
      <c r="H511"/>
      <c r="I511"/>
      <c r="J511"/>
      <c r="K511"/>
      <c r="L511"/>
      <c r="M511"/>
      <c r="N511"/>
      <c r="O511"/>
      <c r="P511"/>
      <c r="Q511"/>
      <c r="R511"/>
      <c r="S511"/>
      <c r="T511"/>
      <c r="V511" s="24"/>
      <c r="W511" s="16" t="str">
        <f>IFERROR(VLOOKUP(CLEAN($V511),'All Security Controls'!A:I, 2, FALSE),"---")</f>
        <v>---</v>
      </c>
      <c r="X511" s="14" t="str">
        <f>IFERROR(VLOOKUP(CLEAN($V511),'All Security Controls'!$A:$I, 4, FALSE),"---")</f>
        <v>---</v>
      </c>
      <c r="Y511" s="14" t="str">
        <f>IFERROR(VLOOKUP(CLEAN($V511),'All Security Controls'!$A:$I,5, FALSE),"---")</f>
        <v>---</v>
      </c>
      <c r="Z511" s="14" t="str">
        <f>IFERROR(VLOOKUP(CLEAN($V511),'All Security Controls'!$A:$I,6, FALSE),"---")</f>
        <v>---</v>
      </c>
      <c r="AA511" s="14" t="str">
        <f>IFERROR(VLOOKUP(CLEAN($V511),'All Security Controls'!$A:$I,7, FALSE),"---")</f>
        <v>---</v>
      </c>
      <c r="AB511" s="14" t="str">
        <f>IFERROR(VLOOKUP(CLEAN($V511),'All Security Controls'!$A:$I,8, FALSE),"---")</f>
        <v>---</v>
      </c>
      <c r="AC511" s="14" t="str">
        <f>IFERROR(VLOOKUP(CLEAN($V511),'All Security Controls'!$A:$I,9, FALSE),"---")</f>
        <v>---</v>
      </c>
      <c r="AD511" s="26">
        <v>510</v>
      </c>
    </row>
    <row r="512" spans="1:30" s="10" customFormat="1" thickBot="1">
      <c r="A512"/>
      <c r="B512"/>
      <c r="C512"/>
      <c r="D512"/>
      <c r="E512"/>
      <c r="F512"/>
      <c r="G512"/>
      <c r="H512"/>
      <c r="I512"/>
      <c r="J512"/>
      <c r="K512"/>
      <c r="L512"/>
      <c r="M512"/>
      <c r="N512"/>
      <c r="O512"/>
      <c r="P512"/>
      <c r="Q512"/>
      <c r="R512"/>
      <c r="S512"/>
      <c r="T512"/>
      <c r="V512" s="24"/>
      <c r="W512" s="16" t="str">
        <f>IFERROR(VLOOKUP(CLEAN($V512),'All Security Controls'!A:I, 2, FALSE),"---")</f>
        <v>---</v>
      </c>
      <c r="X512" s="14" t="str">
        <f>IFERROR(VLOOKUP(CLEAN($V512),'All Security Controls'!$A:$I, 4, FALSE),"---")</f>
        <v>---</v>
      </c>
      <c r="Y512" s="14" t="str">
        <f>IFERROR(VLOOKUP(CLEAN($V512),'All Security Controls'!$A:$I,5, FALSE),"---")</f>
        <v>---</v>
      </c>
      <c r="Z512" s="14" t="str">
        <f>IFERROR(VLOOKUP(CLEAN($V512),'All Security Controls'!$A:$I,6, FALSE),"---")</f>
        <v>---</v>
      </c>
      <c r="AA512" s="14" t="str">
        <f>IFERROR(VLOOKUP(CLEAN($V512),'All Security Controls'!$A:$I,7, FALSE),"---")</f>
        <v>---</v>
      </c>
      <c r="AB512" s="14" t="str">
        <f>IFERROR(VLOOKUP(CLEAN($V512),'All Security Controls'!$A:$I,8, FALSE),"---")</f>
        <v>---</v>
      </c>
      <c r="AC512" s="14" t="str">
        <f>IFERROR(VLOOKUP(CLEAN($V512),'All Security Controls'!$A:$I,9, FALSE),"---")</f>
        <v>---</v>
      </c>
      <c r="AD512" s="26">
        <v>511</v>
      </c>
    </row>
    <row r="513" spans="1:30" s="10" customFormat="1" thickBot="1">
      <c r="A513"/>
      <c r="B513"/>
      <c r="C513"/>
      <c r="D513"/>
      <c r="E513"/>
      <c r="F513"/>
      <c r="G513"/>
      <c r="H513"/>
      <c r="I513"/>
      <c r="J513"/>
      <c r="K513"/>
      <c r="L513"/>
      <c r="M513"/>
      <c r="N513"/>
      <c r="O513"/>
      <c r="P513"/>
      <c r="Q513"/>
      <c r="R513"/>
      <c r="S513"/>
      <c r="T513"/>
      <c r="V513" s="24"/>
      <c r="W513" s="16" t="str">
        <f>IFERROR(VLOOKUP(CLEAN($V513),'All Security Controls'!A:I, 2, FALSE),"---")</f>
        <v>---</v>
      </c>
      <c r="X513" s="14" t="str">
        <f>IFERROR(VLOOKUP(CLEAN($V513),'All Security Controls'!$A:$I, 4, FALSE),"---")</f>
        <v>---</v>
      </c>
      <c r="Y513" s="14" t="str">
        <f>IFERROR(VLOOKUP(CLEAN($V513),'All Security Controls'!$A:$I,5, FALSE),"---")</f>
        <v>---</v>
      </c>
      <c r="Z513" s="14" t="str">
        <f>IFERROR(VLOOKUP(CLEAN($V513),'All Security Controls'!$A:$I,6, FALSE),"---")</f>
        <v>---</v>
      </c>
      <c r="AA513" s="14" t="str">
        <f>IFERROR(VLOOKUP(CLEAN($V513),'All Security Controls'!$A:$I,7, FALSE),"---")</f>
        <v>---</v>
      </c>
      <c r="AB513" s="14" t="str">
        <f>IFERROR(VLOOKUP(CLEAN($V513),'All Security Controls'!$A:$I,8, FALSE),"---")</f>
        <v>---</v>
      </c>
      <c r="AC513" s="14" t="str">
        <f>IFERROR(VLOOKUP(CLEAN($V513),'All Security Controls'!$A:$I,9, FALSE),"---")</f>
        <v>---</v>
      </c>
      <c r="AD513" s="26">
        <v>512</v>
      </c>
    </row>
    <row r="514" spans="1:30" s="10" customFormat="1" thickBot="1">
      <c r="A514"/>
      <c r="B514"/>
      <c r="C514"/>
      <c r="D514"/>
      <c r="E514"/>
      <c r="F514"/>
      <c r="G514"/>
      <c r="H514"/>
      <c r="I514"/>
      <c r="J514"/>
      <c r="K514"/>
      <c r="L514"/>
      <c r="M514"/>
      <c r="N514"/>
      <c r="O514"/>
      <c r="P514"/>
      <c r="Q514"/>
      <c r="R514"/>
      <c r="S514"/>
      <c r="T514"/>
      <c r="V514" s="24"/>
      <c r="W514" s="16" t="str">
        <f>IFERROR(VLOOKUP(CLEAN($V514),'All Security Controls'!A:I, 2, FALSE),"---")</f>
        <v>---</v>
      </c>
      <c r="X514" s="14" t="str">
        <f>IFERROR(VLOOKUP(CLEAN($V514),'All Security Controls'!$A:$I, 4, FALSE),"---")</f>
        <v>---</v>
      </c>
      <c r="Y514" s="14" t="str">
        <f>IFERROR(VLOOKUP(CLEAN($V514),'All Security Controls'!$A:$I,5, FALSE),"---")</f>
        <v>---</v>
      </c>
      <c r="Z514" s="14" t="str">
        <f>IFERROR(VLOOKUP(CLEAN($V514),'All Security Controls'!$A:$I,6, FALSE),"---")</f>
        <v>---</v>
      </c>
      <c r="AA514" s="14" t="str">
        <f>IFERROR(VLOOKUP(CLEAN($V514),'All Security Controls'!$A:$I,7, FALSE),"---")</f>
        <v>---</v>
      </c>
      <c r="AB514" s="14" t="str">
        <f>IFERROR(VLOOKUP(CLEAN($V514),'All Security Controls'!$A:$I,8, FALSE),"---")</f>
        <v>---</v>
      </c>
      <c r="AC514" s="14" t="str">
        <f>IFERROR(VLOOKUP(CLEAN($V514),'All Security Controls'!$A:$I,9, FALSE),"---")</f>
        <v>---</v>
      </c>
      <c r="AD514" s="26">
        <v>513</v>
      </c>
    </row>
    <row r="515" spans="1:30" s="10" customFormat="1" thickBot="1">
      <c r="A515"/>
      <c r="B515"/>
      <c r="C515"/>
      <c r="D515"/>
      <c r="E515"/>
      <c r="F515"/>
      <c r="G515"/>
      <c r="H515"/>
      <c r="I515"/>
      <c r="J515"/>
      <c r="K515"/>
      <c r="L515"/>
      <c r="M515"/>
      <c r="N515"/>
      <c r="O515"/>
      <c r="P515"/>
      <c r="Q515"/>
      <c r="R515"/>
      <c r="S515"/>
      <c r="T515"/>
      <c r="V515" s="24"/>
      <c r="W515" s="16" t="str">
        <f>IFERROR(VLOOKUP(CLEAN($V515),'All Security Controls'!A:I, 2, FALSE),"---")</f>
        <v>---</v>
      </c>
      <c r="X515" s="14" t="str">
        <f>IFERROR(VLOOKUP(CLEAN($V515),'All Security Controls'!$A:$I, 4, FALSE),"---")</f>
        <v>---</v>
      </c>
      <c r="Y515" s="14" t="str">
        <f>IFERROR(VLOOKUP(CLEAN($V515),'All Security Controls'!$A:$I,5, FALSE),"---")</f>
        <v>---</v>
      </c>
      <c r="Z515" s="14" t="str">
        <f>IFERROR(VLOOKUP(CLEAN($V515),'All Security Controls'!$A:$I,6, FALSE),"---")</f>
        <v>---</v>
      </c>
      <c r="AA515" s="14" t="str">
        <f>IFERROR(VLOOKUP(CLEAN($V515),'All Security Controls'!$A:$I,7, FALSE),"---")</f>
        <v>---</v>
      </c>
      <c r="AB515" s="14" t="str">
        <f>IFERROR(VLOOKUP(CLEAN($V515),'All Security Controls'!$A:$I,8, FALSE),"---")</f>
        <v>---</v>
      </c>
      <c r="AC515" s="14" t="str">
        <f>IFERROR(VLOOKUP(CLEAN($V515),'All Security Controls'!$A:$I,9, FALSE),"---")</f>
        <v>---</v>
      </c>
      <c r="AD515" s="26">
        <v>514</v>
      </c>
    </row>
    <row r="516" spans="1:30" s="10" customFormat="1" thickBot="1">
      <c r="A516"/>
      <c r="B516"/>
      <c r="C516"/>
      <c r="D516"/>
      <c r="E516"/>
      <c r="F516"/>
      <c r="G516"/>
      <c r="H516"/>
      <c r="I516"/>
      <c r="J516"/>
      <c r="K516"/>
      <c r="L516"/>
      <c r="M516"/>
      <c r="N516"/>
      <c r="O516"/>
      <c r="P516"/>
      <c r="Q516"/>
      <c r="R516"/>
      <c r="S516"/>
      <c r="T516"/>
      <c r="V516" s="24"/>
      <c r="W516" s="16" t="str">
        <f>IFERROR(VLOOKUP(CLEAN($V516),'All Security Controls'!A:I, 2, FALSE),"---")</f>
        <v>---</v>
      </c>
      <c r="X516" s="14" t="str">
        <f>IFERROR(VLOOKUP(CLEAN($V516),'All Security Controls'!$A:$I, 4, FALSE),"---")</f>
        <v>---</v>
      </c>
      <c r="Y516" s="14" t="str">
        <f>IFERROR(VLOOKUP(CLEAN($V516),'All Security Controls'!$A:$I,5, FALSE),"---")</f>
        <v>---</v>
      </c>
      <c r="Z516" s="14" t="str">
        <f>IFERROR(VLOOKUP(CLEAN($V516),'All Security Controls'!$A:$I,6, FALSE),"---")</f>
        <v>---</v>
      </c>
      <c r="AA516" s="14" t="str">
        <f>IFERROR(VLOOKUP(CLEAN($V516),'All Security Controls'!$A:$I,7, FALSE),"---")</f>
        <v>---</v>
      </c>
      <c r="AB516" s="14" t="str">
        <f>IFERROR(VLOOKUP(CLEAN($V516),'All Security Controls'!$A:$I,8, FALSE),"---")</f>
        <v>---</v>
      </c>
      <c r="AC516" s="14" t="str">
        <f>IFERROR(VLOOKUP(CLEAN($V516),'All Security Controls'!$A:$I,9, FALSE),"---")</f>
        <v>---</v>
      </c>
      <c r="AD516" s="26">
        <v>515</v>
      </c>
    </row>
    <row r="517" spans="1:30" s="10" customFormat="1" thickBot="1">
      <c r="A517"/>
      <c r="B517"/>
      <c r="C517"/>
      <c r="D517"/>
      <c r="E517"/>
      <c r="F517"/>
      <c r="G517"/>
      <c r="H517"/>
      <c r="I517"/>
      <c r="J517"/>
      <c r="K517"/>
      <c r="L517"/>
      <c r="M517"/>
      <c r="N517"/>
      <c r="O517"/>
      <c r="P517"/>
      <c r="Q517"/>
      <c r="R517"/>
      <c r="S517"/>
      <c r="T517"/>
      <c r="V517" s="24"/>
      <c r="W517" s="16" t="str">
        <f>IFERROR(VLOOKUP(CLEAN($V517),'All Security Controls'!A:I, 2, FALSE),"---")</f>
        <v>---</v>
      </c>
      <c r="X517" s="14" t="str">
        <f>IFERROR(VLOOKUP(CLEAN($V517),'All Security Controls'!$A:$I, 4, FALSE),"---")</f>
        <v>---</v>
      </c>
      <c r="Y517" s="14" t="str">
        <f>IFERROR(VLOOKUP(CLEAN($V517),'All Security Controls'!$A:$I,5, FALSE),"---")</f>
        <v>---</v>
      </c>
      <c r="Z517" s="14" t="str">
        <f>IFERROR(VLOOKUP(CLEAN($V517),'All Security Controls'!$A:$I,6, FALSE),"---")</f>
        <v>---</v>
      </c>
      <c r="AA517" s="14" t="str">
        <f>IFERROR(VLOOKUP(CLEAN($V517),'All Security Controls'!$A:$I,7, FALSE),"---")</f>
        <v>---</v>
      </c>
      <c r="AB517" s="14" t="str">
        <f>IFERROR(VLOOKUP(CLEAN($V517),'All Security Controls'!$A:$I,8, FALSE),"---")</f>
        <v>---</v>
      </c>
      <c r="AC517" s="14" t="str">
        <f>IFERROR(VLOOKUP(CLEAN($V517),'All Security Controls'!$A:$I,9, FALSE),"---")</f>
        <v>---</v>
      </c>
      <c r="AD517" s="26">
        <v>516</v>
      </c>
    </row>
    <row r="518" spans="1:30" s="10" customFormat="1" thickBot="1">
      <c r="A518"/>
      <c r="B518"/>
      <c r="C518"/>
      <c r="D518"/>
      <c r="E518"/>
      <c r="F518"/>
      <c r="G518"/>
      <c r="H518"/>
      <c r="I518"/>
      <c r="J518"/>
      <c r="K518"/>
      <c r="L518"/>
      <c r="M518"/>
      <c r="N518"/>
      <c r="O518"/>
      <c r="P518"/>
      <c r="Q518"/>
      <c r="R518"/>
      <c r="S518"/>
      <c r="T518"/>
      <c r="V518" s="24"/>
      <c r="W518" s="16" t="str">
        <f>IFERROR(VLOOKUP(CLEAN($V518),'All Security Controls'!A:I, 2, FALSE),"---")</f>
        <v>---</v>
      </c>
      <c r="X518" s="14" t="str">
        <f>IFERROR(VLOOKUP(CLEAN($V518),'All Security Controls'!$A:$I, 4, FALSE),"---")</f>
        <v>---</v>
      </c>
      <c r="Y518" s="14" t="str">
        <f>IFERROR(VLOOKUP(CLEAN($V518),'All Security Controls'!$A:$I,5, FALSE),"---")</f>
        <v>---</v>
      </c>
      <c r="Z518" s="14" t="str">
        <f>IFERROR(VLOOKUP(CLEAN($V518),'All Security Controls'!$A:$I,6, FALSE),"---")</f>
        <v>---</v>
      </c>
      <c r="AA518" s="14" t="str">
        <f>IFERROR(VLOOKUP(CLEAN($V518),'All Security Controls'!$A:$I,7, FALSE),"---")</f>
        <v>---</v>
      </c>
      <c r="AB518" s="14" t="str">
        <f>IFERROR(VLOOKUP(CLEAN($V518),'All Security Controls'!$A:$I,8, FALSE),"---")</f>
        <v>---</v>
      </c>
      <c r="AC518" s="14" t="str">
        <f>IFERROR(VLOOKUP(CLEAN($V518),'All Security Controls'!$A:$I,9, FALSE),"---")</f>
        <v>---</v>
      </c>
      <c r="AD518" s="26">
        <v>517</v>
      </c>
    </row>
    <row r="519" spans="1:30" s="10" customFormat="1" thickBot="1">
      <c r="A519"/>
      <c r="B519"/>
      <c r="C519"/>
      <c r="D519"/>
      <c r="E519"/>
      <c r="F519"/>
      <c r="G519"/>
      <c r="H519"/>
      <c r="I519"/>
      <c r="J519"/>
      <c r="K519"/>
      <c r="L519"/>
      <c r="M519"/>
      <c r="N519"/>
      <c r="O519"/>
      <c r="P519"/>
      <c r="Q519"/>
      <c r="R519"/>
      <c r="S519"/>
      <c r="T519"/>
      <c r="V519" s="24"/>
      <c r="W519" s="16" t="str">
        <f>IFERROR(VLOOKUP(CLEAN($V519),'All Security Controls'!A:I, 2, FALSE),"---")</f>
        <v>---</v>
      </c>
      <c r="X519" s="14" t="str">
        <f>IFERROR(VLOOKUP(CLEAN($V519),'All Security Controls'!$A:$I, 4, FALSE),"---")</f>
        <v>---</v>
      </c>
      <c r="Y519" s="14" t="str">
        <f>IFERROR(VLOOKUP(CLEAN($V519),'All Security Controls'!$A:$I,5, FALSE),"---")</f>
        <v>---</v>
      </c>
      <c r="Z519" s="14" t="str">
        <f>IFERROR(VLOOKUP(CLEAN($V519),'All Security Controls'!$A:$I,6, FALSE),"---")</f>
        <v>---</v>
      </c>
      <c r="AA519" s="14" t="str">
        <f>IFERROR(VLOOKUP(CLEAN($V519),'All Security Controls'!$A:$I,7, FALSE),"---")</f>
        <v>---</v>
      </c>
      <c r="AB519" s="14" t="str">
        <f>IFERROR(VLOOKUP(CLEAN($V519),'All Security Controls'!$A:$I,8, FALSE),"---")</f>
        <v>---</v>
      </c>
      <c r="AC519" s="14" t="str">
        <f>IFERROR(VLOOKUP(CLEAN($V519),'All Security Controls'!$A:$I,9, FALSE),"---")</f>
        <v>---</v>
      </c>
      <c r="AD519" s="26">
        <v>518</v>
      </c>
    </row>
    <row r="520" spans="1:30" s="10" customFormat="1" thickBot="1">
      <c r="A520"/>
      <c r="B520"/>
      <c r="C520"/>
      <c r="D520"/>
      <c r="E520"/>
      <c r="F520"/>
      <c r="G520"/>
      <c r="H520"/>
      <c r="I520"/>
      <c r="J520"/>
      <c r="K520"/>
      <c r="L520"/>
      <c r="M520"/>
      <c r="N520"/>
      <c r="O520"/>
      <c r="P520"/>
      <c r="Q520"/>
      <c r="R520"/>
      <c r="S520"/>
      <c r="T520"/>
      <c r="V520" s="24"/>
      <c r="W520" s="16" t="str">
        <f>IFERROR(VLOOKUP(CLEAN($V520),'All Security Controls'!A:I, 2, FALSE),"---")</f>
        <v>---</v>
      </c>
      <c r="X520" s="14" t="str">
        <f>IFERROR(VLOOKUP(CLEAN($V520),'All Security Controls'!$A:$I, 4, FALSE),"---")</f>
        <v>---</v>
      </c>
      <c r="Y520" s="14" t="str">
        <f>IFERROR(VLOOKUP(CLEAN($V520),'All Security Controls'!$A:$I,5, FALSE),"---")</f>
        <v>---</v>
      </c>
      <c r="Z520" s="14" t="str">
        <f>IFERROR(VLOOKUP(CLEAN($V520),'All Security Controls'!$A:$I,6, FALSE),"---")</f>
        <v>---</v>
      </c>
      <c r="AA520" s="14" t="str">
        <f>IFERROR(VLOOKUP(CLEAN($V520),'All Security Controls'!$A:$I,7, FALSE),"---")</f>
        <v>---</v>
      </c>
      <c r="AB520" s="14" t="str">
        <f>IFERROR(VLOOKUP(CLEAN($V520),'All Security Controls'!$A:$I,8, FALSE),"---")</f>
        <v>---</v>
      </c>
      <c r="AC520" s="14" t="str">
        <f>IFERROR(VLOOKUP(CLEAN($V520),'All Security Controls'!$A:$I,9, FALSE),"---")</f>
        <v>---</v>
      </c>
      <c r="AD520" s="26">
        <v>519</v>
      </c>
    </row>
    <row r="521" spans="1:30" s="10" customFormat="1" thickBot="1">
      <c r="A521"/>
      <c r="B521"/>
      <c r="C521"/>
      <c r="D521"/>
      <c r="E521"/>
      <c r="F521"/>
      <c r="G521"/>
      <c r="H521"/>
      <c r="I521"/>
      <c r="J521"/>
      <c r="K521"/>
      <c r="L521"/>
      <c r="M521"/>
      <c r="N521"/>
      <c r="O521"/>
      <c r="P521"/>
      <c r="Q521"/>
      <c r="R521"/>
      <c r="S521"/>
      <c r="T521"/>
      <c r="V521" s="24"/>
      <c r="W521" s="16" t="str">
        <f>IFERROR(VLOOKUP(CLEAN($V521),'All Security Controls'!A:I, 2, FALSE),"---")</f>
        <v>---</v>
      </c>
      <c r="X521" s="14" t="str">
        <f>IFERROR(VLOOKUP(CLEAN($V521),'All Security Controls'!$A:$I, 4, FALSE),"---")</f>
        <v>---</v>
      </c>
      <c r="Y521" s="14" t="str">
        <f>IFERROR(VLOOKUP(CLEAN($V521),'All Security Controls'!$A:$I,5, FALSE),"---")</f>
        <v>---</v>
      </c>
      <c r="Z521" s="14" t="str">
        <f>IFERROR(VLOOKUP(CLEAN($V521),'All Security Controls'!$A:$I,6, FALSE),"---")</f>
        <v>---</v>
      </c>
      <c r="AA521" s="14" t="str">
        <f>IFERROR(VLOOKUP(CLEAN($V521),'All Security Controls'!$A:$I,7, FALSE),"---")</f>
        <v>---</v>
      </c>
      <c r="AB521" s="14" t="str">
        <f>IFERROR(VLOOKUP(CLEAN($V521),'All Security Controls'!$A:$I,8, FALSE),"---")</f>
        <v>---</v>
      </c>
      <c r="AC521" s="14" t="str">
        <f>IFERROR(VLOOKUP(CLEAN($V521),'All Security Controls'!$A:$I,9, FALSE),"---")</f>
        <v>---</v>
      </c>
      <c r="AD521" s="26">
        <v>520</v>
      </c>
    </row>
    <row r="522" spans="1:30" s="10" customFormat="1" thickBot="1">
      <c r="A522"/>
      <c r="B522"/>
      <c r="C522"/>
      <c r="D522"/>
      <c r="E522"/>
      <c r="F522"/>
      <c r="G522"/>
      <c r="H522"/>
      <c r="I522"/>
      <c r="J522"/>
      <c r="K522"/>
      <c r="L522"/>
      <c r="M522"/>
      <c r="N522"/>
      <c r="O522"/>
      <c r="P522"/>
      <c r="Q522"/>
      <c r="R522"/>
      <c r="S522"/>
      <c r="T522"/>
      <c r="V522" s="24"/>
      <c r="W522" s="16" t="str">
        <f>IFERROR(VLOOKUP(CLEAN($V522),'All Security Controls'!A:I, 2, FALSE),"---")</f>
        <v>---</v>
      </c>
      <c r="X522" s="14" t="str">
        <f>IFERROR(VLOOKUP(CLEAN($V522),'All Security Controls'!$A:$I, 4, FALSE),"---")</f>
        <v>---</v>
      </c>
      <c r="Y522" s="14" t="str">
        <f>IFERROR(VLOOKUP(CLEAN($V522),'All Security Controls'!$A:$I,5, FALSE),"---")</f>
        <v>---</v>
      </c>
      <c r="Z522" s="14" t="str">
        <f>IFERROR(VLOOKUP(CLEAN($V522),'All Security Controls'!$A:$I,6, FALSE),"---")</f>
        <v>---</v>
      </c>
      <c r="AA522" s="14" t="str">
        <f>IFERROR(VLOOKUP(CLEAN($V522),'All Security Controls'!$A:$I,7, FALSE),"---")</f>
        <v>---</v>
      </c>
      <c r="AB522" s="14" t="str">
        <f>IFERROR(VLOOKUP(CLEAN($V522),'All Security Controls'!$A:$I,8, FALSE),"---")</f>
        <v>---</v>
      </c>
      <c r="AC522" s="14" t="str">
        <f>IFERROR(VLOOKUP(CLEAN($V522),'All Security Controls'!$A:$I,9, FALSE),"---")</f>
        <v>---</v>
      </c>
      <c r="AD522" s="26">
        <v>521</v>
      </c>
    </row>
    <row r="523" spans="1:30" s="10" customFormat="1" thickBot="1">
      <c r="A523"/>
      <c r="B523"/>
      <c r="C523"/>
      <c r="D523"/>
      <c r="E523"/>
      <c r="F523"/>
      <c r="G523"/>
      <c r="H523"/>
      <c r="I523"/>
      <c r="J523"/>
      <c r="K523"/>
      <c r="L523"/>
      <c r="M523"/>
      <c r="N523"/>
      <c r="O523"/>
      <c r="P523"/>
      <c r="Q523"/>
      <c r="R523"/>
      <c r="S523"/>
      <c r="T523"/>
      <c r="V523" s="24"/>
      <c r="W523" s="16" t="str">
        <f>IFERROR(VLOOKUP(CLEAN($V523),'All Security Controls'!A:I, 2, FALSE),"---")</f>
        <v>---</v>
      </c>
      <c r="X523" s="14" t="str">
        <f>IFERROR(VLOOKUP(CLEAN($V523),'All Security Controls'!$A:$I, 4, FALSE),"---")</f>
        <v>---</v>
      </c>
      <c r="Y523" s="14" t="str">
        <f>IFERROR(VLOOKUP(CLEAN($V523),'All Security Controls'!$A:$I,5, FALSE),"---")</f>
        <v>---</v>
      </c>
      <c r="Z523" s="14" t="str">
        <f>IFERROR(VLOOKUP(CLEAN($V523),'All Security Controls'!$A:$I,6, FALSE),"---")</f>
        <v>---</v>
      </c>
      <c r="AA523" s="14" t="str">
        <f>IFERROR(VLOOKUP(CLEAN($V523),'All Security Controls'!$A:$I,7, FALSE),"---")</f>
        <v>---</v>
      </c>
      <c r="AB523" s="14" t="str">
        <f>IFERROR(VLOOKUP(CLEAN($V523),'All Security Controls'!$A:$I,8, FALSE),"---")</f>
        <v>---</v>
      </c>
      <c r="AC523" s="14" t="str">
        <f>IFERROR(VLOOKUP(CLEAN($V523),'All Security Controls'!$A:$I,9, FALSE),"---")</f>
        <v>---</v>
      </c>
      <c r="AD523" s="26">
        <v>522</v>
      </c>
    </row>
    <row r="524" spans="1:30" s="10" customFormat="1" thickBot="1">
      <c r="A524"/>
      <c r="B524"/>
      <c r="C524"/>
      <c r="D524"/>
      <c r="E524"/>
      <c r="F524"/>
      <c r="G524"/>
      <c r="H524"/>
      <c r="I524"/>
      <c r="J524"/>
      <c r="K524"/>
      <c r="L524"/>
      <c r="M524"/>
      <c r="N524"/>
      <c r="O524"/>
      <c r="P524"/>
      <c r="Q524"/>
      <c r="R524"/>
      <c r="S524"/>
      <c r="T524"/>
      <c r="V524" s="24"/>
      <c r="W524" s="16" t="str">
        <f>IFERROR(VLOOKUP(CLEAN($V524),'All Security Controls'!A:I, 2, FALSE),"---")</f>
        <v>---</v>
      </c>
      <c r="X524" s="14" t="str">
        <f>IFERROR(VLOOKUP(CLEAN($V524),'All Security Controls'!$A:$I, 4, FALSE),"---")</f>
        <v>---</v>
      </c>
      <c r="Y524" s="14" t="str">
        <f>IFERROR(VLOOKUP(CLEAN($V524),'All Security Controls'!$A:$I,5, FALSE),"---")</f>
        <v>---</v>
      </c>
      <c r="Z524" s="14" t="str">
        <f>IFERROR(VLOOKUP(CLEAN($V524),'All Security Controls'!$A:$I,6, FALSE),"---")</f>
        <v>---</v>
      </c>
      <c r="AA524" s="14" t="str">
        <f>IFERROR(VLOOKUP(CLEAN($V524),'All Security Controls'!$A:$I,7, FALSE),"---")</f>
        <v>---</v>
      </c>
      <c r="AB524" s="14" t="str">
        <f>IFERROR(VLOOKUP(CLEAN($V524),'All Security Controls'!$A:$I,8, FALSE),"---")</f>
        <v>---</v>
      </c>
      <c r="AC524" s="14" t="str">
        <f>IFERROR(VLOOKUP(CLEAN($V524),'All Security Controls'!$A:$I,9, FALSE),"---")</f>
        <v>---</v>
      </c>
      <c r="AD524" s="26">
        <v>523</v>
      </c>
    </row>
    <row r="525" spans="1:30" s="10" customFormat="1" thickBot="1">
      <c r="A525"/>
      <c r="B525"/>
      <c r="C525"/>
      <c r="D525"/>
      <c r="E525"/>
      <c r="F525"/>
      <c r="G525"/>
      <c r="H525"/>
      <c r="I525"/>
      <c r="J525"/>
      <c r="K525"/>
      <c r="L525"/>
      <c r="M525"/>
      <c r="N525"/>
      <c r="O525"/>
      <c r="P525"/>
      <c r="Q525"/>
      <c r="R525"/>
      <c r="S525"/>
      <c r="T525"/>
      <c r="V525" s="24"/>
      <c r="W525" s="16" t="str">
        <f>IFERROR(VLOOKUP(CLEAN($V525),'All Security Controls'!A:I, 2, FALSE),"---")</f>
        <v>---</v>
      </c>
      <c r="X525" s="14" t="str">
        <f>IFERROR(VLOOKUP(CLEAN($V525),'All Security Controls'!$A:$I, 4, FALSE),"---")</f>
        <v>---</v>
      </c>
      <c r="Y525" s="14" t="str">
        <f>IFERROR(VLOOKUP(CLEAN($V525),'All Security Controls'!$A:$I,5, FALSE),"---")</f>
        <v>---</v>
      </c>
      <c r="Z525" s="14" t="str">
        <f>IFERROR(VLOOKUP(CLEAN($V525),'All Security Controls'!$A:$I,6, FALSE),"---")</f>
        <v>---</v>
      </c>
      <c r="AA525" s="14" t="str">
        <f>IFERROR(VLOOKUP(CLEAN($V525),'All Security Controls'!$A:$I,7, FALSE),"---")</f>
        <v>---</v>
      </c>
      <c r="AB525" s="14" t="str">
        <f>IFERROR(VLOOKUP(CLEAN($V525),'All Security Controls'!$A:$I,8, FALSE),"---")</f>
        <v>---</v>
      </c>
      <c r="AC525" s="14" t="str">
        <f>IFERROR(VLOOKUP(CLEAN($V525),'All Security Controls'!$A:$I,9, FALSE),"---")</f>
        <v>---</v>
      </c>
      <c r="AD525" s="26">
        <v>524</v>
      </c>
    </row>
    <row r="526" spans="1:30" s="10" customFormat="1" thickBot="1">
      <c r="A526"/>
      <c r="B526"/>
      <c r="C526"/>
      <c r="D526"/>
      <c r="E526"/>
      <c r="F526"/>
      <c r="G526"/>
      <c r="H526"/>
      <c r="I526"/>
      <c r="J526"/>
      <c r="K526"/>
      <c r="L526"/>
      <c r="M526"/>
      <c r="N526"/>
      <c r="O526"/>
      <c r="P526"/>
      <c r="Q526"/>
      <c r="R526"/>
      <c r="S526"/>
      <c r="T526"/>
      <c r="V526" s="24"/>
      <c r="W526" s="16" t="str">
        <f>IFERROR(VLOOKUP(CLEAN($V526),'All Security Controls'!A:I, 2, FALSE),"---")</f>
        <v>---</v>
      </c>
      <c r="X526" s="14" t="str">
        <f>IFERROR(VLOOKUP(CLEAN($V526),'All Security Controls'!$A:$I, 4, FALSE),"---")</f>
        <v>---</v>
      </c>
      <c r="Y526" s="14" t="str">
        <f>IFERROR(VLOOKUP(CLEAN($V526),'All Security Controls'!$A:$I,5, FALSE),"---")</f>
        <v>---</v>
      </c>
      <c r="Z526" s="14" t="str">
        <f>IFERROR(VLOOKUP(CLEAN($V526),'All Security Controls'!$A:$I,6, FALSE),"---")</f>
        <v>---</v>
      </c>
      <c r="AA526" s="14" t="str">
        <f>IFERROR(VLOOKUP(CLEAN($V526),'All Security Controls'!$A:$I,7, FALSE),"---")</f>
        <v>---</v>
      </c>
      <c r="AB526" s="14" t="str">
        <f>IFERROR(VLOOKUP(CLEAN($V526),'All Security Controls'!$A:$I,8, FALSE),"---")</f>
        <v>---</v>
      </c>
      <c r="AC526" s="14" t="str">
        <f>IFERROR(VLOOKUP(CLEAN($V526),'All Security Controls'!$A:$I,9, FALSE),"---")</f>
        <v>---</v>
      </c>
      <c r="AD526" s="26">
        <v>525</v>
      </c>
    </row>
    <row r="527" spans="1:30" s="10" customFormat="1" thickBot="1">
      <c r="A527"/>
      <c r="B527"/>
      <c r="C527"/>
      <c r="D527"/>
      <c r="E527"/>
      <c r="F527"/>
      <c r="G527"/>
      <c r="H527"/>
      <c r="I527"/>
      <c r="J527"/>
      <c r="K527"/>
      <c r="L527"/>
      <c r="M527"/>
      <c r="N527"/>
      <c r="O527"/>
      <c r="P527"/>
      <c r="Q527"/>
      <c r="R527"/>
      <c r="S527"/>
      <c r="T527"/>
      <c r="V527" s="24"/>
      <c r="W527" s="16" t="str">
        <f>IFERROR(VLOOKUP(CLEAN($V527),'All Security Controls'!A:I, 2, FALSE),"---")</f>
        <v>---</v>
      </c>
      <c r="X527" s="14" t="str">
        <f>IFERROR(VLOOKUP(CLEAN($V527),'All Security Controls'!$A:$I, 4, FALSE),"---")</f>
        <v>---</v>
      </c>
      <c r="Y527" s="14" t="str">
        <f>IFERROR(VLOOKUP(CLEAN($V527),'All Security Controls'!$A:$I,5, FALSE),"---")</f>
        <v>---</v>
      </c>
      <c r="Z527" s="14" t="str">
        <f>IFERROR(VLOOKUP(CLEAN($V527),'All Security Controls'!$A:$I,6, FALSE),"---")</f>
        <v>---</v>
      </c>
      <c r="AA527" s="14" t="str">
        <f>IFERROR(VLOOKUP(CLEAN($V527),'All Security Controls'!$A:$I,7, FALSE),"---")</f>
        <v>---</v>
      </c>
      <c r="AB527" s="14" t="str">
        <f>IFERROR(VLOOKUP(CLEAN($V527),'All Security Controls'!$A:$I,8, FALSE),"---")</f>
        <v>---</v>
      </c>
      <c r="AC527" s="14" t="str">
        <f>IFERROR(VLOOKUP(CLEAN($V527),'All Security Controls'!$A:$I,9, FALSE),"---")</f>
        <v>---</v>
      </c>
      <c r="AD527" s="26">
        <v>526</v>
      </c>
    </row>
    <row r="528" spans="1:30" s="10" customFormat="1" thickBot="1">
      <c r="A528"/>
      <c r="B528"/>
      <c r="C528"/>
      <c r="D528"/>
      <c r="E528"/>
      <c r="F528"/>
      <c r="G528"/>
      <c r="H528"/>
      <c r="I528"/>
      <c r="J528"/>
      <c r="K528"/>
      <c r="L528"/>
      <c r="M528"/>
      <c r="N528"/>
      <c r="O528"/>
      <c r="P528"/>
      <c r="Q528"/>
      <c r="R528"/>
      <c r="S528"/>
      <c r="T528"/>
      <c r="V528" s="24"/>
      <c r="W528" s="16" t="str">
        <f>IFERROR(VLOOKUP(CLEAN($V528),'All Security Controls'!A:I, 2, FALSE),"---")</f>
        <v>---</v>
      </c>
      <c r="X528" s="14" t="str">
        <f>IFERROR(VLOOKUP(CLEAN($V528),'All Security Controls'!$A:$I, 4, FALSE),"---")</f>
        <v>---</v>
      </c>
      <c r="Y528" s="14" t="str">
        <f>IFERROR(VLOOKUP(CLEAN($V528),'All Security Controls'!$A:$I,5, FALSE),"---")</f>
        <v>---</v>
      </c>
      <c r="Z528" s="14" t="str">
        <f>IFERROR(VLOOKUP(CLEAN($V528),'All Security Controls'!$A:$I,6, FALSE),"---")</f>
        <v>---</v>
      </c>
      <c r="AA528" s="14" t="str">
        <f>IFERROR(VLOOKUP(CLEAN($V528),'All Security Controls'!$A:$I,7, FALSE),"---")</f>
        <v>---</v>
      </c>
      <c r="AB528" s="14" t="str">
        <f>IFERROR(VLOOKUP(CLEAN($V528),'All Security Controls'!$A:$I,8, FALSE),"---")</f>
        <v>---</v>
      </c>
      <c r="AC528" s="14" t="str">
        <f>IFERROR(VLOOKUP(CLEAN($V528),'All Security Controls'!$A:$I,9, FALSE),"---")</f>
        <v>---</v>
      </c>
      <c r="AD528" s="26">
        <v>527</v>
      </c>
    </row>
    <row r="529" spans="1:30" s="10" customFormat="1" thickBot="1">
      <c r="A529"/>
      <c r="B529"/>
      <c r="C529"/>
      <c r="D529"/>
      <c r="E529"/>
      <c r="F529"/>
      <c r="G529"/>
      <c r="H529"/>
      <c r="I529"/>
      <c r="J529"/>
      <c r="K529"/>
      <c r="L529"/>
      <c r="M529"/>
      <c r="N529"/>
      <c r="O529"/>
      <c r="P529"/>
      <c r="Q529"/>
      <c r="R529"/>
      <c r="S529"/>
      <c r="T529"/>
      <c r="V529" s="24"/>
      <c r="W529" s="16" t="str">
        <f>IFERROR(VLOOKUP(CLEAN($V529),'All Security Controls'!A:I, 2, FALSE),"---")</f>
        <v>---</v>
      </c>
      <c r="X529" s="14" t="str">
        <f>IFERROR(VLOOKUP(CLEAN($V529),'All Security Controls'!$A:$I, 4, FALSE),"---")</f>
        <v>---</v>
      </c>
      <c r="Y529" s="14" t="str">
        <f>IFERROR(VLOOKUP(CLEAN($V529),'All Security Controls'!$A:$I,5, FALSE),"---")</f>
        <v>---</v>
      </c>
      <c r="Z529" s="14" t="str">
        <f>IFERROR(VLOOKUP(CLEAN($V529),'All Security Controls'!$A:$I,6, FALSE),"---")</f>
        <v>---</v>
      </c>
      <c r="AA529" s="14" t="str">
        <f>IFERROR(VLOOKUP(CLEAN($V529),'All Security Controls'!$A:$I,7, FALSE),"---")</f>
        <v>---</v>
      </c>
      <c r="AB529" s="14" t="str">
        <f>IFERROR(VLOOKUP(CLEAN($V529),'All Security Controls'!$A:$I,8, FALSE),"---")</f>
        <v>---</v>
      </c>
      <c r="AC529" s="14" t="str">
        <f>IFERROR(VLOOKUP(CLEAN($V529),'All Security Controls'!$A:$I,9, FALSE),"---")</f>
        <v>---</v>
      </c>
      <c r="AD529" s="26">
        <v>528</v>
      </c>
    </row>
    <row r="530" spans="1:30" s="10" customFormat="1" thickBot="1">
      <c r="A530"/>
      <c r="B530"/>
      <c r="C530"/>
      <c r="D530"/>
      <c r="E530"/>
      <c r="F530"/>
      <c r="G530"/>
      <c r="H530"/>
      <c r="I530"/>
      <c r="J530"/>
      <c r="K530"/>
      <c r="L530"/>
      <c r="M530"/>
      <c r="N530"/>
      <c r="O530"/>
      <c r="P530"/>
      <c r="Q530"/>
      <c r="R530"/>
      <c r="S530"/>
      <c r="T530"/>
      <c r="V530" s="24"/>
      <c r="W530" s="16" t="str">
        <f>IFERROR(VLOOKUP(CLEAN($V530),'All Security Controls'!A:I, 2, FALSE),"---")</f>
        <v>---</v>
      </c>
      <c r="X530" s="14" t="str">
        <f>IFERROR(VLOOKUP(CLEAN($V530),'All Security Controls'!$A:$I, 4, FALSE),"---")</f>
        <v>---</v>
      </c>
      <c r="Y530" s="14" t="str">
        <f>IFERROR(VLOOKUP(CLEAN($V530),'All Security Controls'!$A:$I,5, FALSE),"---")</f>
        <v>---</v>
      </c>
      <c r="Z530" s="14" t="str">
        <f>IFERROR(VLOOKUP(CLEAN($V530),'All Security Controls'!$A:$I,6, FALSE),"---")</f>
        <v>---</v>
      </c>
      <c r="AA530" s="14" t="str">
        <f>IFERROR(VLOOKUP(CLEAN($V530),'All Security Controls'!$A:$I,7, FALSE),"---")</f>
        <v>---</v>
      </c>
      <c r="AB530" s="14" t="str">
        <f>IFERROR(VLOOKUP(CLEAN($V530),'All Security Controls'!$A:$I,8, FALSE),"---")</f>
        <v>---</v>
      </c>
      <c r="AC530" s="14" t="str">
        <f>IFERROR(VLOOKUP(CLEAN($V530),'All Security Controls'!$A:$I,9, FALSE),"---")</f>
        <v>---</v>
      </c>
      <c r="AD530" s="26">
        <v>529</v>
      </c>
    </row>
    <row r="531" spans="1:30" s="10" customFormat="1" thickBot="1">
      <c r="A531"/>
      <c r="B531"/>
      <c r="C531"/>
      <c r="D531"/>
      <c r="E531"/>
      <c r="F531"/>
      <c r="G531"/>
      <c r="H531"/>
      <c r="I531"/>
      <c r="J531"/>
      <c r="K531"/>
      <c r="L531"/>
      <c r="M531"/>
      <c r="N531"/>
      <c r="O531"/>
      <c r="P531"/>
      <c r="Q531"/>
      <c r="R531"/>
      <c r="S531"/>
      <c r="T531"/>
      <c r="V531" s="24"/>
      <c r="W531" s="16" t="str">
        <f>IFERROR(VLOOKUP(CLEAN($V531),'All Security Controls'!A:I, 2, FALSE),"---")</f>
        <v>---</v>
      </c>
      <c r="X531" s="14" t="str">
        <f>IFERROR(VLOOKUP(CLEAN($V531),'All Security Controls'!$A:$I, 4, FALSE),"---")</f>
        <v>---</v>
      </c>
      <c r="Y531" s="14" t="str">
        <f>IFERROR(VLOOKUP(CLEAN($V531),'All Security Controls'!$A:$I,5, FALSE),"---")</f>
        <v>---</v>
      </c>
      <c r="Z531" s="14" t="str">
        <f>IFERROR(VLOOKUP(CLEAN($V531),'All Security Controls'!$A:$I,6, FALSE),"---")</f>
        <v>---</v>
      </c>
      <c r="AA531" s="14" t="str">
        <f>IFERROR(VLOOKUP(CLEAN($V531),'All Security Controls'!$A:$I,7, FALSE),"---")</f>
        <v>---</v>
      </c>
      <c r="AB531" s="14" t="str">
        <f>IFERROR(VLOOKUP(CLEAN($V531),'All Security Controls'!$A:$I,8, FALSE),"---")</f>
        <v>---</v>
      </c>
      <c r="AC531" s="14" t="str">
        <f>IFERROR(VLOOKUP(CLEAN($V531),'All Security Controls'!$A:$I,9, FALSE),"---")</f>
        <v>---</v>
      </c>
      <c r="AD531" s="26">
        <v>530</v>
      </c>
    </row>
    <row r="532" spans="1:30" s="10" customFormat="1" thickBot="1">
      <c r="A532"/>
      <c r="B532"/>
      <c r="C532"/>
      <c r="D532"/>
      <c r="E532"/>
      <c r="F532"/>
      <c r="G532"/>
      <c r="H532"/>
      <c r="I532"/>
      <c r="J532"/>
      <c r="K532"/>
      <c r="L532"/>
      <c r="M532"/>
      <c r="N532"/>
      <c r="O532"/>
      <c r="P532"/>
      <c r="Q532"/>
      <c r="R532"/>
      <c r="S532"/>
      <c r="T532"/>
      <c r="V532" s="24"/>
      <c r="W532" s="16" t="str">
        <f>IFERROR(VLOOKUP(CLEAN($V532),'All Security Controls'!A:I, 2, FALSE),"---")</f>
        <v>---</v>
      </c>
      <c r="X532" s="14" t="str">
        <f>IFERROR(VLOOKUP(CLEAN($V532),'All Security Controls'!$A:$I, 4, FALSE),"---")</f>
        <v>---</v>
      </c>
      <c r="Y532" s="14" t="str">
        <f>IFERROR(VLOOKUP(CLEAN($V532),'All Security Controls'!$A:$I,5, FALSE),"---")</f>
        <v>---</v>
      </c>
      <c r="Z532" s="14" t="str">
        <f>IFERROR(VLOOKUP(CLEAN($V532),'All Security Controls'!$A:$I,6, FALSE),"---")</f>
        <v>---</v>
      </c>
      <c r="AA532" s="14" t="str">
        <f>IFERROR(VLOOKUP(CLEAN($V532),'All Security Controls'!$A:$I,7, FALSE),"---")</f>
        <v>---</v>
      </c>
      <c r="AB532" s="14" t="str">
        <f>IFERROR(VLOOKUP(CLEAN($V532),'All Security Controls'!$A:$I,8, FALSE),"---")</f>
        <v>---</v>
      </c>
      <c r="AC532" s="14" t="str">
        <f>IFERROR(VLOOKUP(CLEAN($V532),'All Security Controls'!$A:$I,9, FALSE),"---")</f>
        <v>---</v>
      </c>
      <c r="AD532" s="26">
        <v>531</v>
      </c>
    </row>
    <row r="533" spans="1:30" s="10" customFormat="1" thickBot="1">
      <c r="A533"/>
      <c r="B533"/>
      <c r="C533"/>
      <c r="D533"/>
      <c r="E533"/>
      <c r="F533"/>
      <c r="G533"/>
      <c r="H533"/>
      <c r="I533"/>
      <c r="J533"/>
      <c r="K533"/>
      <c r="L533"/>
      <c r="M533"/>
      <c r="N533"/>
      <c r="O533"/>
      <c r="P533"/>
      <c r="Q533"/>
      <c r="R533"/>
      <c r="S533"/>
      <c r="T533"/>
      <c r="V533" s="24"/>
      <c r="W533" s="16" t="str">
        <f>IFERROR(VLOOKUP(CLEAN($V533),'All Security Controls'!A:I, 2, FALSE),"---")</f>
        <v>---</v>
      </c>
      <c r="X533" s="14" t="str">
        <f>IFERROR(VLOOKUP(CLEAN($V533),'All Security Controls'!$A:$I, 4, FALSE),"---")</f>
        <v>---</v>
      </c>
      <c r="Y533" s="14" t="str">
        <f>IFERROR(VLOOKUP(CLEAN($V533),'All Security Controls'!$A:$I,5, FALSE),"---")</f>
        <v>---</v>
      </c>
      <c r="Z533" s="14" t="str">
        <f>IFERROR(VLOOKUP(CLEAN($V533),'All Security Controls'!$A:$I,6, FALSE),"---")</f>
        <v>---</v>
      </c>
      <c r="AA533" s="14" t="str">
        <f>IFERROR(VLOOKUP(CLEAN($V533),'All Security Controls'!$A:$I,7, FALSE),"---")</f>
        <v>---</v>
      </c>
      <c r="AB533" s="14" t="str">
        <f>IFERROR(VLOOKUP(CLEAN($V533),'All Security Controls'!$A:$I,8, FALSE),"---")</f>
        <v>---</v>
      </c>
      <c r="AC533" s="14" t="str">
        <f>IFERROR(VLOOKUP(CLEAN($V533),'All Security Controls'!$A:$I,9, FALSE),"---")</f>
        <v>---</v>
      </c>
      <c r="AD533" s="26">
        <v>532</v>
      </c>
    </row>
    <row r="534" spans="1:30" s="10" customFormat="1" thickBot="1">
      <c r="A534"/>
      <c r="B534"/>
      <c r="C534"/>
      <c r="D534"/>
      <c r="E534"/>
      <c r="F534"/>
      <c r="G534"/>
      <c r="H534"/>
      <c r="I534"/>
      <c r="J534"/>
      <c r="K534"/>
      <c r="L534"/>
      <c r="M534"/>
      <c r="N534"/>
      <c r="O534"/>
      <c r="P534"/>
      <c r="Q534"/>
      <c r="R534"/>
      <c r="S534"/>
      <c r="T534"/>
      <c r="V534" s="24"/>
      <c r="W534" s="16" t="str">
        <f>IFERROR(VLOOKUP(CLEAN($V534),'All Security Controls'!A:I, 2, FALSE),"---")</f>
        <v>---</v>
      </c>
      <c r="X534" s="14" t="str">
        <f>IFERROR(VLOOKUP(CLEAN($V534),'All Security Controls'!$A:$I, 4, FALSE),"---")</f>
        <v>---</v>
      </c>
      <c r="Y534" s="14" t="str">
        <f>IFERROR(VLOOKUP(CLEAN($V534),'All Security Controls'!$A:$I,5, FALSE),"---")</f>
        <v>---</v>
      </c>
      <c r="Z534" s="14" t="str">
        <f>IFERROR(VLOOKUP(CLEAN($V534),'All Security Controls'!$A:$I,6, FALSE),"---")</f>
        <v>---</v>
      </c>
      <c r="AA534" s="14" t="str">
        <f>IFERROR(VLOOKUP(CLEAN($V534),'All Security Controls'!$A:$I,7, FALSE),"---")</f>
        <v>---</v>
      </c>
      <c r="AB534" s="14" t="str">
        <f>IFERROR(VLOOKUP(CLEAN($V534),'All Security Controls'!$A:$I,8, FALSE),"---")</f>
        <v>---</v>
      </c>
      <c r="AC534" s="14" t="str">
        <f>IFERROR(VLOOKUP(CLEAN($V534),'All Security Controls'!$A:$I,9, FALSE),"---")</f>
        <v>---</v>
      </c>
      <c r="AD534" s="26">
        <v>533</v>
      </c>
    </row>
    <row r="535" spans="1:30" s="10" customFormat="1" thickBot="1">
      <c r="A535"/>
      <c r="B535"/>
      <c r="C535"/>
      <c r="D535"/>
      <c r="E535"/>
      <c r="F535"/>
      <c r="G535"/>
      <c r="H535"/>
      <c r="I535"/>
      <c r="J535"/>
      <c r="K535"/>
      <c r="L535"/>
      <c r="M535"/>
      <c r="N535"/>
      <c r="O535"/>
      <c r="P535"/>
      <c r="Q535"/>
      <c r="R535"/>
      <c r="S535"/>
      <c r="T535"/>
      <c r="V535" s="24"/>
      <c r="W535" s="16" t="str">
        <f>IFERROR(VLOOKUP(CLEAN($V535),'All Security Controls'!A:I, 2, FALSE),"---")</f>
        <v>---</v>
      </c>
      <c r="X535" s="14" t="str">
        <f>IFERROR(VLOOKUP(CLEAN($V535),'All Security Controls'!$A:$I, 4, FALSE),"---")</f>
        <v>---</v>
      </c>
      <c r="Y535" s="14" t="str">
        <f>IFERROR(VLOOKUP(CLEAN($V535),'All Security Controls'!$A:$I,5, FALSE),"---")</f>
        <v>---</v>
      </c>
      <c r="Z535" s="14" t="str">
        <f>IFERROR(VLOOKUP(CLEAN($V535),'All Security Controls'!$A:$I,6, FALSE),"---")</f>
        <v>---</v>
      </c>
      <c r="AA535" s="14" t="str">
        <f>IFERROR(VLOOKUP(CLEAN($V535),'All Security Controls'!$A:$I,7, FALSE),"---")</f>
        <v>---</v>
      </c>
      <c r="AB535" s="14" t="str">
        <f>IFERROR(VLOOKUP(CLEAN($V535),'All Security Controls'!$A:$I,8, FALSE),"---")</f>
        <v>---</v>
      </c>
      <c r="AC535" s="14" t="str">
        <f>IFERROR(VLOOKUP(CLEAN($V535),'All Security Controls'!$A:$I,9, FALSE),"---")</f>
        <v>---</v>
      </c>
      <c r="AD535" s="26">
        <v>534</v>
      </c>
    </row>
    <row r="536" spans="1:30" s="10" customFormat="1" thickBot="1">
      <c r="A536"/>
      <c r="B536"/>
      <c r="C536"/>
      <c r="D536"/>
      <c r="E536"/>
      <c r="F536"/>
      <c r="G536"/>
      <c r="H536"/>
      <c r="I536"/>
      <c r="J536"/>
      <c r="K536"/>
      <c r="L536"/>
      <c r="M536"/>
      <c r="N536"/>
      <c r="O536"/>
      <c r="P536"/>
      <c r="Q536"/>
      <c r="R536"/>
      <c r="S536"/>
      <c r="T536"/>
      <c r="V536" s="24"/>
      <c r="W536" s="16" t="str">
        <f>IFERROR(VLOOKUP(CLEAN($V536),'All Security Controls'!A:I, 2, FALSE),"---")</f>
        <v>---</v>
      </c>
      <c r="X536" s="14" t="str">
        <f>IFERROR(VLOOKUP(CLEAN($V536),'All Security Controls'!$A:$I, 4, FALSE),"---")</f>
        <v>---</v>
      </c>
      <c r="Y536" s="14" t="str">
        <f>IFERROR(VLOOKUP(CLEAN($V536),'All Security Controls'!$A:$I,5, FALSE),"---")</f>
        <v>---</v>
      </c>
      <c r="Z536" s="14" t="str">
        <f>IFERROR(VLOOKUP(CLEAN($V536),'All Security Controls'!$A:$I,6, FALSE),"---")</f>
        <v>---</v>
      </c>
      <c r="AA536" s="14" t="str">
        <f>IFERROR(VLOOKUP(CLEAN($V536),'All Security Controls'!$A:$I,7, FALSE),"---")</f>
        <v>---</v>
      </c>
      <c r="AB536" s="14" t="str">
        <f>IFERROR(VLOOKUP(CLEAN($V536),'All Security Controls'!$A:$I,8, FALSE),"---")</f>
        <v>---</v>
      </c>
      <c r="AC536" s="14" t="str">
        <f>IFERROR(VLOOKUP(CLEAN($V536),'All Security Controls'!$A:$I,9, FALSE),"---")</f>
        <v>---</v>
      </c>
      <c r="AD536" s="26">
        <v>535</v>
      </c>
    </row>
    <row r="537" spans="1:30" s="10" customFormat="1" thickBot="1">
      <c r="A537"/>
      <c r="B537"/>
      <c r="C537"/>
      <c r="D537"/>
      <c r="E537"/>
      <c r="F537"/>
      <c r="G537"/>
      <c r="H537"/>
      <c r="I537"/>
      <c r="J537"/>
      <c r="K537"/>
      <c r="L537"/>
      <c r="M537"/>
      <c r="N537"/>
      <c r="O537"/>
      <c r="P537"/>
      <c r="Q537"/>
      <c r="R537"/>
      <c r="S537"/>
      <c r="T537"/>
      <c r="V537" s="24"/>
      <c r="W537" s="16" t="str">
        <f>IFERROR(VLOOKUP(CLEAN($V537),'All Security Controls'!A:I, 2, FALSE),"---")</f>
        <v>---</v>
      </c>
      <c r="X537" s="14" t="str">
        <f>IFERROR(VLOOKUP(CLEAN($V537),'All Security Controls'!$A:$I, 4, FALSE),"---")</f>
        <v>---</v>
      </c>
      <c r="Y537" s="14" t="str">
        <f>IFERROR(VLOOKUP(CLEAN($V537),'All Security Controls'!$A:$I,5, FALSE),"---")</f>
        <v>---</v>
      </c>
      <c r="Z537" s="14" t="str">
        <f>IFERROR(VLOOKUP(CLEAN($V537),'All Security Controls'!$A:$I,6, FALSE),"---")</f>
        <v>---</v>
      </c>
      <c r="AA537" s="14" t="str">
        <f>IFERROR(VLOOKUP(CLEAN($V537),'All Security Controls'!$A:$I,7, FALSE),"---")</f>
        <v>---</v>
      </c>
      <c r="AB537" s="14" t="str">
        <f>IFERROR(VLOOKUP(CLEAN($V537),'All Security Controls'!$A:$I,8, FALSE),"---")</f>
        <v>---</v>
      </c>
      <c r="AC537" s="14" t="str">
        <f>IFERROR(VLOOKUP(CLEAN($V537),'All Security Controls'!$A:$I,9, FALSE),"---")</f>
        <v>---</v>
      </c>
      <c r="AD537" s="26">
        <v>536</v>
      </c>
    </row>
    <row r="538" spans="1:30" s="10" customFormat="1" thickBot="1">
      <c r="A538"/>
      <c r="B538"/>
      <c r="C538"/>
      <c r="D538"/>
      <c r="E538"/>
      <c r="F538"/>
      <c r="G538"/>
      <c r="H538"/>
      <c r="I538"/>
      <c r="J538"/>
      <c r="K538"/>
      <c r="L538"/>
      <c r="M538"/>
      <c r="N538"/>
      <c r="O538"/>
      <c r="P538"/>
      <c r="Q538"/>
      <c r="R538"/>
      <c r="S538"/>
      <c r="T538"/>
      <c r="V538" s="24"/>
      <c r="W538" s="16" t="str">
        <f>IFERROR(VLOOKUP(CLEAN($V538),'All Security Controls'!A:I, 2, FALSE),"---")</f>
        <v>---</v>
      </c>
      <c r="X538" s="14" t="str">
        <f>IFERROR(VLOOKUP(CLEAN($V538),'All Security Controls'!$A:$I, 4, FALSE),"---")</f>
        <v>---</v>
      </c>
      <c r="Y538" s="14" t="str">
        <f>IFERROR(VLOOKUP(CLEAN($V538),'All Security Controls'!$A:$I,5, FALSE),"---")</f>
        <v>---</v>
      </c>
      <c r="Z538" s="14" t="str">
        <f>IFERROR(VLOOKUP(CLEAN($V538),'All Security Controls'!$A:$I,6, FALSE),"---")</f>
        <v>---</v>
      </c>
      <c r="AA538" s="14" t="str">
        <f>IFERROR(VLOOKUP(CLEAN($V538),'All Security Controls'!$A:$I,7, FALSE),"---")</f>
        <v>---</v>
      </c>
      <c r="AB538" s="14" t="str">
        <f>IFERROR(VLOOKUP(CLEAN($V538),'All Security Controls'!$A:$I,8, FALSE),"---")</f>
        <v>---</v>
      </c>
      <c r="AC538" s="14" t="str">
        <f>IFERROR(VLOOKUP(CLEAN($V538),'All Security Controls'!$A:$I,9, FALSE),"---")</f>
        <v>---</v>
      </c>
      <c r="AD538" s="26">
        <v>537</v>
      </c>
    </row>
    <row r="539" spans="1:30" s="10" customFormat="1" thickBot="1">
      <c r="A539"/>
      <c r="B539"/>
      <c r="C539"/>
      <c r="D539"/>
      <c r="E539"/>
      <c r="F539"/>
      <c r="G539"/>
      <c r="H539"/>
      <c r="I539"/>
      <c r="J539"/>
      <c r="K539"/>
      <c r="L539"/>
      <c r="M539"/>
      <c r="N539"/>
      <c r="O539"/>
      <c r="P539"/>
      <c r="Q539"/>
      <c r="R539"/>
      <c r="S539"/>
      <c r="T539"/>
      <c r="V539" s="24"/>
      <c r="W539" s="16" t="str">
        <f>IFERROR(VLOOKUP(CLEAN($V539),'All Security Controls'!A:I, 2, FALSE),"---")</f>
        <v>---</v>
      </c>
      <c r="X539" s="14" t="str">
        <f>IFERROR(VLOOKUP(CLEAN($V539),'All Security Controls'!$A:$I, 4, FALSE),"---")</f>
        <v>---</v>
      </c>
      <c r="Y539" s="14" t="str">
        <f>IFERROR(VLOOKUP(CLEAN($V539),'All Security Controls'!$A:$I,5, FALSE),"---")</f>
        <v>---</v>
      </c>
      <c r="Z539" s="14" t="str">
        <f>IFERROR(VLOOKUP(CLEAN($V539),'All Security Controls'!$A:$I,6, FALSE),"---")</f>
        <v>---</v>
      </c>
      <c r="AA539" s="14" t="str">
        <f>IFERROR(VLOOKUP(CLEAN($V539),'All Security Controls'!$A:$I,7, FALSE),"---")</f>
        <v>---</v>
      </c>
      <c r="AB539" s="14" t="str">
        <f>IFERROR(VLOOKUP(CLEAN($V539),'All Security Controls'!$A:$I,8, FALSE),"---")</f>
        <v>---</v>
      </c>
      <c r="AC539" s="14" t="str">
        <f>IFERROR(VLOOKUP(CLEAN($V539),'All Security Controls'!$A:$I,9, FALSE),"---")</f>
        <v>---</v>
      </c>
      <c r="AD539" s="26">
        <v>538</v>
      </c>
    </row>
    <row r="540" spans="1:30" s="10" customFormat="1" thickBot="1">
      <c r="A540"/>
      <c r="B540"/>
      <c r="C540"/>
      <c r="D540"/>
      <c r="E540"/>
      <c r="F540"/>
      <c r="G540"/>
      <c r="H540"/>
      <c r="I540"/>
      <c r="J540"/>
      <c r="K540"/>
      <c r="L540"/>
      <c r="M540"/>
      <c r="N540"/>
      <c r="O540"/>
      <c r="P540"/>
      <c r="Q540"/>
      <c r="R540"/>
      <c r="S540"/>
      <c r="T540"/>
      <c r="V540" s="24"/>
      <c r="W540" s="16" t="str">
        <f>IFERROR(VLOOKUP(CLEAN($V540),'All Security Controls'!A:I, 2, FALSE),"---")</f>
        <v>---</v>
      </c>
      <c r="X540" s="14" t="str">
        <f>IFERROR(VLOOKUP(CLEAN($V540),'All Security Controls'!$A:$I, 4, FALSE),"---")</f>
        <v>---</v>
      </c>
      <c r="Y540" s="14" t="str">
        <f>IFERROR(VLOOKUP(CLEAN($V540),'All Security Controls'!$A:$I,5, FALSE),"---")</f>
        <v>---</v>
      </c>
      <c r="Z540" s="14" t="str">
        <f>IFERROR(VLOOKUP(CLEAN($V540),'All Security Controls'!$A:$I,6, FALSE),"---")</f>
        <v>---</v>
      </c>
      <c r="AA540" s="14" t="str">
        <f>IFERROR(VLOOKUP(CLEAN($V540),'All Security Controls'!$A:$I,7, FALSE),"---")</f>
        <v>---</v>
      </c>
      <c r="AB540" s="14" t="str">
        <f>IFERROR(VLOOKUP(CLEAN($V540),'All Security Controls'!$A:$I,8, FALSE),"---")</f>
        <v>---</v>
      </c>
      <c r="AC540" s="14" t="str">
        <f>IFERROR(VLOOKUP(CLEAN($V540),'All Security Controls'!$A:$I,9, FALSE),"---")</f>
        <v>---</v>
      </c>
      <c r="AD540" s="26">
        <v>539</v>
      </c>
    </row>
    <row r="541" spans="1:30" s="10" customFormat="1" thickBot="1">
      <c r="A541"/>
      <c r="B541"/>
      <c r="C541"/>
      <c r="D541"/>
      <c r="E541"/>
      <c r="F541"/>
      <c r="G541"/>
      <c r="H541"/>
      <c r="I541"/>
      <c r="J541"/>
      <c r="K541"/>
      <c r="L541"/>
      <c r="M541"/>
      <c r="N541"/>
      <c r="O541"/>
      <c r="P541"/>
      <c r="Q541"/>
      <c r="R541"/>
      <c r="S541"/>
      <c r="T541"/>
      <c r="V541" s="24"/>
      <c r="W541" s="16" t="str">
        <f>IFERROR(VLOOKUP(CLEAN($V541),'All Security Controls'!A:I, 2, FALSE),"---")</f>
        <v>---</v>
      </c>
      <c r="X541" s="14" t="str">
        <f>IFERROR(VLOOKUP(CLEAN($V541),'All Security Controls'!$A:$I, 4, FALSE),"---")</f>
        <v>---</v>
      </c>
      <c r="Y541" s="14" t="str">
        <f>IFERROR(VLOOKUP(CLEAN($V541),'All Security Controls'!$A:$I,5, FALSE),"---")</f>
        <v>---</v>
      </c>
      <c r="Z541" s="14" t="str">
        <f>IFERROR(VLOOKUP(CLEAN($V541),'All Security Controls'!$A:$I,6, FALSE),"---")</f>
        <v>---</v>
      </c>
      <c r="AA541" s="14" t="str">
        <f>IFERROR(VLOOKUP(CLEAN($V541),'All Security Controls'!$A:$I,7, FALSE),"---")</f>
        <v>---</v>
      </c>
      <c r="AB541" s="14" t="str">
        <f>IFERROR(VLOOKUP(CLEAN($V541),'All Security Controls'!$A:$I,8, FALSE),"---")</f>
        <v>---</v>
      </c>
      <c r="AC541" s="14" t="str">
        <f>IFERROR(VLOOKUP(CLEAN($V541),'All Security Controls'!$A:$I,9, FALSE),"---")</f>
        <v>---</v>
      </c>
      <c r="AD541" s="26">
        <v>540</v>
      </c>
    </row>
    <row r="542" spans="1:30" s="10" customFormat="1" thickBot="1">
      <c r="A542"/>
      <c r="B542"/>
      <c r="C542"/>
      <c r="D542"/>
      <c r="E542"/>
      <c r="F542"/>
      <c r="G542"/>
      <c r="H542"/>
      <c r="I542"/>
      <c r="J542"/>
      <c r="K542"/>
      <c r="L542"/>
      <c r="M542"/>
      <c r="N542"/>
      <c r="O542"/>
      <c r="P542"/>
      <c r="Q542"/>
      <c r="R542"/>
      <c r="S542"/>
      <c r="T542"/>
      <c r="V542" s="24"/>
      <c r="W542" s="16" t="str">
        <f>IFERROR(VLOOKUP(CLEAN($V542),'All Security Controls'!A:I, 2, FALSE),"---")</f>
        <v>---</v>
      </c>
      <c r="X542" s="14" t="str">
        <f>IFERROR(VLOOKUP(CLEAN($V542),'All Security Controls'!$A:$I, 4, FALSE),"---")</f>
        <v>---</v>
      </c>
      <c r="Y542" s="14" t="str">
        <f>IFERROR(VLOOKUP(CLEAN($V542),'All Security Controls'!$A:$I,5, FALSE),"---")</f>
        <v>---</v>
      </c>
      <c r="Z542" s="14" t="str">
        <f>IFERROR(VLOOKUP(CLEAN($V542),'All Security Controls'!$A:$I,6, FALSE),"---")</f>
        <v>---</v>
      </c>
      <c r="AA542" s="14" t="str">
        <f>IFERROR(VLOOKUP(CLEAN($V542),'All Security Controls'!$A:$I,7, FALSE),"---")</f>
        <v>---</v>
      </c>
      <c r="AB542" s="14" t="str">
        <f>IFERROR(VLOOKUP(CLEAN($V542),'All Security Controls'!$A:$I,8, FALSE),"---")</f>
        <v>---</v>
      </c>
      <c r="AC542" s="14" t="str">
        <f>IFERROR(VLOOKUP(CLEAN($V542),'All Security Controls'!$A:$I,9, FALSE),"---")</f>
        <v>---</v>
      </c>
      <c r="AD542" s="26">
        <v>541</v>
      </c>
    </row>
    <row r="543" spans="1:30" s="10" customFormat="1" thickBot="1">
      <c r="A543"/>
      <c r="B543"/>
      <c r="C543"/>
      <c r="D543"/>
      <c r="E543"/>
      <c r="F543"/>
      <c r="G543"/>
      <c r="H543"/>
      <c r="I543"/>
      <c r="J543"/>
      <c r="K543"/>
      <c r="L543"/>
      <c r="M543"/>
      <c r="N543"/>
      <c r="O543"/>
      <c r="P543"/>
      <c r="Q543"/>
      <c r="R543"/>
      <c r="S543"/>
      <c r="T543"/>
      <c r="V543" s="24"/>
      <c r="W543" s="16" t="str">
        <f>IFERROR(VLOOKUP(CLEAN($V543),'All Security Controls'!A:I, 2, FALSE),"---")</f>
        <v>---</v>
      </c>
      <c r="X543" s="14" t="str">
        <f>IFERROR(VLOOKUP(CLEAN($V543),'All Security Controls'!$A:$I, 4, FALSE),"---")</f>
        <v>---</v>
      </c>
      <c r="Y543" s="14" t="str">
        <f>IFERROR(VLOOKUP(CLEAN($V543),'All Security Controls'!$A:$I,5, FALSE),"---")</f>
        <v>---</v>
      </c>
      <c r="Z543" s="14" t="str">
        <f>IFERROR(VLOOKUP(CLEAN($V543),'All Security Controls'!$A:$I,6, FALSE),"---")</f>
        <v>---</v>
      </c>
      <c r="AA543" s="14" t="str">
        <f>IFERROR(VLOOKUP(CLEAN($V543),'All Security Controls'!$A:$I,7, FALSE),"---")</f>
        <v>---</v>
      </c>
      <c r="AB543" s="14" t="str">
        <f>IFERROR(VLOOKUP(CLEAN($V543),'All Security Controls'!$A:$I,8, FALSE),"---")</f>
        <v>---</v>
      </c>
      <c r="AC543" s="14" t="str">
        <f>IFERROR(VLOOKUP(CLEAN($V543),'All Security Controls'!$A:$I,9, FALSE),"---")</f>
        <v>---</v>
      </c>
      <c r="AD543" s="26">
        <v>542</v>
      </c>
    </row>
    <row r="544" spans="1:30" s="10" customFormat="1" thickBot="1">
      <c r="A544"/>
      <c r="B544"/>
      <c r="C544"/>
      <c r="D544"/>
      <c r="E544"/>
      <c r="F544"/>
      <c r="G544"/>
      <c r="H544"/>
      <c r="I544"/>
      <c r="J544"/>
      <c r="K544"/>
      <c r="L544"/>
      <c r="M544"/>
      <c r="N544"/>
      <c r="O544"/>
      <c r="P544"/>
      <c r="Q544"/>
      <c r="R544"/>
      <c r="S544"/>
      <c r="T544"/>
      <c r="V544" s="24"/>
      <c r="W544" s="16" t="str">
        <f>IFERROR(VLOOKUP(CLEAN($V544),'All Security Controls'!A:I, 2, FALSE),"---")</f>
        <v>---</v>
      </c>
      <c r="X544" s="14" t="str">
        <f>IFERROR(VLOOKUP(CLEAN($V544),'All Security Controls'!$A:$I, 4, FALSE),"---")</f>
        <v>---</v>
      </c>
      <c r="Y544" s="14" t="str">
        <f>IFERROR(VLOOKUP(CLEAN($V544),'All Security Controls'!$A:$I,5, FALSE),"---")</f>
        <v>---</v>
      </c>
      <c r="Z544" s="14" t="str">
        <f>IFERROR(VLOOKUP(CLEAN($V544),'All Security Controls'!$A:$I,6, FALSE),"---")</f>
        <v>---</v>
      </c>
      <c r="AA544" s="14" t="str">
        <f>IFERROR(VLOOKUP(CLEAN($V544),'All Security Controls'!$A:$I,7, FALSE),"---")</f>
        <v>---</v>
      </c>
      <c r="AB544" s="14" t="str">
        <f>IFERROR(VLOOKUP(CLEAN($V544),'All Security Controls'!$A:$I,8, FALSE),"---")</f>
        <v>---</v>
      </c>
      <c r="AC544" s="14" t="str">
        <f>IFERROR(VLOOKUP(CLEAN($V544),'All Security Controls'!$A:$I,9, FALSE),"---")</f>
        <v>---</v>
      </c>
      <c r="AD544" s="26">
        <v>543</v>
      </c>
    </row>
    <row r="545" spans="1:30" s="10" customFormat="1" thickBot="1">
      <c r="A545"/>
      <c r="B545"/>
      <c r="C545"/>
      <c r="D545"/>
      <c r="E545"/>
      <c r="F545"/>
      <c r="G545"/>
      <c r="H545"/>
      <c r="I545"/>
      <c r="J545"/>
      <c r="K545"/>
      <c r="L545"/>
      <c r="M545"/>
      <c r="N545"/>
      <c r="O545"/>
      <c r="P545"/>
      <c r="Q545"/>
      <c r="R545"/>
      <c r="S545"/>
      <c r="T545"/>
      <c r="V545" s="24"/>
      <c r="W545" s="16" t="str">
        <f>IFERROR(VLOOKUP(CLEAN($V545),'All Security Controls'!A:I, 2, FALSE),"---")</f>
        <v>---</v>
      </c>
      <c r="X545" s="14" t="str">
        <f>IFERROR(VLOOKUP(CLEAN($V545),'All Security Controls'!$A:$I, 4, FALSE),"---")</f>
        <v>---</v>
      </c>
      <c r="Y545" s="14" t="str">
        <f>IFERROR(VLOOKUP(CLEAN($V545),'All Security Controls'!$A:$I,5, FALSE),"---")</f>
        <v>---</v>
      </c>
      <c r="Z545" s="14" t="str">
        <f>IFERROR(VLOOKUP(CLEAN($V545),'All Security Controls'!$A:$I,6, FALSE),"---")</f>
        <v>---</v>
      </c>
      <c r="AA545" s="14" t="str">
        <f>IFERROR(VLOOKUP(CLEAN($V545),'All Security Controls'!$A:$I,7, FALSE),"---")</f>
        <v>---</v>
      </c>
      <c r="AB545" s="14" t="str">
        <f>IFERROR(VLOOKUP(CLEAN($V545),'All Security Controls'!$A:$I,8, FALSE),"---")</f>
        <v>---</v>
      </c>
      <c r="AC545" s="14" t="str">
        <f>IFERROR(VLOOKUP(CLEAN($V545),'All Security Controls'!$A:$I,9, FALSE),"---")</f>
        <v>---</v>
      </c>
      <c r="AD545" s="26">
        <v>544</v>
      </c>
    </row>
    <row r="546" spans="1:30" s="10" customFormat="1" thickBot="1">
      <c r="A546"/>
      <c r="B546"/>
      <c r="C546"/>
      <c r="D546"/>
      <c r="E546"/>
      <c r="F546"/>
      <c r="G546"/>
      <c r="H546"/>
      <c r="I546"/>
      <c r="J546"/>
      <c r="K546"/>
      <c r="L546"/>
      <c r="M546"/>
      <c r="N546"/>
      <c r="O546"/>
      <c r="P546"/>
      <c r="Q546"/>
      <c r="R546"/>
      <c r="S546"/>
      <c r="T546"/>
      <c r="V546" s="24"/>
      <c r="W546" s="16" t="str">
        <f>IFERROR(VLOOKUP(CLEAN($V546),'All Security Controls'!A:I, 2, FALSE),"---")</f>
        <v>---</v>
      </c>
      <c r="X546" s="14" t="str">
        <f>IFERROR(VLOOKUP(CLEAN($V546),'All Security Controls'!$A:$I, 4, FALSE),"---")</f>
        <v>---</v>
      </c>
      <c r="Y546" s="14" t="str">
        <f>IFERROR(VLOOKUP(CLEAN($V546),'All Security Controls'!$A:$I,5, FALSE),"---")</f>
        <v>---</v>
      </c>
      <c r="Z546" s="14" t="str">
        <f>IFERROR(VLOOKUP(CLEAN($V546),'All Security Controls'!$A:$I,6, FALSE),"---")</f>
        <v>---</v>
      </c>
      <c r="AA546" s="14" t="str">
        <f>IFERROR(VLOOKUP(CLEAN($V546),'All Security Controls'!$A:$I,7, FALSE),"---")</f>
        <v>---</v>
      </c>
      <c r="AB546" s="14" t="str">
        <f>IFERROR(VLOOKUP(CLEAN($V546),'All Security Controls'!$A:$I,8, FALSE),"---")</f>
        <v>---</v>
      </c>
      <c r="AC546" s="14" t="str">
        <f>IFERROR(VLOOKUP(CLEAN($V546),'All Security Controls'!$A:$I,9, FALSE),"---")</f>
        <v>---</v>
      </c>
      <c r="AD546" s="26">
        <v>545</v>
      </c>
    </row>
    <row r="547" spans="1:30" s="10" customFormat="1" thickBot="1">
      <c r="A547"/>
      <c r="B547"/>
      <c r="C547"/>
      <c r="D547"/>
      <c r="E547"/>
      <c r="F547"/>
      <c r="G547"/>
      <c r="H547"/>
      <c r="I547"/>
      <c r="J547"/>
      <c r="K547"/>
      <c r="L547"/>
      <c r="M547"/>
      <c r="N547"/>
      <c r="O547"/>
      <c r="P547"/>
      <c r="Q547"/>
      <c r="R547"/>
      <c r="S547"/>
      <c r="T547"/>
      <c r="V547" s="24"/>
      <c r="W547" s="16" t="str">
        <f>IFERROR(VLOOKUP(CLEAN($V547),'All Security Controls'!A:I, 2, FALSE),"---")</f>
        <v>---</v>
      </c>
      <c r="X547" s="14" t="str">
        <f>IFERROR(VLOOKUP(CLEAN($V547),'All Security Controls'!$A:$I, 4, FALSE),"---")</f>
        <v>---</v>
      </c>
      <c r="Y547" s="14" t="str">
        <f>IFERROR(VLOOKUP(CLEAN($V547),'All Security Controls'!$A:$I,5, FALSE),"---")</f>
        <v>---</v>
      </c>
      <c r="Z547" s="14" t="str">
        <f>IFERROR(VLOOKUP(CLEAN($V547),'All Security Controls'!$A:$I,6, FALSE),"---")</f>
        <v>---</v>
      </c>
      <c r="AA547" s="14" t="str">
        <f>IFERROR(VLOOKUP(CLEAN($V547),'All Security Controls'!$A:$I,7, FALSE),"---")</f>
        <v>---</v>
      </c>
      <c r="AB547" s="14" t="str">
        <f>IFERROR(VLOOKUP(CLEAN($V547),'All Security Controls'!$A:$I,8, FALSE),"---")</f>
        <v>---</v>
      </c>
      <c r="AC547" s="14" t="str">
        <f>IFERROR(VLOOKUP(CLEAN($V547),'All Security Controls'!$A:$I,9, FALSE),"---")</f>
        <v>---</v>
      </c>
      <c r="AD547" s="26">
        <v>546</v>
      </c>
    </row>
    <row r="548" spans="1:30" s="10" customFormat="1" thickBot="1">
      <c r="A548"/>
      <c r="B548"/>
      <c r="C548"/>
      <c r="D548"/>
      <c r="E548"/>
      <c r="F548"/>
      <c r="G548"/>
      <c r="H548"/>
      <c r="I548"/>
      <c r="J548"/>
      <c r="K548"/>
      <c r="L548"/>
      <c r="M548"/>
      <c r="N548"/>
      <c r="O548"/>
      <c r="P548"/>
      <c r="Q548"/>
      <c r="R548"/>
      <c r="S548"/>
      <c r="T548"/>
      <c r="V548" s="24"/>
      <c r="W548" s="16" t="str">
        <f>IFERROR(VLOOKUP(CLEAN($V548),'All Security Controls'!A:I, 2, FALSE),"---")</f>
        <v>---</v>
      </c>
      <c r="X548" s="14" t="str">
        <f>IFERROR(VLOOKUP(CLEAN($V548),'All Security Controls'!$A:$I, 4, FALSE),"---")</f>
        <v>---</v>
      </c>
      <c r="Y548" s="14" t="str">
        <f>IFERROR(VLOOKUP(CLEAN($V548),'All Security Controls'!$A:$I,5, FALSE),"---")</f>
        <v>---</v>
      </c>
      <c r="Z548" s="14" t="str">
        <f>IFERROR(VLOOKUP(CLEAN($V548),'All Security Controls'!$A:$I,6, FALSE),"---")</f>
        <v>---</v>
      </c>
      <c r="AA548" s="14" t="str">
        <f>IFERROR(VLOOKUP(CLEAN($V548),'All Security Controls'!$A:$I,7, FALSE),"---")</f>
        <v>---</v>
      </c>
      <c r="AB548" s="14" t="str">
        <f>IFERROR(VLOOKUP(CLEAN($V548),'All Security Controls'!$A:$I,8, FALSE),"---")</f>
        <v>---</v>
      </c>
      <c r="AC548" s="14" t="str">
        <f>IFERROR(VLOOKUP(CLEAN($V548),'All Security Controls'!$A:$I,9, FALSE),"---")</f>
        <v>---</v>
      </c>
      <c r="AD548" s="26">
        <v>547</v>
      </c>
    </row>
    <row r="549" spans="1:30" s="10" customFormat="1" thickBot="1">
      <c r="A549"/>
      <c r="B549"/>
      <c r="C549"/>
      <c r="D549"/>
      <c r="E549"/>
      <c r="F549"/>
      <c r="G549"/>
      <c r="H549"/>
      <c r="I549"/>
      <c r="J549"/>
      <c r="K549"/>
      <c r="L549"/>
      <c r="M549"/>
      <c r="N549"/>
      <c r="O549"/>
      <c r="P549"/>
      <c r="Q549"/>
      <c r="R549"/>
      <c r="S549"/>
      <c r="T549"/>
      <c r="V549" s="24"/>
      <c r="W549" s="16" t="str">
        <f>IFERROR(VLOOKUP(CLEAN($V549),'All Security Controls'!A:I, 2, FALSE),"---")</f>
        <v>---</v>
      </c>
      <c r="X549" s="14" t="str">
        <f>IFERROR(VLOOKUP(CLEAN($V549),'All Security Controls'!$A:$I, 4, FALSE),"---")</f>
        <v>---</v>
      </c>
      <c r="Y549" s="14" t="str">
        <f>IFERROR(VLOOKUP(CLEAN($V549),'All Security Controls'!$A:$I,5, FALSE),"---")</f>
        <v>---</v>
      </c>
      <c r="Z549" s="14" t="str">
        <f>IFERROR(VLOOKUP(CLEAN($V549),'All Security Controls'!$A:$I,6, FALSE),"---")</f>
        <v>---</v>
      </c>
      <c r="AA549" s="14" t="str">
        <f>IFERROR(VLOOKUP(CLEAN($V549),'All Security Controls'!$A:$I,7, FALSE),"---")</f>
        <v>---</v>
      </c>
      <c r="AB549" s="14" t="str">
        <f>IFERROR(VLOOKUP(CLEAN($V549),'All Security Controls'!$A:$I,8, FALSE),"---")</f>
        <v>---</v>
      </c>
      <c r="AC549" s="14" t="str">
        <f>IFERROR(VLOOKUP(CLEAN($V549),'All Security Controls'!$A:$I,9, FALSE),"---")</f>
        <v>---</v>
      </c>
      <c r="AD549" s="26">
        <v>548</v>
      </c>
    </row>
    <row r="550" spans="1:30" s="10" customFormat="1" thickBot="1">
      <c r="A550"/>
      <c r="B550"/>
      <c r="C550"/>
      <c r="D550"/>
      <c r="E550"/>
      <c r="F550"/>
      <c r="G550"/>
      <c r="H550"/>
      <c r="I550"/>
      <c r="J550"/>
      <c r="K550"/>
      <c r="L550"/>
      <c r="M550"/>
      <c r="N550"/>
      <c r="O550"/>
      <c r="P550"/>
      <c r="Q550"/>
      <c r="R550"/>
      <c r="S550"/>
      <c r="T550"/>
      <c r="V550" s="24"/>
      <c r="W550" s="16" t="str">
        <f>IFERROR(VLOOKUP(CLEAN($V550),'All Security Controls'!A:I, 2, FALSE),"---")</f>
        <v>---</v>
      </c>
      <c r="X550" s="14" t="str">
        <f>IFERROR(VLOOKUP(CLEAN($V550),'All Security Controls'!$A:$I, 4, FALSE),"---")</f>
        <v>---</v>
      </c>
      <c r="Y550" s="14" t="str">
        <f>IFERROR(VLOOKUP(CLEAN($V550),'All Security Controls'!$A:$I,5, FALSE),"---")</f>
        <v>---</v>
      </c>
      <c r="Z550" s="14" t="str">
        <f>IFERROR(VLOOKUP(CLEAN($V550),'All Security Controls'!$A:$I,6, FALSE),"---")</f>
        <v>---</v>
      </c>
      <c r="AA550" s="14" t="str">
        <f>IFERROR(VLOOKUP(CLEAN($V550),'All Security Controls'!$A:$I,7, FALSE),"---")</f>
        <v>---</v>
      </c>
      <c r="AB550" s="14" t="str">
        <f>IFERROR(VLOOKUP(CLEAN($V550),'All Security Controls'!$A:$I,8, FALSE),"---")</f>
        <v>---</v>
      </c>
      <c r="AC550" s="14" t="str">
        <f>IFERROR(VLOOKUP(CLEAN($V550),'All Security Controls'!$A:$I,9, FALSE),"---")</f>
        <v>---</v>
      </c>
      <c r="AD550" s="26">
        <v>549</v>
      </c>
    </row>
    <row r="551" spans="1:30" s="10" customFormat="1" thickBot="1">
      <c r="A551"/>
      <c r="B551"/>
      <c r="C551"/>
      <c r="D551"/>
      <c r="E551"/>
      <c r="F551"/>
      <c r="G551"/>
      <c r="H551"/>
      <c r="I551"/>
      <c r="J551"/>
      <c r="K551"/>
      <c r="L551"/>
      <c r="M551"/>
      <c r="N551"/>
      <c r="O551"/>
      <c r="P551"/>
      <c r="Q551"/>
      <c r="R551"/>
      <c r="S551"/>
      <c r="T551"/>
      <c r="V551" s="24"/>
      <c r="W551" s="16" t="str">
        <f>IFERROR(VLOOKUP(CLEAN($V551),'All Security Controls'!A:I, 2, FALSE),"---")</f>
        <v>---</v>
      </c>
      <c r="X551" s="14" t="str">
        <f>IFERROR(VLOOKUP(CLEAN($V551),'All Security Controls'!$A:$I, 4, FALSE),"---")</f>
        <v>---</v>
      </c>
      <c r="Y551" s="14" t="str">
        <f>IFERROR(VLOOKUP(CLEAN($V551),'All Security Controls'!$A:$I,5, FALSE),"---")</f>
        <v>---</v>
      </c>
      <c r="Z551" s="14" t="str">
        <f>IFERROR(VLOOKUP(CLEAN($V551),'All Security Controls'!$A:$I,6, FALSE),"---")</f>
        <v>---</v>
      </c>
      <c r="AA551" s="14" t="str">
        <f>IFERROR(VLOOKUP(CLEAN($V551),'All Security Controls'!$A:$I,7, FALSE),"---")</f>
        <v>---</v>
      </c>
      <c r="AB551" s="14" t="str">
        <f>IFERROR(VLOOKUP(CLEAN($V551),'All Security Controls'!$A:$I,8, FALSE),"---")</f>
        <v>---</v>
      </c>
      <c r="AC551" s="14" t="str">
        <f>IFERROR(VLOOKUP(CLEAN($V551),'All Security Controls'!$A:$I,9, FALSE),"---")</f>
        <v>---</v>
      </c>
      <c r="AD551" s="26">
        <v>550</v>
      </c>
    </row>
    <row r="552" spans="1:30" s="10" customFormat="1" thickBot="1">
      <c r="A552"/>
      <c r="B552"/>
      <c r="C552"/>
      <c r="D552"/>
      <c r="E552"/>
      <c r="F552"/>
      <c r="G552"/>
      <c r="H552"/>
      <c r="I552"/>
      <c r="J552"/>
      <c r="K552"/>
      <c r="L552"/>
      <c r="M552"/>
      <c r="N552"/>
      <c r="O552"/>
      <c r="P552"/>
      <c r="Q552"/>
      <c r="R552"/>
      <c r="S552"/>
      <c r="T552"/>
      <c r="V552" s="24"/>
      <c r="W552" s="16" t="str">
        <f>IFERROR(VLOOKUP(CLEAN($V552),'All Security Controls'!A:I, 2, FALSE),"---")</f>
        <v>---</v>
      </c>
      <c r="X552" s="14" t="str">
        <f>IFERROR(VLOOKUP(CLEAN($V552),'All Security Controls'!$A:$I, 4, FALSE),"---")</f>
        <v>---</v>
      </c>
      <c r="Y552" s="14" t="str">
        <f>IFERROR(VLOOKUP(CLEAN($V552),'All Security Controls'!$A:$I,5, FALSE),"---")</f>
        <v>---</v>
      </c>
      <c r="Z552" s="14" t="str">
        <f>IFERROR(VLOOKUP(CLEAN($V552),'All Security Controls'!$A:$I,6, FALSE),"---")</f>
        <v>---</v>
      </c>
      <c r="AA552" s="14" t="str">
        <f>IFERROR(VLOOKUP(CLEAN($V552),'All Security Controls'!$A:$I,7, FALSE),"---")</f>
        <v>---</v>
      </c>
      <c r="AB552" s="14" t="str">
        <f>IFERROR(VLOOKUP(CLEAN($V552),'All Security Controls'!$A:$I,8, FALSE),"---")</f>
        <v>---</v>
      </c>
      <c r="AC552" s="14" t="str">
        <f>IFERROR(VLOOKUP(CLEAN($V552),'All Security Controls'!$A:$I,9, FALSE),"---")</f>
        <v>---</v>
      </c>
      <c r="AD552" s="26">
        <v>551</v>
      </c>
    </row>
    <row r="553" spans="1:30" s="10" customFormat="1" thickBot="1">
      <c r="A553"/>
      <c r="B553"/>
      <c r="C553"/>
      <c r="D553"/>
      <c r="E553"/>
      <c r="F553"/>
      <c r="G553"/>
      <c r="H553"/>
      <c r="I553"/>
      <c r="J553"/>
      <c r="K553"/>
      <c r="L553"/>
      <c r="M553"/>
      <c r="N553"/>
      <c r="O553"/>
      <c r="P553"/>
      <c r="Q553"/>
      <c r="R553"/>
      <c r="S553"/>
      <c r="T553"/>
      <c r="V553" s="24"/>
      <c r="W553" s="16" t="str">
        <f>IFERROR(VLOOKUP(CLEAN($V553),'All Security Controls'!A:I, 2, FALSE),"---")</f>
        <v>---</v>
      </c>
      <c r="X553" s="14" t="str">
        <f>IFERROR(VLOOKUP(CLEAN($V553),'All Security Controls'!$A:$I, 4, FALSE),"---")</f>
        <v>---</v>
      </c>
      <c r="Y553" s="14" t="str">
        <f>IFERROR(VLOOKUP(CLEAN($V553),'All Security Controls'!$A:$I,5, FALSE),"---")</f>
        <v>---</v>
      </c>
      <c r="Z553" s="14" t="str">
        <f>IFERROR(VLOOKUP(CLEAN($V553),'All Security Controls'!$A:$I,6, FALSE),"---")</f>
        <v>---</v>
      </c>
      <c r="AA553" s="14" t="str">
        <f>IFERROR(VLOOKUP(CLEAN($V553),'All Security Controls'!$A:$I,7, FALSE),"---")</f>
        <v>---</v>
      </c>
      <c r="AB553" s="14" t="str">
        <f>IFERROR(VLOOKUP(CLEAN($V553),'All Security Controls'!$A:$I,8, FALSE),"---")</f>
        <v>---</v>
      </c>
      <c r="AC553" s="14" t="str">
        <f>IFERROR(VLOOKUP(CLEAN($V553),'All Security Controls'!$A:$I,9, FALSE),"---")</f>
        <v>---</v>
      </c>
      <c r="AD553" s="26">
        <v>552</v>
      </c>
    </row>
    <row r="554" spans="1:30" s="10" customFormat="1" thickBot="1">
      <c r="A554"/>
      <c r="B554"/>
      <c r="C554"/>
      <c r="D554"/>
      <c r="E554"/>
      <c r="F554"/>
      <c r="G554"/>
      <c r="H554"/>
      <c r="I554"/>
      <c r="J554"/>
      <c r="K554"/>
      <c r="L554"/>
      <c r="M554"/>
      <c r="N554"/>
      <c r="O554"/>
      <c r="P554"/>
      <c r="Q554"/>
      <c r="R554"/>
      <c r="S554"/>
      <c r="T554"/>
      <c r="V554" s="24"/>
      <c r="W554" s="16" t="str">
        <f>IFERROR(VLOOKUP(CLEAN($V554),'All Security Controls'!A:I, 2, FALSE),"---")</f>
        <v>---</v>
      </c>
      <c r="X554" s="14" t="str">
        <f>IFERROR(VLOOKUP(CLEAN($V554),'All Security Controls'!$A:$I, 4, FALSE),"---")</f>
        <v>---</v>
      </c>
      <c r="Y554" s="14" t="str">
        <f>IFERROR(VLOOKUP(CLEAN($V554),'All Security Controls'!$A:$I,5, FALSE),"---")</f>
        <v>---</v>
      </c>
      <c r="Z554" s="14" t="str">
        <f>IFERROR(VLOOKUP(CLEAN($V554),'All Security Controls'!$A:$I,6, FALSE),"---")</f>
        <v>---</v>
      </c>
      <c r="AA554" s="14" t="str">
        <f>IFERROR(VLOOKUP(CLEAN($V554),'All Security Controls'!$A:$I,7, FALSE),"---")</f>
        <v>---</v>
      </c>
      <c r="AB554" s="14" t="str">
        <f>IFERROR(VLOOKUP(CLEAN($V554),'All Security Controls'!$A:$I,8, FALSE),"---")</f>
        <v>---</v>
      </c>
      <c r="AC554" s="14" t="str">
        <f>IFERROR(VLOOKUP(CLEAN($V554),'All Security Controls'!$A:$I,9, FALSE),"---")</f>
        <v>---</v>
      </c>
      <c r="AD554" s="26">
        <v>553</v>
      </c>
    </row>
    <row r="555" spans="1:30" s="10" customFormat="1" thickBot="1">
      <c r="A555"/>
      <c r="B555"/>
      <c r="C555"/>
      <c r="D555"/>
      <c r="E555"/>
      <c r="F555"/>
      <c r="G555"/>
      <c r="H555"/>
      <c r="I555"/>
      <c r="J555"/>
      <c r="K555"/>
      <c r="L555"/>
      <c r="M555"/>
      <c r="N555"/>
      <c r="O555"/>
      <c r="P555"/>
      <c r="Q555"/>
      <c r="R555"/>
      <c r="S555"/>
      <c r="T555"/>
      <c r="V555" s="24"/>
      <c r="W555" s="16" t="str">
        <f>IFERROR(VLOOKUP(CLEAN($V555),'All Security Controls'!A:I, 2, FALSE),"---")</f>
        <v>---</v>
      </c>
      <c r="X555" s="14" t="str">
        <f>IFERROR(VLOOKUP(CLEAN($V555),'All Security Controls'!$A:$I, 4, FALSE),"---")</f>
        <v>---</v>
      </c>
      <c r="Y555" s="14" t="str">
        <f>IFERROR(VLOOKUP(CLEAN($V555),'All Security Controls'!$A:$I,5, FALSE),"---")</f>
        <v>---</v>
      </c>
      <c r="Z555" s="14" t="str">
        <f>IFERROR(VLOOKUP(CLEAN($V555),'All Security Controls'!$A:$I,6, FALSE),"---")</f>
        <v>---</v>
      </c>
      <c r="AA555" s="14" t="str">
        <f>IFERROR(VLOOKUP(CLEAN($V555),'All Security Controls'!$A:$I,7, FALSE),"---")</f>
        <v>---</v>
      </c>
      <c r="AB555" s="14" t="str">
        <f>IFERROR(VLOOKUP(CLEAN($V555),'All Security Controls'!$A:$I,8, FALSE),"---")</f>
        <v>---</v>
      </c>
      <c r="AC555" s="14" t="str">
        <f>IFERROR(VLOOKUP(CLEAN($V555),'All Security Controls'!$A:$I,9, FALSE),"---")</f>
        <v>---</v>
      </c>
      <c r="AD555" s="26">
        <v>554</v>
      </c>
    </row>
    <row r="556" spans="1:30" s="10" customFormat="1" thickBot="1">
      <c r="A556"/>
      <c r="B556"/>
      <c r="C556"/>
      <c r="D556"/>
      <c r="E556"/>
      <c r="F556"/>
      <c r="G556"/>
      <c r="H556"/>
      <c r="I556"/>
      <c r="J556"/>
      <c r="K556"/>
      <c r="L556"/>
      <c r="M556"/>
      <c r="N556"/>
      <c r="O556"/>
      <c r="P556"/>
      <c r="Q556"/>
      <c r="R556"/>
      <c r="S556"/>
      <c r="T556"/>
      <c r="V556" s="24"/>
      <c r="W556" s="16" t="str">
        <f>IFERROR(VLOOKUP(CLEAN($V556),'All Security Controls'!A:I, 2, FALSE),"---")</f>
        <v>---</v>
      </c>
      <c r="X556" s="14" t="str">
        <f>IFERROR(VLOOKUP(CLEAN($V556),'All Security Controls'!$A:$I, 4, FALSE),"---")</f>
        <v>---</v>
      </c>
      <c r="Y556" s="14" t="str">
        <f>IFERROR(VLOOKUP(CLEAN($V556),'All Security Controls'!$A:$I,5, FALSE),"---")</f>
        <v>---</v>
      </c>
      <c r="Z556" s="14" t="str">
        <f>IFERROR(VLOOKUP(CLEAN($V556),'All Security Controls'!$A:$I,6, FALSE),"---")</f>
        <v>---</v>
      </c>
      <c r="AA556" s="14" t="str">
        <f>IFERROR(VLOOKUP(CLEAN($V556),'All Security Controls'!$A:$I,7, FALSE),"---")</f>
        <v>---</v>
      </c>
      <c r="AB556" s="14" t="str">
        <f>IFERROR(VLOOKUP(CLEAN($V556),'All Security Controls'!$A:$I,8, FALSE),"---")</f>
        <v>---</v>
      </c>
      <c r="AC556" s="14" t="str">
        <f>IFERROR(VLOOKUP(CLEAN($V556),'All Security Controls'!$A:$I,9, FALSE),"---")</f>
        <v>---</v>
      </c>
      <c r="AD556" s="26">
        <v>555</v>
      </c>
    </row>
    <row r="557" spans="1:30" s="10" customFormat="1" thickBot="1">
      <c r="A557"/>
      <c r="B557"/>
      <c r="C557"/>
      <c r="D557"/>
      <c r="E557"/>
      <c r="F557"/>
      <c r="G557"/>
      <c r="H557"/>
      <c r="I557"/>
      <c r="J557"/>
      <c r="K557"/>
      <c r="L557"/>
      <c r="M557"/>
      <c r="N557"/>
      <c r="O557"/>
      <c r="P557"/>
      <c r="Q557"/>
      <c r="R557"/>
      <c r="S557"/>
      <c r="T557"/>
      <c r="V557" s="24"/>
      <c r="W557" s="16" t="str">
        <f>IFERROR(VLOOKUP(CLEAN($V557),'All Security Controls'!A:I, 2, FALSE),"---")</f>
        <v>---</v>
      </c>
      <c r="X557" s="14" t="str">
        <f>IFERROR(VLOOKUP(CLEAN($V557),'All Security Controls'!$A:$I, 4, FALSE),"---")</f>
        <v>---</v>
      </c>
      <c r="Y557" s="14" t="str">
        <f>IFERROR(VLOOKUP(CLEAN($V557),'All Security Controls'!$A:$I,5, FALSE),"---")</f>
        <v>---</v>
      </c>
      <c r="Z557" s="14" t="str">
        <f>IFERROR(VLOOKUP(CLEAN($V557),'All Security Controls'!$A:$I,6, FALSE),"---")</f>
        <v>---</v>
      </c>
      <c r="AA557" s="14" t="str">
        <f>IFERROR(VLOOKUP(CLEAN($V557),'All Security Controls'!$A:$I,7, FALSE),"---")</f>
        <v>---</v>
      </c>
      <c r="AB557" s="14" t="str">
        <f>IFERROR(VLOOKUP(CLEAN($V557),'All Security Controls'!$A:$I,8, FALSE),"---")</f>
        <v>---</v>
      </c>
      <c r="AC557" s="14" t="str">
        <f>IFERROR(VLOOKUP(CLEAN($V557),'All Security Controls'!$A:$I,9, FALSE),"---")</f>
        <v>---</v>
      </c>
      <c r="AD557" s="26">
        <v>556</v>
      </c>
    </row>
    <row r="558" spans="1:30" s="10" customFormat="1" thickBot="1">
      <c r="A558"/>
      <c r="B558"/>
      <c r="C558"/>
      <c r="D558"/>
      <c r="E558"/>
      <c r="F558"/>
      <c r="G558"/>
      <c r="H558"/>
      <c r="I558"/>
      <c r="J558"/>
      <c r="K558"/>
      <c r="L558"/>
      <c r="M558"/>
      <c r="N558"/>
      <c r="O558"/>
      <c r="P558"/>
      <c r="Q558"/>
      <c r="R558"/>
      <c r="S558"/>
      <c r="T558"/>
      <c r="V558" s="24"/>
      <c r="W558" s="16" t="str">
        <f>IFERROR(VLOOKUP(CLEAN($V558),'All Security Controls'!A:I, 2, FALSE),"---")</f>
        <v>---</v>
      </c>
      <c r="X558" s="14" t="str">
        <f>IFERROR(VLOOKUP(CLEAN($V558),'All Security Controls'!$A:$I, 4, FALSE),"---")</f>
        <v>---</v>
      </c>
      <c r="Y558" s="14" t="str">
        <f>IFERROR(VLOOKUP(CLEAN($V558),'All Security Controls'!$A:$I,5, FALSE),"---")</f>
        <v>---</v>
      </c>
      <c r="Z558" s="14" t="str">
        <f>IFERROR(VLOOKUP(CLEAN($V558),'All Security Controls'!$A:$I,6, FALSE),"---")</f>
        <v>---</v>
      </c>
      <c r="AA558" s="14" t="str">
        <f>IFERROR(VLOOKUP(CLEAN($V558),'All Security Controls'!$A:$I,7, FALSE),"---")</f>
        <v>---</v>
      </c>
      <c r="AB558" s="14" t="str">
        <f>IFERROR(VLOOKUP(CLEAN($V558),'All Security Controls'!$A:$I,8, FALSE),"---")</f>
        <v>---</v>
      </c>
      <c r="AC558" s="14" t="str">
        <f>IFERROR(VLOOKUP(CLEAN($V558),'All Security Controls'!$A:$I,9, FALSE),"---")</f>
        <v>---</v>
      </c>
      <c r="AD558" s="26">
        <v>557</v>
      </c>
    </row>
    <row r="559" spans="1:30" s="10" customFormat="1" thickBot="1">
      <c r="A559"/>
      <c r="B559"/>
      <c r="C559"/>
      <c r="D559"/>
      <c r="E559"/>
      <c r="F559"/>
      <c r="G559"/>
      <c r="H559"/>
      <c r="I559"/>
      <c r="J559"/>
      <c r="K559"/>
      <c r="L559"/>
      <c r="M559"/>
      <c r="N559"/>
      <c r="O559"/>
      <c r="P559"/>
      <c r="Q559"/>
      <c r="R559"/>
      <c r="S559"/>
      <c r="T559"/>
      <c r="V559" s="24"/>
      <c r="W559" s="16" t="str">
        <f>IFERROR(VLOOKUP(CLEAN($V559),'All Security Controls'!A:I, 2, FALSE),"---")</f>
        <v>---</v>
      </c>
      <c r="X559" s="14" t="str">
        <f>IFERROR(VLOOKUP(CLEAN($V559),'All Security Controls'!$A:$I, 4, FALSE),"---")</f>
        <v>---</v>
      </c>
      <c r="Y559" s="14" t="str">
        <f>IFERROR(VLOOKUP(CLEAN($V559),'All Security Controls'!$A:$I,5, FALSE),"---")</f>
        <v>---</v>
      </c>
      <c r="Z559" s="14" t="str">
        <f>IFERROR(VLOOKUP(CLEAN($V559),'All Security Controls'!$A:$I,6, FALSE),"---")</f>
        <v>---</v>
      </c>
      <c r="AA559" s="14" t="str">
        <f>IFERROR(VLOOKUP(CLEAN($V559),'All Security Controls'!$A:$I,7, FALSE),"---")</f>
        <v>---</v>
      </c>
      <c r="AB559" s="14" t="str">
        <f>IFERROR(VLOOKUP(CLEAN($V559),'All Security Controls'!$A:$I,8, FALSE),"---")</f>
        <v>---</v>
      </c>
      <c r="AC559" s="14" t="str">
        <f>IFERROR(VLOOKUP(CLEAN($V559),'All Security Controls'!$A:$I,9, FALSE),"---")</f>
        <v>---</v>
      </c>
      <c r="AD559" s="26">
        <v>558</v>
      </c>
    </row>
    <row r="560" spans="1:30" s="10" customFormat="1" thickBot="1">
      <c r="A560"/>
      <c r="B560"/>
      <c r="C560"/>
      <c r="D560"/>
      <c r="E560"/>
      <c r="F560"/>
      <c r="G560"/>
      <c r="H560"/>
      <c r="I560"/>
      <c r="J560"/>
      <c r="K560"/>
      <c r="L560"/>
      <c r="M560"/>
      <c r="N560"/>
      <c r="O560"/>
      <c r="P560"/>
      <c r="Q560"/>
      <c r="R560"/>
      <c r="S560"/>
      <c r="T560"/>
      <c r="V560" s="24"/>
      <c r="W560" s="16" t="str">
        <f>IFERROR(VLOOKUP(CLEAN($V560),'All Security Controls'!A:I, 2, FALSE),"---")</f>
        <v>---</v>
      </c>
      <c r="X560" s="14" t="str">
        <f>IFERROR(VLOOKUP(CLEAN($V560),'All Security Controls'!$A:$I, 4, FALSE),"---")</f>
        <v>---</v>
      </c>
      <c r="Y560" s="14" t="str">
        <f>IFERROR(VLOOKUP(CLEAN($V560),'All Security Controls'!$A:$I,5, FALSE),"---")</f>
        <v>---</v>
      </c>
      <c r="Z560" s="14" t="str">
        <f>IFERROR(VLOOKUP(CLEAN($V560),'All Security Controls'!$A:$I,6, FALSE),"---")</f>
        <v>---</v>
      </c>
      <c r="AA560" s="14" t="str">
        <f>IFERROR(VLOOKUP(CLEAN($V560),'All Security Controls'!$A:$I,7, FALSE),"---")</f>
        <v>---</v>
      </c>
      <c r="AB560" s="14" t="str">
        <f>IFERROR(VLOOKUP(CLEAN($V560),'All Security Controls'!$A:$I,8, FALSE),"---")</f>
        <v>---</v>
      </c>
      <c r="AC560" s="14" t="str">
        <f>IFERROR(VLOOKUP(CLEAN($V560),'All Security Controls'!$A:$I,9, FALSE),"---")</f>
        <v>---</v>
      </c>
      <c r="AD560" s="26">
        <v>559</v>
      </c>
    </row>
    <row r="561" spans="1:30" s="10" customFormat="1" thickBot="1">
      <c r="A561"/>
      <c r="B561"/>
      <c r="C561"/>
      <c r="D561"/>
      <c r="E561"/>
      <c r="F561"/>
      <c r="G561"/>
      <c r="H561"/>
      <c r="I561"/>
      <c r="J561"/>
      <c r="K561"/>
      <c r="L561"/>
      <c r="M561"/>
      <c r="N561"/>
      <c r="O561"/>
      <c r="P561"/>
      <c r="Q561"/>
      <c r="R561"/>
      <c r="S561"/>
      <c r="T561"/>
      <c r="V561" s="24"/>
      <c r="W561" s="16" t="str">
        <f>IFERROR(VLOOKUP(CLEAN($V561),'All Security Controls'!A:I, 2, FALSE),"---")</f>
        <v>---</v>
      </c>
      <c r="X561" s="14" t="str">
        <f>IFERROR(VLOOKUP(CLEAN($V561),'All Security Controls'!$A:$I, 4, FALSE),"---")</f>
        <v>---</v>
      </c>
      <c r="Y561" s="14" t="str">
        <f>IFERROR(VLOOKUP(CLEAN($V561),'All Security Controls'!$A:$I,5, FALSE),"---")</f>
        <v>---</v>
      </c>
      <c r="Z561" s="14" t="str">
        <f>IFERROR(VLOOKUP(CLEAN($V561),'All Security Controls'!$A:$I,6, FALSE),"---")</f>
        <v>---</v>
      </c>
      <c r="AA561" s="14" t="str">
        <f>IFERROR(VLOOKUP(CLEAN($V561),'All Security Controls'!$A:$I,7, FALSE),"---")</f>
        <v>---</v>
      </c>
      <c r="AB561" s="14" t="str">
        <f>IFERROR(VLOOKUP(CLEAN($V561),'All Security Controls'!$A:$I,8, FALSE),"---")</f>
        <v>---</v>
      </c>
      <c r="AC561" s="14" t="str">
        <f>IFERROR(VLOOKUP(CLEAN($V561),'All Security Controls'!$A:$I,9, FALSE),"---")</f>
        <v>---</v>
      </c>
      <c r="AD561" s="26">
        <v>560</v>
      </c>
    </row>
    <row r="562" spans="1:30" s="10" customFormat="1" thickBot="1">
      <c r="A562"/>
      <c r="B562"/>
      <c r="C562"/>
      <c r="D562"/>
      <c r="E562"/>
      <c r="F562"/>
      <c r="G562"/>
      <c r="H562"/>
      <c r="I562"/>
      <c r="J562"/>
      <c r="K562"/>
      <c r="L562"/>
      <c r="M562"/>
      <c r="N562"/>
      <c r="O562"/>
      <c r="P562"/>
      <c r="Q562"/>
      <c r="R562"/>
      <c r="S562"/>
      <c r="T562"/>
      <c r="V562" s="24"/>
      <c r="W562" s="16" t="str">
        <f>IFERROR(VLOOKUP(CLEAN($V562),'All Security Controls'!A:I, 2, FALSE),"---")</f>
        <v>---</v>
      </c>
      <c r="X562" s="14" t="str">
        <f>IFERROR(VLOOKUP(CLEAN($V562),'All Security Controls'!$A:$I, 4, FALSE),"---")</f>
        <v>---</v>
      </c>
      <c r="Y562" s="14" t="str">
        <f>IFERROR(VLOOKUP(CLEAN($V562),'All Security Controls'!$A:$I,5, FALSE),"---")</f>
        <v>---</v>
      </c>
      <c r="Z562" s="14" t="str">
        <f>IFERROR(VLOOKUP(CLEAN($V562),'All Security Controls'!$A:$I,6, FALSE),"---")</f>
        <v>---</v>
      </c>
      <c r="AA562" s="14" t="str">
        <f>IFERROR(VLOOKUP(CLEAN($V562),'All Security Controls'!$A:$I,7, FALSE),"---")</f>
        <v>---</v>
      </c>
      <c r="AB562" s="14" t="str">
        <f>IFERROR(VLOOKUP(CLEAN($V562),'All Security Controls'!$A:$I,8, FALSE),"---")</f>
        <v>---</v>
      </c>
      <c r="AC562" s="14" t="str">
        <f>IFERROR(VLOOKUP(CLEAN($V562),'All Security Controls'!$A:$I,9, FALSE),"---")</f>
        <v>---</v>
      </c>
      <c r="AD562" s="26">
        <v>561</v>
      </c>
    </row>
    <row r="563" spans="1:30" s="10" customFormat="1" thickBot="1">
      <c r="A563"/>
      <c r="B563"/>
      <c r="C563"/>
      <c r="D563"/>
      <c r="E563"/>
      <c r="F563"/>
      <c r="G563"/>
      <c r="H563"/>
      <c r="I563"/>
      <c r="J563"/>
      <c r="K563"/>
      <c r="L563"/>
      <c r="M563"/>
      <c r="N563"/>
      <c r="O563"/>
      <c r="P563"/>
      <c r="Q563"/>
      <c r="R563"/>
      <c r="S563"/>
      <c r="T563"/>
      <c r="V563" s="24"/>
      <c r="W563" s="16" t="str">
        <f>IFERROR(VLOOKUP(CLEAN($V563),'All Security Controls'!A:I, 2, FALSE),"---")</f>
        <v>---</v>
      </c>
      <c r="X563" s="14" t="str">
        <f>IFERROR(VLOOKUP(CLEAN($V563),'All Security Controls'!$A:$I, 4, FALSE),"---")</f>
        <v>---</v>
      </c>
      <c r="Y563" s="14" t="str">
        <f>IFERROR(VLOOKUP(CLEAN($V563),'All Security Controls'!$A:$I,5, FALSE),"---")</f>
        <v>---</v>
      </c>
      <c r="Z563" s="14" t="str">
        <f>IFERROR(VLOOKUP(CLEAN($V563),'All Security Controls'!$A:$I,6, FALSE),"---")</f>
        <v>---</v>
      </c>
      <c r="AA563" s="14" t="str">
        <f>IFERROR(VLOOKUP(CLEAN($V563),'All Security Controls'!$A:$I,7, FALSE),"---")</f>
        <v>---</v>
      </c>
      <c r="AB563" s="14" t="str">
        <f>IFERROR(VLOOKUP(CLEAN($V563),'All Security Controls'!$A:$I,8, FALSE),"---")</f>
        <v>---</v>
      </c>
      <c r="AC563" s="14" t="str">
        <f>IFERROR(VLOOKUP(CLEAN($V563),'All Security Controls'!$A:$I,9, FALSE),"---")</f>
        <v>---</v>
      </c>
      <c r="AD563" s="26">
        <v>562</v>
      </c>
    </row>
    <row r="564" spans="1:30" s="10" customFormat="1" thickBot="1">
      <c r="A564"/>
      <c r="B564"/>
      <c r="C564"/>
      <c r="D564"/>
      <c r="E564"/>
      <c r="F564"/>
      <c r="G564"/>
      <c r="H564"/>
      <c r="I564"/>
      <c r="J564"/>
      <c r="K564"/>
      <c r="L564"/>
      <c r="M564"/>
      <c r="N564"/>
      <c r="O564"/>
      <c r="P564"/>
      <c r="Q564"/>
      <c r="R564"/>
      <c r="S564"/>
      <c r="T564"/>
      <c r="V564" s="24"/>
      <c r="W564" s="16" t="str">
        <f>IFERROR(VLOOKUP(CLEAN($V564),'All Security Controls'!A:I, 2, FALSE),"---")</f>
        <v>---</v>
      </c>
      <c r="X564" s="14" t="str">
        <f>IFERROR(VLOOKUP(CLEAN($V564),'All Security Controls'!$A:$I, 4, FALSE),"---")</f>
        <v>---</v>
      </c>
      <c r="Y564" s="14" t="str">
        <f>IFERROR(VLOOKUP(CLEAN($V564),'All Security Controls'!$A:$I,5, FALSE),"---")</f>
        <v>---</v>
      </c>
      <c r="Z564" s="14" t="str">
        <f>IFERROR(VLOOKUP(CLEAN($V564),'All Security Controls'!$A:$I,6, FALSE),"---")</f>
        <v>---</v>
      </c>
      <c r="AA564" s="14" t="str">
        <f>IFERROR(VLOOKUP(CLEAN($V564),'All Security Controls'!$A:$I,7, FALSE),"---")</f>
        <v>---</v>
      </c>
      <c r="AB564" s="14" t="str">
        <f>IFERROR(VLOOKUP(CLEAN($V564),'All Security Controls'!$A:$I,8, FALSE),"---")</f>
        <v>---</v>
      </c>
      <c r="AC564" s="14" t="str">
        <f>IFERROR(VLOOKUP(CLEAN($V564),'All Security Controls'!$A:$I,9, FALSE),"---")</f>
        <v>---</v>
      </c>
      <c r="AD564" s="26">
        <v>563</v>
      </c>
    </row>
    <row r="565" spans="1:30" s="10" customFormat="1" thickBot="1">
      <c r="A565"/>
      <c r="B565"/>
      <c r="C565"/>
      <c r="D565"/>
      <c r="E565"/>
      <c r="F565"/>
      <c r="G565"/>
      <c r="H565"/>
      <c r="I565"/>
      <c r="J565"/>
      <c r="K565"/>
      <c r="L565"/>
      <c r="M565"/>
      <c r="N565"/>
      <c r="O565"/>
      <c r="P565"/>
      <c r="Q565"/>
      <c r="R565"/>
      <c r="S565"/>
      <c r="T565"/>
      <c r="V565" s="24"/>
      <c r="W565" s="16" t="str">
        <f>IFERROR(VLOOKUP(CLEAN($V565),'All Security Controls'!A:I, 2, FALSE),"---")</f>
        <v>---</v>
      </c>
      <c r="X565" s="14" t="str">
        <f>IFERROR(VLOOKUP(CLEAN($V565),'All Security Controls'!$A:$I, 4, FALSE),"---")</f>
        <v>---</v>
      </c>
      <c r="Y565" s="14" t="str">
        <f>IFERROR(VLOOKUP(CLEAN($V565),'All Security Controls'!$A:$I,5, FALSE),"---")</f>
        <v>---</v>
      </c>
      <c r="Z565" s="14" t="str">
        <f>IFERROR(VLOOKUP(CLEAN($V565),'All Security Controls'!$A:$I,6, FALSE),"---")</f>
        <v>---</v>
      </c>
      <c r="AA565" s="14" t="str">
        <f>IFERROR(VLOOKUP(CLEAN($V565),'All Security Controls'!$A:$I,7, FALSE),"---")</f>
        <v>---</v>
      </c>
      <c r="AB565" s="14" t="str">
        <f>IFERROR(VLOOKUP(CLEAN($V565),'All Security Controls'!$A:$I,8, FALSE),"---")</f>
        <v>---</v>
      </c>
      <c r="AC565" s="14" t="str">
        <f>IFERROR(VLOOKUP(CLEAN($V565),'All Security Controls'!$A:$I,9, FALSE),"---")</f>
        <v>---</v>
      </c>
      <c r="AD565" s="26">
        <v>564</v>
      </c>
    </row>
    <row r="566" spans="1:30" s="10" customFormat="1" thickBot="1">
      <c r="A566"/>
      <c r="B566"/>
      <c r="C566"/>
      <c r="D566"/>
      <c r="E566"/>
      <c r="F566"/>
      <c r="G566"/>
      <c r="H566"/>
      <c r="I566"/>
      <c r="J566"/>
      <c r="K566"/>
      <c r="L566"/>
      <c r="M566"/>
      <c r="N566"/>
      <c r="O566"/>
      <c r="P566"/>
      <c r="Q566"/>
      <c r="R566"/>
      <c r="S566"/>
      <c r="T566"/>
      <c r="V566" s="24"/>
      <c r="W566" s="16" t="str">
        <f>IFERROR(VLOOKUP(CLEAN($V566),'All Security Controls'!A:I, 2, FALSE),"---")</f>
        <v>---</v>
      </c>
      <c r="X566" s="14" t="str">
        <f>IFERROR(VLOOKUP(CLEAN($V566),'All Security Controls'!$A:$I, 4, FALSE),"---")</f>
        <v>---</v>
      </c>
      <c r="Y566" s="14" t="str">
        <f>IFERROR(VLOOKUP(CLEAN($V566),'All Security Controls'!$A:$I,5, FALSE),"---")</f>
        <v>---</v>
      </c>
      <c r="Z566" s="14" t="str">
        <f>IFERROR(VLOOKUP(CLEAN($V566),'All Security Controls'!$A:$I,6, FALSE),"---")</f>
        <v>---</v>
      </c>
      <c r="AA566" s="14" t="str">
        <f>IFERROR(VLOOKUP(CLEAN($V566),'All Security Controls'!$A:$I,7, FALSE),"---")</f>
        <v>---</v>
      </c>
      <c r="AB566" s="14" t="str">
        <f>IFERROR(VLOOKUP(CLEAN($V566),'All Security Controls'!$A:$I,8, FALSE),"---")</f>
        <v>---</v>
      </c>
      <c r="AC566" s="14" t="str">
        <f>IFERROR(VLOOKUP(CLEAN($V566),'All Security Controls'!$A:$I,9, FALSE),"---")</f>
        <v>---</v>
      </c>
      <c r="AD566" s="26">
        <v>565</v>
      </c>
    </row>
    <row r="567" spans="1:30" s="10" customFormat="1" thickBot="1">
      <c r="A567"/>
      <c r="B567"/>
      <c r="C567"/>
      <c r="D567"/>
      <c r="E567"/>
      <c r="F567"/>
      <c r="G567"/>
      <c r="H567"/>
      <c r="I567"/>
      <c r="J567"/>
      <c r="K567"/>
      <c r="L567"/>
      <c r="M567"/>
      <c r="N567"/>
      <c r="O567"/>
      <c r="P567"/>
      <c r="Q567"/>
      <c r="R567"/>
      <c r="S567"/>
      <c r="T567"/>
      <c r="V567" s="24"/>
      <c r="W567" s="16" t="str">
        <f>IFERROR(VLOOKUP(CLEAN($V567),'All Security Controls'!A:I, 2, FALSE),"---")</f>
        <v>---</v>
      </c>
      <c r="X567" s="14" t="str">
        <f>IFERROR(VLOOKUP(CLEAN($V567),'All Security Controls'!$A:$I, 4, FALSE),"---")</f>
        <v>---</v>
      </c>
      <c r="Y567" s="14" t="str">
        <f>IFERROR(VLOOKUP(CLEAN($V567),'All Security Controls'!$A:$I,5, FALSE),"---")</f>
        <v>---</v>
      </c>
      <c r="Z567" s="14" t="str">
        <f>IFERROR(VLOOKUP(CLEAN($V567),'All Security Controls'!$A:$I,6, FALSE),"---")</f>
        <v>---</v>
      </c>
      <c r="AA567" s="14" t="str">
        <f>IFERROR(VLOOKUP(CLEAN($V567),'All Security Controls'!$A:$I,7, FALSE),"---")</f>
        <v>---</v>
      </c>
      <c r="AB567" s="14" t="str">
        <f>IFERROR(VLOOKUP(CLEAN($V567),'All Security Controls'!$A:$I,8, FALSE),"---")</f>
        <v>---</v>
      </c>
      <c r="AC567" s="14" t="str">
        <f>IFERROR(VLOOKUP(CLEAN($V567),'All Security Controls'!$A:$I,9, FALSE),"---")</f>
        <v>---</v>
      </c>
      <c r="AD567" s="26">
        <v>566</v>
      </c>
    </row>
    <row r="568" spans="1:30" s="10" customFormat="1" thickBot="1">
      <c r="A568"/>
      <c r="B568"/>
      <c r="C568"/>
      <c r="D568"/>
      <c r="E568"/>
      <c r="F568"/>
      <c r="G568"/>
      <c r="H568"/>
      <c r="I568"/>
      <c r="J568"/>
      <c r="K568"/>
      <c r="L568"/>
      <c r="M568"/>
      <c r="N568"/>
      <c r="O568"/>
      <c r="P568"/>
      <c r="Q568"/>
      <c r="R568"/>
      <c r="S568"/>
      <c r="T568"/>
      <c r="V568" s="24"/>
      <c r="W568" s="16" t="str">
        <f>IFERROR(VLOOKUP(CLEAN($V568),'All Security Controls'!A:I, 2, FALSE),"---")</f>
        <v>---</v>
      </c>
      <c r="X568" s="14" t="str">
        <f>IFERROR(VLOOKUP(CLEAN($V568),'All Security Controls'!$A:$I, 4, FALSE),"---")</f>
        <v>---</v>
      </c>
      <c r="Y568" s="14" t="str">
        <f>IFERROR(VLOOKUP(CLEAN($V568),'All Security Controls'!$A:$I,5, FALSE),"---")</f>
        <v>---</v>
      </c>
      <c r="Z568" s="14" t="str">
        <f>IFERROR(VLOOKUP(CLEAN($V568),'All Security Controls'!$A:$I,6, FALSE),"---")</f>
        <v>---</v>
      </c>
      <c r="AA568" s="14" t="str">
        <f>IFERROR(VLOOKUP(CLEAN($V568),'All Security Controls'!$A:$I,7, FALSE),"---")</f>
        <v>---</v>
      </c>
      <c r="AB568" s="14" t="str">
        <f>IFERROR(VLOOKUP(CLEAN($V568),'All Security Controls'!$A:$I,8, FALSE),"---")</f>
        <v>---</v>
      </c>
      <c r="AC568" s="14" t="str">
        <f>IFERROR(VLOOKUP(CLEAN($V568),'All Security Controls'!$A:$I,9, FALSE),"---")</f>
        <v>---</v>
      </c>
      <c r="AD568" s="26">
        <v>567</v>
      </c>
    </row>
    <row r="569" spans="1:30" s="10" customFormat="1" thickBot="1">
      <c r="A569"/>
      <c r="B569"/>
      <c r="C569"/>
      <c r="D569"/>
      <c r="E569"/>
      <c r="F569"/>
      <c r="G569"/>
      <c r="H569"/>
      <c r="I569"/>
      <c r="J569"/>
      <c r="K569"/>
      <c r="L569"/>
      <c r="M569"/>
      <c r="N569"/>
      <c r="O569"/>
      <c r="P569"/>
      <c r="Q569"/>
      <c r="R569"/>
      <c r="S569"/>
      <c r="T569"/>
      <c r="V569" s="24"/>
      <c r="W569" s="16" t="str">
        <f>IFERROR(VLOOKUP(CLEAN($V569),'All Security Controls'!A:I, 2, FALSE),"---")</f>
        <v>---</v>
      </c>
      <c r="X569" s="14" t="str">
        <f>IFERROR(VLOOKUP(CLEAN($V569),'All Security Controls'!$A:$I, 4, FALSE),"---")</f>
        <v>---</v>
      </c>
      <c r="Y569" s="14" t="str">
        <f>IFERROR(VLOOKUP(CLEAN($V569),'All Security Controls'!$A:$I,5, FALSE),"---")</f>
        <v>---</v>
      </c>
      <c r="Z569" s="14" t="str">
        <f>IFERROR(VLOOKUP(CLEAN($V569),'All Security Controls'!$A:$I,6, FALSE),"---")</f>
        <v>---</v>
      </c>
      <c r="AA569" s="14" t="str">
        <f>IFERROR(VLOOKUP(CLEAN($V569),'All Security Controls'!$A:$I,7, FALSE),"---")</f>
        <v>---</v>
      </c>
      <c r="AB569" s="14" t="str">
        <f>IFERROR(VLOOKUP(CLEAN($V569),'All Security Controls'!$A:$I,8, FALSE),"---")</f>
        <v>---</v>
      </c>
      <c r="AC569" s="14" t="str">
        <f>IFERROR(VLOOKUP(CLEAN($V569),'All Security Controls'!$A:$I,9, FALSE),"---")</f>
        <v>---</v>
      </c>
      <c r="AD569" s="26">
        <v>568</v>
      </c>
    </row>
    <row r="570" spans="1:30" s="10" customFormat="1" thickBot="1">
      <c r="A570"/>
      <c r="B570"/>
      <c r="C570"/>
      <c r="D570"/>
      <c r="E570"/>
      <c r="F570"/>
      <c r="G570"/>
      <c r="H570"/>
      <c r="I570"/>
      <c r="J570"/>
      <c r="K570"/>
      <c r="L570"/>
      <c r="M570"/>
      <c r="N570"/>
      <c r="O570"/>
      <c r="P570"/>
      <c r="Q570"/>
      <c r="R570"/>
      <c r="S570"/>
      <c r="T570"/>
      <c r="V570" s="24"/>
      <c r="W570" s="16" t="str">
        <f>IFERROR(VLOOKUP(CLEAN($V570),'All Security Controls'!A:I, 2, FALSE),"---")</f>
        <v>---</v>
      </c>
      <c r="X570" s="14" t="str">
        <f>IFERROR(VLOOKUP(CLEAN($V570),'All Security Controls'!$A:$I, 4, FALSE),"---")</f>
        <v>---</v>
      </c>
      <c r="Y570" s="14" t="str">
        <f>IFERROR(VLOOKUP(CLEAN($V570),'All Security Controls'!$A:$I,5, FALSE),"---")</f>
        <v>---</v>
      </c>
      <c r="Z570" s="14" t="str">
        <f>IFERROR(VLOOKUP(CLEAN($V570),'All Security Controls'!$A:$I,6, FALSE),"---")</f>
        <v>---</v>
      </c>
      <c r="AA570" s="14" t="str">
        <f>IFERROR(VLOOKUP(CLEAN($V570),'All Security Controls'!$A:$I,7, FALSE),"---")</f>
        <v>---</v>
      </c>
      <c r="AB570" s="14" t="str">
        <f>IFERROR(VLOOKUP(CLEAN($V570),'All Security Controls'!$A:$I,8, FALSE),"---")</f>
        <v>---</v>
      </c>
      <c r="AC570" s="14" t="str">
        <f>IFERROR(VLOOKUP(CLEAN($V570),'All Security Controls'!$A:$I,9, FALSE),"---")</f>
        <v>---</v>
      </c>
      <c r="AD570" s="26">
        <v>569</v>
      </c>
    </row>
    <row r="571" spans="1:30" s="10" customFormat="1" thickBot="1">
      <c r="A571"/>
      <c r="B571"/>
      <c r="C571"/>
      <c r="D571"/>
      <c r="E571"/>
      <c r="F571"/>
      <c r="G571"/>
      <c r="H571"/>
      <c r="I571"/>
      <c r="J571"/>
      <c r="K571"/>
      <c r="L571"/>
      <c r="M571"/>
      <c r="N571"/>
      <c r="O571"/>
      <c r="P571"/>
      <c r="Q571"/>
      <c r="R571"/>
      <c r="S571"/>
      <c r="T571"/>
      <c r="V571" s="24"/>
      <c r="W571" s="16" t="str">
        <f>IFERROR(VLOOKUP(CLEAN($V571),'All Security Controls'!A:I, 2, FALSE),"---")</f>
        <v>---</v>
      </c>
      <c r="X571" s="14" t="str">
        <f>IFERROR(VLOOKUP(CLEAN($V571),'All Security Controls'!$A:$I, 4, FALSE),"---")</f>
        <v>---</v>
      </c>
      <c r="Y571" s="14" t="str">
        <f>IFERROR(VLOOKUP(CLEAN($V571),'All Security Controls'!$A:$I,5, FALSE),"---")</f>
        <v>---</v>
      </c>
      <c r="Z571" s="14" t="str">
        <f>IFERROR(VLOOKUP(CLEAN($V571),'All Security Controls'!$A:$I,6, FALSE),"---")</f>
        <v>---</v>
      </c>
      <c r="AA571" s="14" t="str">
        <f>IFERROR(VLOOKUP(CLEAN($V571),'All Security Controls'!$A:$I,7, FALSE),"---")</f>
        <v>---</v>
      </c>
      <c r="AB571" s="14" t="str">
        <f>IFERROR(VLOOKUP(CLEAN($V571),'All Security Controls'!$A:$I,8, FALSE),"---")</f>
        <v>---</v>
      </c>
      <c r="AC571" s="14" t="str">
        <f>IFERROR(VLOOKUP(CLEAN($V571),'All Security Controls'!$A:$I,9, FALSE),"---")</f>
        <v>---</v>
      </c>
      <c r="AD571" s="26">
        <v>570</v>
      </c>
    </row>
    <row r="572" spans="1:30" s="10" customFormat="1" thickBot="1">
      <c r="A572"/>
      <c r="B572"/>
      <c r="C572"/>
      <c r="D572"/>
      <c r="E572"/>
      <c r="F572"/>
      <c r="G572"/>
      <c r="H572"/>
      <c r="I572"/>
      <c r="J572"/>
      <c r="K572"/>
      <c r="L572"/>
      <c r="M572"/>
      <c r="N572"/>
      <c r="O572"/>
      <c r="P572"/>
      <c r="Q572"/>
      <c r="R572"/>
      <c r="S572"/>
      <c r="T572"/>
      <c r="V572" s="24"/>
      <c r="W572" s="16" t="str">
        <f>IFERROR(VLOOKUP(CLEAN($V572),'All Security Controls'!A:I, 2, FALSE),"---")</f>
        <v>---</v>
      </c>
      <c r="X572" s="14" t="str">
        <f>IFERROR(VLOOKUP(CLEAN($V572),'All Security Controls'!$A:$I, 4, FALSE),"---")</f>
        <v>---</v>
      </c>
      <c r="Y572" s="14" t="str">
        <f>IFERROR(VLOOKUP(CLEAN($V572),'All Security Controls'!$A:$I,5, FALSE),"---")</f>
        <v>---</v>
      </c>
      <c r="Z572" s="14" t="str">
        <f>IFERROR(VLOOKUP(CLEAN($V572),'All Security Controls'!$A:$I,6, FALSE),"---")</f>
        <v>---</v>
      </c>
      <c r="AA572" s="14" t="str">
        <f>IFERROR(VLOOKUP(CLEAN($V572),'All Security Controls'!$A:$I,7, FALSE),"---")</f>
        <v>---</v>
      </c>
      <c r="AB572" s="14" t="str">
        <f>IFERROR(VLOOKUP(CLEAN($V572),'All Security Controls'!$A:$I,8, FALSE),"---")</f>
        <v>---</v>
      </c>
      <c r="AC572" s="14" t="str">
        <f>IFERROR(VLOOKUP(CLEAN($V572),'All Security Controls'!$A:$I,9, FALSE),"---")</f>
        <v>---</v>
      </c>
      <c r="AD572" s="26">
        <v>571</v>
      </c>
    </row>
    <row r="573" spans="1:30" s="10" customFormat="1" thickBot="1">
      <c r="A573"/>
      <c r="B573"/>
      <c r="C573"/>
      <c r="D573"/>
      <c r="E573"/>
      <c r="F573"/>
      <c r="G573"/>
      <c r="H573"/>
      <c r="I573"/>
      <c r="J573"/>
      <c r="K573"/>
      <c r="L573"/>
      <c r="M573"/>
      <c r="N573"/>
      <c r="O573"/>
      <c r="P573"/>
      <c r="Q573"/>
      <c r="R573"/>
      <c r="S573"/>
      <c r="T573"/>
      <c r="V573" s="24"/>
      <c r="W573" s="16" t="str">
        <f>IFERROR(VLOOKUP(CLEAN($V573),'All Security Controls'!A:I, 2, FALSE),"---")</f>
        <v>---</v>
      </c>
      <c r="X573" s="14" t="str">
        <f>IFERROR(VLOOKUP(CLEAN($V573),'All Security Controls'!$A:$I, 4, FALSE),"---")</f>
        <v>---</v>
      </c>
      <c r="Y573" s="14" t="str">
        <f>IFERROR(VLOOKUP(CLEAN($V573),'All Security Controls'!$A:$I,5, FALSE),"---")</f>
        <v>---</v>
      </c>
      <c r="Z573" s="14" t="str">
        <f>IFERROR(VLOOKUP(CLEAN($V573),'All Security Controls'!$A:$I,6, FALSE),"---")</f>
        <v>---</v>
      </c>
      <c r="AA573" s="14" t="str">
        <f>IFERROR(VLOOKUP(CLEAN($V573),'All Security Controls'!$A:$I,7, FALSE),"---")</f>
        <v>---</v>
      </c>
      <c r="AB573" s="14" t="str">
        <f>IFERROR(VLOOKUP(CLEAN($V573),'All Security Controls'!$A:$I,8, FALSE),"---")</f>
        <v>---</v>
      </c>
      <c r="AC573" s="14" t="str">
        <f>IFERROR(VLOOKUP(CLEAN($V573),'All Security Controls'!$A:$I,9, FALSE),"---")</f>
        <v>---</v>
      </c>
      <c r="AD573" s="26">
        <v>572</v>
      </c>
    </row>
    <row r="574" spans="1:30" s="10" customFormat="1" thickBot="1">
      <c r="A574"/>
      <c r="B574"/>
      <c r="C574"/>
      <c r="D574"/>
      <c r="E574"/>
      <c r="F574"/>
      <c r="G574"/>
      <c r="H574"/>
      <c r="I574"/>
      <c r="J574"/>
      <c r="K574"/>
      <c r="L574"/>
      <c r="M574"/>
      <c r="N574"/>
      <c r="O574"/>
      <c r="P574"/>
      <c r="Q574"/>
      <c r="R574"/>
      <c r="S574"/>
      <c r="T574"/>
      <c r="V574" s="24"/>
      <c r="W574" s="16" t="str">
        <f>IFERROR(VLOOKUP(CLEAN($V574),'All Security Controls'!A:I, 2, FALSE),"---")</f>
        <v>---</v>
      </c>
      <c r="X574" s="14" t="str">
        <f>IFERROR(VLOOKUP(CLEAN($V574),'All Security Controls'!$A:$I, 4, FALSE),"---")</f>
        <v>---</v>
      </c>
      <c r="Y574" s="14" t="str">
        <f>IFERROR(VLOOKUP(CLEAN($V574),'All Security Controls'!$A:$I,5, FALSE),"---")</f>
        <v>---</v>
      </c>
      <c r="Z574" s="14" t="str">
        <f>IFERROR(VLOOKUP(CLEAN($V574),'All Security Controls'!$A:$I,6, FALSE),"---")</f>
        <v>---</v>
      </c>
      <c r="AA574" s="14" t="str">
        <f>IFERROR(VLOOKUP(CLEAN($V574),'All Security Controls'!$A:$I,7, FALSE),"---")</f>
        <v>---</v>
      </c>
      <c r="AB574" s="14" t="str">
        <f>IFERROR(VLOOKUP(CLEAN($V574),'All Security Controls'!$A:$I,8, FALSE),"---")</f>
        <v>---</v>
      </c>
      <c r="AC574" s="14" t="str">
        <f>IFERROR(VLOOKUP(CLEAN($V574),'All Security Controls'!$A:$I,9, FALSE),"---")</f>
        <v>---</v>
      </c>
      <c r="AD574" s="26">
        <v>573</v>
      </c>
    </row>
    <row r="575" spans="1:30" s="10" customFormat="1" thickBot="1">
      <c r="A575"/>
      <c r="B575"/>
      <c r="C575"/>
      <c r="D575"/>
      <c r="E575"/>
      <c r="F575"/>
      <c r="G575"/>
      <c r="H575"/>
      <c r="I575"/>
      <c r="J575"/>
      <c r="K575"/>
      <c r="L575"/>
      <c r="M575"/>
      <c r="N575"/>
      <c r="O575"/>
      <c r="P575"/>
      <c r="Q575"/>
      <c r="R575"/>
      <c r="S575"/>
      <c r="T575"/>
      <c r="V575" s="24"/>
      <c r="W575" s="16" t="str">
        <f>IFERROR(VLOOKUP(CLEAN($V575),'All Security Controls'!A:I, 2, FALSE),"---")</f>
        <v>---</v>
      </c>
      <c r="X575" s="14" t="str">
        <f>IFERROR(VLOOKUP(CLEAN($V575),'All Security Controls'!$A:$I, 4, FALSE),"---")</f>
        <v>---</v>
      </c>
      <c r="Y575" s="14" t="str">
        <f>IFERROR(VLOOKUP(CLEAN($V575),'All Security Controls'!$A:$I,5, FALSE),"---")</f>
        <v>---</v>
      </c>
      <c r="Z575" s="14" t="str">
        <f>IFERROR(VLOOKUP(CLEAN($V575),'All Security Controls'!$A:$I,6, FALSE),"---")</f>
        <v>---</v>
      </c>
      <c r="AA575" s="14" t="str">
        <f>IFERROR(VLOOKUP(CLEAN($V575),'All Security Controls'!$A:$I,7, FALSE),"---")</f>
        <v>---</v>
      </c>
      <c r="AB575" s="14" t="str">
        <f>IFERROR(VLOOKUP(CLEAN($V575),'All Security Controls'!$A:$I,8, FALSE),"---")</f>
        <v>---</v>
      </c>
      <c r="AC575" s="14" t="str">
        <f>IFERROR(VLOOKUP(CLEAN($V575),'All Security Controls'!$A:$I,9, FALSE),"---")</f>
        <v>---</v>
      </c>
      <c r="AD575" s="26">
        <v>574</v>
      </c>
    </row>
    <row r="576" spans="1:30" s="10" customFormat="1" thickBot="1">
      <c r="A576"/>
      <c r="B576"/>
      <c r="C576"/>
      <c r="D576"/>
      <c r="E576"/>
      <c r="F576"/>
      <c r="G576"/>
      <c r="H576"/>
      <c r="I576"/>
      <c r="J576"/>
      <c r="K576"/>
      <c r="L576"/>
      <c r="M576"/>
      <c r="N576"/>
      <c r="O576"/>
      <c r="P576"/>
      <c r="Q576"/>
      <c r="R576"/>
      <c r="S576"/>
      <c r="T576"/>
      <c r="V576" s="24"/>
      <c r="W576" s="16" t="str">
        <f>IFERROR(VLOOKUP(CLEAN($V576),'All Security Controls'!A:I, 2, FALSE),"---")</f>
        <v>---</v>
      </c>
      <c r="X576" s="14" t="str">
        <f>IFERROR(VLOOKUP(CLEAN($V576),'All Security Controls'!$A:$I, 4, FALSE),"---")</f>
        <v>---</v>
      </c>
      <c r="Y576" s="14" t="str">
        <f>IFERROR(VLOOKUP(CLEAN($V576),'All Security Controls'!$A:$I,5, FALSE),"---")</f>
        <v>---</v>
      </c>
      <c r="Z576" s="14" t="str">
        <f>IFERROR(VLOOKUP(CLEAN($V576),'All Security Controls'!$A:$I,6, FALSE),"---")</f>
        <v>---</v>
      </c>
      <c r="AA576" s="14" t="str">
        <f>IFERROR(VLOOKUP(CLEAN($V576),'All Security Controls'!$A:$I,7, FALSE),"---")</f>
        <v>---</v>
      </c>
      <c r="AB576" s="14" t="str">
        <f>IFERROR(VLOOKUP(CLEAN($V576),'All Security Controls'!$A:$I,8, FALSE),"---")</f>
        <v>---</v>
      </c>
      <c r="AC576" s="14" t="str">
        <f>IFERROR(VLOOKUP(CLEAN($V576),'All Security Controls'!$A:$I,9, FALSE),"---")</f>
        <v>---</v>
      </c>
      <c r="AD576" s="26">
        <v>575</v>
      </c>
    </row>
    <row r="577" spans="1:30" s="10" customFormat="1" thickBot="1">
      <c r="A577"/>
      <c r="B577"/>
      <c r="C577"/>
      <c r="D577"/>
      <c r="E577"/>
      <c r="F577"/>
      <c r="G577"/>
      <c r="H577"/>
      <c r="I577"/>
      <c r="J577"/>
      <c r="K577"/>
      <c r="L577"/>
      <c r="M577"/>
      <c r="N577"/>
      <c r="O577"/>
      <c r="P577"/>
      <c r="Q577"/>
      <c r="R577"/>
      <c r="S577"/>
      <c r="T577"/>
      <c r="V577" s="24"/>
      <c r="W577" s="16" t="str">
        <f>IFERROR(VLOOKUP(CLEAN($V577),'All Security Controls'!A:I, 2, FALSE),"---")</f>
        <v>---</v>
      </c>
      <c r="X577" s="14" t="str">
        <f>IFERROR(VLOOKUP(CLEAN($V577),'All Security Controls'!$A:$I, 4, FALSE),"---")</f>
        <v>---</v>
      </c>
      <c r="Y577" s="14" t="str">
        <f>IFERROR(VLOOKUP(CLEAN($V577),'All Security Controls'!$A:$I,5, FALSE),"---")</f>
        <v>---</v>
      </c>
      <c r="Z577" s="14" t="str">
        <f>IFERROR(VLOOKUP(CLEAN($V577),'All Security Controls'!$A:$I,6, FALSE),"---")</f>
        <v>---</v>
      </c>
      <c r="AA577" s="14" t="str">
        <f>IFERROR(VLOOKUP(CLEAN($V577),'All Security Controls'!$A:$I,7, FALSE),"---")</f>
        <v>---</v>
      </c>
      <c r="AB577" s="14" t="str">
        <f>IFERROR(VLOOKUP(CLEAN($V577),'All Security Controls'!$A:$I,8, FALSE),"---")</f>
        <v>---</v>
      </c>
      <c r="AC577" s="14" t="str">
        <f>IFERROR(VLOOKUP(CLEAN($V577),'All Security Controls'!$A:$I,9, FALSE),"---")</f>
        <v>---</v>
      </c>
      <c r="AD577" s="26">
        <v>576</v>
      </c>
    </row>
    <row r="578" spans="1:30" s="10" customFormat="1" thickBot="1">
      <c r="A578"/>
      <c r="B578"/>
      <c r="C578"/>
      <c r="D578"/>
      <c r="E578"/>
      <c r="F578"/>
      <c r="G578"/>
      <c r="H578"/>
      <c r="I578"/>
      <c r="J578"/>
      <c r="K578"/>
      <c r="L578"/>
      <c r="M578"/>
      <c r="N578"/>
      <c r="O578"/>
      <c r="P578"/>
      <c r="Q578"/>
      <c r="R578"/>
      <c r="S578"/>
      <c r="T578"/>
      <c r="V578" s="24"/>
      <c r="W578" s="16" t="str">
        <f>IFERROR(VLOOKUP(CLEAN($V578),'All Security Controls'!A:I, 2, FALSE),"---")</f>
        <v>---</v>
      </c>
      <c r="X578" s="14" t="str">
        <f>IFERROR(VLOOKUP(CLEAN($V578),'All Security Controls'!$A:$I, 4, FALSE),"---")</f>
        <v>---</v>
      </c>
      <c r="Y578" s="14" t="str">
        <f>IFERROR(VLOOKUP(CLEAN($V578),'All Security Controls'!$A:$I,5, FALSE),"---")</f>
        <v>---</v>
      </c>
      <c r="Z578" s="14" t="str">
        <f>IFERROR(VLOOKUP(CLEAN($V578),'All Security Controls'!$A:$I,6, FALSE),"---")</f>
        <v>---</v>
      </c>
      <c r="AA578" s="14" t="str">
        <f>IFERROR(VLOOKUP(CLEAN($V578),'All Security Controls'!$A:$I,7, FALSE),"---")</f>
        <v>---</v>
      </c>
      <c r="AB578" s="14" t="str">
        <f>IFERROR(VLOOKUP(CLEAN($V578),'All Security Controls'!$A:$I,8, FALSE),"---")</f>
        <v>---</v>
      </c>
      <c r="AC578" s="14" t="str">
        <f>IFERROR(VLOOKUP(CLEAN($V578),'All Security Controls'!$A:$I,9, FALSE),"---")</f>
        <v>---</v>
      </c>
      <c r="AD578" s="26">
        <v>577</v>
      </c>
    </row>
    <row r="579" spans="1:30" s="10" customFormat="1" thickBot="1">
      <c r="A579"/>
      <c r="B579"/>
      <c r="C579"/>
      <c r="D579"/>
      <c r="E579"/>
      <c r="F579"/>
      <c r="G579"/>
      <c r="H579"/>
      <c r="I579"/>
      <c r="J579"/>
      <c r="K579"/>
      <c r="L579"/>
      <c r="M579"/>
      <c r="N579"/>
      <c r="O579"/>
      <c r="P579"/>
      <c r="Q579"/>
      <c r="R579"/>
      <c r="S579"/>
      <c r="T579"/>
      <c r="V579" s="24"/>
      <c r="W579" s="16" t="str">
        <f>IFERROR(VLOOKUP(CLEAN($V579),'All Security Controls'!A:I, 2, FALSE),"---")</f>
        <v>---</v>
      </c>
      <c r="X579" s="14" t="str">
        <f>IFERROR(VLOOKUP(CLEAN($V579),'All Security Controls'!$A:$I, 4, FALSE),"---")</f>
        <v>---</v>
      </c>
      <c r="Y579" s="14" t="str">
        <f>IFERROR(VLOOKUP(CLEAN($V579),'All Security Controls'!$A:$I,5, FALSE),"---")</f>
        <v>---</v>
      </c>
      <c r="Z579" s="14" t="str">
        <f>IFERROR(VLOOKUP(CLEAN($V579),'All Security Controls'!$A:$I,6, FALSE),"---")</f>
        <v>---</v>
      </c>
      <c r="AA579" s="14" t="str">
        <f>IFERROR(VLOOKUP(CLEAN($V579),'All Security Controls'!$A:$I,7, FALSE),"---")</f>
        <v>---</v>
      </c>
      <c r="AB579" s="14" t="str">
        <f>IFERROR(VLOOKUP(CLEAN($V579),'All Security Controls'!$A:$I,8, FALSE),"---")</f>
        <v>---</v>
      </c>
      <c r="AC579" s="14" t="str">
        <f>IFERROR(VLOOKUP(CLEAN($V579),'All Security Controls'!$A:$I,9, FALSE),"---")</f>
        <v>---</v>
      </c>
      <c r="AD579" s="26">
        <v>578</v>
      </c>
    </row>
    <row r="580" spans="1:30" s="10" customFormat="1" thickBot="1">
      <c r="A580"/>
      <c r="B580"/>
      <c r="C580"/>
      <c r="D580"/>
      <c r="E580"/>
      <c r="F580"/>
      <c r="G580"/>
      <c r="H580"/>
      <c r="I580"/>
      <c r="J580"/>
      <c r="K580"/>
      <c r="L580"/>
      <c r="M580"/>
      <c r="N580"/>
      <c r="O580"/>
      <c r="P580"/>
      <c r="Q580"/>
      <c r="R580"/>
      <c r="S580"/>
      <c r="T580"/>
      <c r="V580" s="24"/>
      <c r="W580" s="16" t="str">
        <f>IFERROR(VLOOKUP(CLEAN($V580),'All Security Controls'!A:I, 2, FALSE),"---")</f>
        <v>---</v>
      </c>
      <c r="X580" s="14" t="str">
        <f>IFERROR(VLOOKUP(CLEAN($V580),'All Security Controls'!$A:$I, 4, FALSE),"---")</f>
        <v>---</v>
      </c>
      <c r="Y580" s="14" t="str">
        <f>IFERROR(VLOOKUP(CLEAN($V580),'All Security Controls'!$A:$I,5, FALSE),"---")</f>
        <v>---</v>
      </c>
      <c r="Z580" s="14" t="str">
        <f>IFERROR(VLOOKUP(CLEAN($V580),'All Security Controls'!$A:$I,6, FALSE),"---")</f>
        <v>---</v>
      </c>
      <c r="AA580" s="14" t="str">
        <f>IFERROR(VLOOKUP(CLEAN($V580),'All Security Controls'!$A:$I,7, FALSE),"---")</f>
        <v>---</v>
      </c>
      <c r="AB580" s="14" t="str">
        <f>IFERROR(VLOOKUP(CLEAN($V580),'All Security Controls'!$A:$I,8, FALSE),"---")</f>
        <v>---</v>
      </c>
      <c r="AC580" s="14" t="str">
        <f>IFERROR(VLOOKUP(CLEAN($V580),'All Security Controls'!$A:$I,9, FALSE),"---")</f>
        <v>---</v>
      </c>
      <c r="AD580" s="26">
        <v>579</v>
      </c>
    </row>
    <row r="581" spans="1:30" s="10" customFormat="1" thickBot="1">
      <c r="A581"/>
      <c r="B581"/>
      <c r="C581"/>
      <c r="D581"/>
      <c r="E581"/>
      <c r="F581"/>
      <c r="G581"/>
      <c r="H581"/>
      <c r="I581"/>
      <c r="J581"/>
      <c r="K581"/>
      <c r="L581"/>
      <c r="M581"/>
      <c r="N581"/>
      <c r="O581"/>
      <c r="P581"/>
      <c r="Q581"/>
      <c r="R581"/>
      <c r="S581"/>
      <c r="T581"/>
      <c r="V581" s="24"/>
      <c r="W581" s="16" t="str">
        <f>IFERROR(VLOOKUP(CLEAN($V581),'All Security Controls'!A:I, 2, FALSE),"---")</f>
        <v>---</v>
      </c>
      <c r="X581" s="14" t="str">
        <f>IFERROR(VLOOKUP(CLEAN($V581),'All Security Controls'!$A:$I, 4, FALSE),"---")</f>
        <v>---</v>
      </c>
      <c r="Y581" s="14" t="str">
        <f>IFERROR(VLOOKUP(CLEAN($V581),'All Security Controls'!$A:$I,5, FALSE),"---")</f>
        <v>---</v>
      </c>
      <c r="Z581" s="14" t="str">
        <f>IFERROR(VLOOKUP(CLEAN($V581),'All Security Controls'!$A:$I,6, FALSE),"---")</f>
        <v>---</v>
      </c>
      <c r="AA581" s="14" t="str">
        <f>IFERROR(VLOOKUP(CLEAN($V581),'All Security Controls'!$A:$I,7, FALSE),"---")</f>
        <v>---</v>
      </c>
      <c r="AB581" s="14" t="str">
        <f>IFERROR(VLOOKUP(CLEAN($V581),'All Security Controls'!$A:$I,8, FALSE),"---")</f>
        <v>---</v>
      </c>
      <c r="AC581" s="14" t="str">
        <f>IFERROR(VLOOKUP(CLEAN($V581),'All Security Controls'!$A:$I,9, FALSE),"---")</f>
        <v>---</v>
      </c>
      <c r="AD581" s="26">
        <v>580</v>
      </c>
    </row>
    <row r="582" spans="1:30" s="10" customFormat="1" thickBot="1">
      <c r="A582"/>
      <c r="B582"/>
      <c r="C582"/>
      <c r="D582"/>
      <c r="E582"/>
      <c r="F582"/>
      <c r="G582"/>
      <c r="H582"/>
      <c r="I582"/>
      <c r="J582"/>
      <c r="K582"/>
      <c r="L582"/>
      <c r="M582"/>
      <c r="N582"/>
      <c r="O582"/>
      <c r="P582"/>
      <c r="Q582"/>
      <c r="R582"/>
      <c r="S582"/>
      <c r="T582"/>
      <c r="V582" s="24"/>
      <c r="W582" s="16" t="str">
        <f>IFERROR(VLOOKUP(CLEAN($V582),'All Security Controls'!A:I, 2, FALSE),"---")</f>
        <v>---</v>
      </c>
      <c r="X582" s="14" t="str">
        <f>IFERROR(VLOOKUP(CLEAN($V582),'All Security Controls'!$A:$I, 4, FALSE),"---")</f>
        <v>---</v>
      </c>
      <c r="Y582" s="14" t="str">
        <f>IFERROR(VLOOKUP(CLEAN($V582),'All Security Controls'!$A:$I,5, FALSE),"---")</f>
        <v>---</v>
      </c>
      <c r="Z582" s="14" t="str">
        <f>IFERROR(VLOOKUP(CLEAN($V582),'All Security Controls'!$A:$I,6, FALSE),"---")</f>
        <v>---</v>
      </c>
      <c r="AA582" s="14" t="str">
        <f>IFERROR(VLOOKUP(CLEAN($V582),'All Security Controls'!$A:$I,7, FALSE),"---")</f>
        <v>---</v>
      </c>
      <c r="AB582" s="14" t="str">
        <f>IFERROR(VLOOKUP(CLEAN($V582),'All Security Controls'!$A:$I,8, FALSE),"---")</f>
        <v>---</v>
      </c>
      <c r="AC582" s="14" t="str">
        <f>IFERROR(VLOOKUP(CLEAN($V582),'All Security Controls'!$A:$I,9, FALSE),"---")</f>
        <v>---</v>
      </c>
      <c r="AD582" s="26">
        <v>581</v>
      </c>
    </row>
    <row r="583" spans="1:30" s="10" customFormat="1" thickBot="1">
      <c r="A583"/>
      <c r="B583"/>
      <c r="C583"/>
      <c r="D583"/>
      <c r="E583"/>
      <c r="F583"/>
      <c r="G583"/>
      <c r="H583"/>
      <c r="I583"/>
      <c r="J583"/>
      <c r="K583"/>
      <c r="L583"/>
      <c r="M583"/>
      <c r="N583"/>
      <c r="O583"/>
      <c r="P583"/>
      <c r="Q583"/>
      <c r="R583"/>
      <c r="S583"/>
      <c r="T583"/>
      <c r="V583" s="24"/>
      <c r="W583" s="16" t="str">
        <f>IFERROR(VLOOKUP(CLEAN($V583),'All Security Controls'!A:I, 2, FALSE),"---")</f>
        <v>---</v>
      </c>
      <c r="X583" s="14" t="str">
        <f>IFERROR(VLOOKUP(CLEAN($V583),'All Security Controls'!$A:$I, 4, FALSE),"---")</f>
        <v>---</v>
      </c>
      <c r="Y583" s="14" t="str">
        <f>IFERROR(VLOOKUP(CLEAN($V583),'All Security Controls'!$A:$I,5, FALSE),"---")</f>
        <v>---</v>
      </c>
      <c r="Z583" s="14" t="str">
        <f>IFERROR(VLOOKUP(CLEAN($V583),'All Security Controls'!$A:$I,6, FALSE),"---")</f>
        <v>---</v>
      </c>
      <c r="AA583" s="14" t="str">
        <f>IFERROR(VLOOKUP(CLEAN($V583),'All Security Controls'!$A:$I,7, FALSE),"---")</f>
        <v>---</v>
      </c>
      <c r="AB583" s="14" t="str">
        <f>IFERROR(VLOOKUP(CLEAN($V583),'All Security Controls'!$A:$I,8, FALSE),"---")</f>
        <v>---</v>
      </c>
      <c r="AC583" s="14" t="str">
        <f>IFERROR(VLOOKUP(CLEAN($V583),'All Security Controls'!$A:$I,9, FALSE),"---")</f>
        <v>---</v>
      </c>
      <c r="AD583" s="26">
        <v>582</v>
      </c>
    </row>
    <row r="584" spans="1:30" s="10" customFormat="1" thickBot="1">
      <c r="A584"/>
      <c r="B584"/>
      <c r="C584"/>
      <c r="D584"/>
      <c r="E584"/>
      <c r="F584"/>
      <c r="G584"/>
      <c r="H584"/>
      <c r="I584"/>
      <c r="J584"/>
      <c r="K584"/>
      <c r="L584"/>
      <c r="M584"/>
      <c r="N584"/>
      <c r="O584"/>
      <c r="P584"/>
      <c r="Q584"/>
      <c r="R584"/>
      <c r="S584"/>
      <c r="T584"/>
      <c r="V584" s="24"/>
      <c r="W584" s="16" t="str">
        <f>IFERROR(VLOOKUP(CLEAN($V584),'All Security Controls'!A:I, 2, FALSE),"---")</f>
        <v>---</v>
      </c>
      <c r="X584" s="14" t="str">
        <f>IFERROR(VLOOKUP(CLEAN($V584),'All Security Controls'!$A:$I, 4, FALSE),"---")</f>
        <v>---</v>
      </c>
      <c r="Y584" s="14" t="str">
        <f>IFERROR(VLOOKUP(CLEAN($V584),'All Security Controls'!$A:$I,5, FALSE),"---")</f>
        <v>---</v>
      </c>
      <c r="Z584" s="14" t="str">
        <f>IFERROR(VLOOKUP(CLEAN($V584),'All Security Controls'!$A:$I,6, FALSE),"---")</f>
        <v>---</v>
      </c>
      <c r="AA584" s="14" t="str">
        <f>IFERROR(VLOOKUP(CLEAN($V584),'All Security Controls'!$A:$I,7, FALSE),"---")</f>
        <v>---</v>
      </c>
      <c r="AB584" s="14" t="str">
        <f>IFERROR(VLOOKUP(CLEAN($V584),'All Security Controls'!$A:$I,8, FALSE),"---")</f>
        <v>---</v>
      </c>
      <c r="AC584" s="14" t="str">
        <f>IFERROR(VLOOKUP(CLEAN($V584),'All Security Controls'!$A:$I,9, FALSE),"---")</f>
        <v>---</v>
      </c>
      <c r="AD584" s="26">
        <v>583</v>
      </c>
    </row>
    <row r="585" spans="1:30" s="10" customFormat="1" thickBot="1">
      <c r="A585"/>
      <c r="B585"/>
      <c r="C585"/>
      <c r="D585"/>
      <c r="E585"/>
      <c r="F585"/>
      <c r="G585"/>
      <c r="H585"/>
      <c r="I585"/>
      <c r="J585"/>
      <c r="K585"/>
      <c r="L585"/>
      <c r="M585"/>
      <c r="N585"/>
      <c r="O585"/>
      <c r="P585"/>
      <c r="Q585"/>
      <c r="R585"/>
      <c r="S585"/>
      <c r="T585"/>
      <c r="V585" s="24"/>
      <c r="W585" s="16" t="str">
        <f>IFERROR(VLOOKUP(CLEAN($V585),'All Security Controls'!A:I, 2, FALSE),"---")</f>
        <v>---</v>
      </c>
      <c r="X585" s="14" t="str">
        <f>IFERROR(VLOOKUP(CLEAN($V585),'All Security Controls'!$A:$I, 4, FALSE),"---")</f>
        <v>---</v>
      </c>
      <c r="Y585" s="14" t="str">
        <f>IFERROR(VLOOKUP(CLEAN($V585),'All Security Controls'!$A:$I,5, FALSE),"---")</f>
        <v>---</v>
      </c>
      <c r="Z585" s="14" t="str">
        <f>IFERROR(VLOOKUP(CLEAN($V585),'All Security Controls'!$A:$I,6, FALSE),"---")</f>
        <v>---</v>
      </c>
      <c r="AA585" s="14" t="str">
        <f>IFERROR(VLOOKUP(CLEAN($V585),'All Security Controls'!$A:$I,7, FALSE),"---")</f>
        <v>---</v>
      </c>
      <c r="AB585" s="14" t="str">
        <f>IFERROR(VLOOKUP(CLEAN($V585),'All Security Controls'!$A:$I,8, FALSE),"---")</f>
        <v>---</v>
      </c>
      <c r="AC585" s="14" t="str">
        <f>IFERROR(VLOOKUP(CLEAN($V585),'All Security Controls'!$A:$I,9, FALSE),"---")</f>
        <v>---</v>
      </c>
      <c r="AD585" s="26">
        <v>584</v>
      </c>
    </row>
    <row r="586" spans="1:30" s="10" customFormat="1" thickBot="1">
      <c r="A586"/>
      <c r="B586"/>
      <c r="C586"/>
      <c r="D586"/>
      <c r="E586"/>
      <c r="F586"/>
      <c r="G586"/>
      <c r="H586"/>
      <c r="I586"/>
      <c r="J586"/>
      <c r="K586"/>
      <c r="L586"/>
      <c r="M586"/>
      <c r="N586"/>
      <c r="O586"/>
      <c r="P586"/>
      <c r="Q586"/>
      <c r="R586"/>
      <c r="S586"/>
      <c r="T586"/>
      <c r="V586" s="24"/>
      <c r="W586" s="16" t="str">
        <f>IFERROR(VLOOKUP(CLEAN($V586),'All Security Controls'!A:I, 2, FALSE),"---")</f>
        <v>---</v>
      </c>
      <c r="X586" s="14" t="str">
        <f>IFERROR(VLOOKUP(CLEAN($V586),'All Security Controls'!$A:$I, 4, FALSE),"---")</f>
        <v>---</v>
      </c>
      <c r="Y586" s="14" t="str">
        <f>IFERROR(VLOOKUP(CLEAN($V586),'All Security Controls'!$A:$I,5, FALSE),"---")</f>
        <v>---</v>
      </c>
      <c r="Z586" s="14" t="str">
        <f>IFERROR(VLOOKUP(CLEAN($V586),'All Security Controls'!$A:$I,6, FALSE),"---")</f>
        <v>---</v>
      </c>
      <c r="AA586" s="14" t="str">
        <f>IFERROR(VLOOKUP(CLEAN($V586),'All Security Controls'!$A:$I,7, FALSE),"---")</f>
        <v>---</v>
      </c>
      <c r="AB586" s="14" t="str">
        <f>IFERROR(VLOOKUP(CLEAN($V586),'All Security Controls'!$A:$I,8, FALSE),"---")</f>
        <v>---</v>
      </c>
      <c r="AC586" s="14" t="str">
        <f>IFERROR(VLOOKUP(CLEAN($V586),'All Security Controls'!$A:$I,9, FALSE),"---")</f>
        <v>---</v>
      </c>
      <c r="AD586" s="26">
        <v>585</v>
      </c>
    </row>
    <row r="587" spans="1:30" s="10" customFormat="1" thickBot="1">
      <c r="A587"/>
      <c r="B587"/>
      <c r="C587"/>
      <c r="D587"/>
      <c r="E587"/>
      <c r="F587"/>
      <c r="G587"/>
      <c r="H587"/>
      <c r="I587"/>
      <c r="J587"/>
      <c r="K587"/>
      <c r="L587"/>
      <c r="M587"/>
      <c r="N587"/>
      <c r="O587"/>
      <c r="P587"/>
      <c r="Q587"/>
      <c r="R587"/>
      <c r="S587"/>
      <c r="T587"/>
      <c r="V587" s="24"/>
      <c r="W587" s="16" t="str">
        <f>IFERROR(VLOOKUP(CLEAN($V587),'All Security Controls'!A:I, 2, FALSE),"---")</f>
        <v>---</v>
      </c>
      <c r="X587" s="14" t="str">
        <f>IFERROR(VLOOKUP(CLEAN($V587),'All Security Controls'!$A:$I, 4, FALSE),"---")</f>
        <v>---</v>
      </c>
      <c r="Y587" s="14" t="str">
        <f>IFERROR(VLOOKUP(CLEAN($V587),'All Security Controls'!$A:$I,5, FALSE),"---")</f>
        <v>---</v>
      </c>
      <c r="Z587" s="14" t="str">
        <f>IFERROR(VLOOKUP(CLEAN($V587),'All Security Controls'!$A:$I,6, FALSE),"---")</f>
        <v>---</v>
      </c>
      <c r="AA587" s="14" t="str">
        <f>IFERROR(VLOOKUP(CLEAN($V587),'All Security Controls'!$A:$I,7, FALSE),"---")</f>
        <v>---</v>
      </c>
      <c r="AB587" s="14" t="str">
        <f>IFERROR(VLOOKUP(CLEAN($V587),'All Security Controls'!$A:$I,8, FALSE),"---")</f>
        <v>---</v>
      </c>
      <c r="AC587" s="14" t="str">
        <f>IFERROR(VLOOKUP(CLEAN($V587),'All Security Controls'!$A:$I,9, FALSE),"---")</f>
        <v>---</v>
      </c>
      <c r="AD587" s="26">
        <v>586</v>
      </c>
    </row>
    <row r="588" spans="1:30" s="10" customFormat="1" thickBot="1">
      <c r="A588"/>
      <c r="B588"/>
      <c r="C588"/>
      <c r="D588"/>
      <c r="E588"/>
      <c r="F588"/>
      <c r="G588"/>
      <c r="H588"/>
      <c r="I588"/>
      <c r="J588"/>
      <c r="K588"/>
      <c r="L588"/>
      <c r="M588"/>
      <c r="N588"/>
      <c r="O588"/>
      <c r="P588"/>
      <c r="Q588"/>
      <c r="R588"/>
      <c r="S588"/>
      <c r="T588"/>
      <c r="V588" s="24"/>
      <c r="W588" s="16" t="str">
        <f>IFERROR(VLOOKUP(CLEAN($V588),'All Security Controls'!A:I, 2, FALSE),"---")</f>
        <v>---</v>
      </c>
      <c r="X588" s="14" t="str">
        <f>IFERROR(VLOOKUP(CLEAN($V588),'All Security Controls'!$A:$I, 4, FALSE),"---")</f>
        <v>---</v>
      </c>
      <c r="Y588" s="14" t="str">
        <f>IFERROR(VLOOKUP(CLEAN($V588),'All Security Controls'!$A:$I,5, FALSE),"---")</f>
        <v>---</v>
      </c>
      <c r="Z588" s="14" t="str">
        <f>IFERROR(VLOOKUP(CLEAN($V588),'All Security Controls'!$A:$I,6, FALSE),"---")</f>
        <v>---</v>
      </c>
      <c r="AA588" s="14" t="str">
        <f>IFERROR(VLOOKUP(CLEAN($V588),'All Security Controls'!$A:$I,7, FALSE),"---")</f>
        <v>---</v>
      </c>
      <c r="AB588" s="14" t="str">
        <f>IFERROR(VLOOKUP(CLEAN($V588),'All Security Controls'!$A:$I,8, FALSE),"---")</f>
        <v>---</v>
      </c>
      <c r="AC588" s="14" t="str">
        <f>IFERROR(VLOOKUP(CLEAN($V588),'All Security Controls'!$A:$I,9, FALSE),"---")</f>
        <v>---</v>
      </c>
      <c r="AD588" s="26">
        <v>587</v>
      </c>
    </row>
    <row r="589" spans="1:30" s="10" customFormat="1" thickBot="1">
      <c r="A589"/>
      <c r="B589"/>
      <c r="C589"/>
      <c r="D589"/>
      <c r="E589"/>
      <c r="F589"/>
      <c r="G589"/>
      <c r="H589"/>
      <c r="I589"/>
      <c r="J589"/>
      <c r="K589"/>
      <c r="L589"/>
      <c r="M589"/>
      <c r="N589"/>
      <c r="O589"/>
      <c r="P589"/>
      <c r="Q589"/>
      <c r="R589"/>
      <c r="S589"/>
      <c r="T589"/>
      <c r="V589" s="24"/>
      <c r="W589" s="16" t="str">
        <f>IFERROR(VLOOKUP(CLEAN($V589),'All Security Controls'!A:I, 2, FALSE),"---")</f>
        <v>---</v>
      </c>
      <c r="X589" s="14" t="str">
        <f>IFERROR(VLOOKUP(CLEAN($V589),'All Security Controls'!$A:$I, 4, FALSE),"---")</f>
        <v>---</v>
      </c>
      <c r="Y589" s="14" t="str">
        <f>IFERROR(VLOOKUP(CLEAN($V589),'All Security Controls'!$A:$I,5, FALSE),"---")</f>
        <v>---</v>
      </c>
      <c r="Z589" s="14" t="str">
        <f>IFERROR(VLOOKUP(CLEAN($V589),'All Security Controls'!$A:$I,6, FALSE),"---")</f>
        <v>---</v>
      </c>
      <c r="AA589" s="14" t="str">
        <f>IFERROR(VLOOKUP(CLEAN($V589),'All Security Controls'!$A:$I,7, FALSE),"---")</f>
        <v>---</v>
      </c>
      <c r="AB589" s="14" t="str">
        <f>IFERROR(VLOOKUP(CLEAN($V589),'All Security Controls'!$A:$I,8, FALSE),"---")</f>
        <v>---</v>
      </c>
      <c r="AC589" s="14" t="str">
        <f>IFERROR(VLOOKUP(CLEAN($V589),'All Security Controls'!$A:$I,9, FALSE),"---")</f>
        <v>---</v>
      </c>
      <c r="AD589" s="26">
        <v>588</v>
      </c>
    </row>
    <row r="590" spans="1:30" s="10" customFormat="1" thickBot="1">
      <c r="A590"/>
      <c r="B590"/>
      <c r="C590"/>
      <c r="D590"/>
      <c r="E590"/>
      <c r="F590"/>
      <c r="G590"/>
      <c r="H590"/>
      <c r="I590"/>
      <c r="J590"/>
      <c r="K590"/>
      <c r="L590"/>
      <c r="M590"/>
      <c r="N590"/>
      <c r="O590"/>
      <c r="P590"/>
      <c r="Q590"/>
      <c r="R590"/>
      <c r="S590"/>
      <c r="T590"/>
      <c r="V590" s="24"/>
      <c r="W590" s="16" t="str">
        <f>IFERROR(VLOOKUP(CLEAN($V590),'All Security Controls'!A:I, 2, FALSE),"---")</f>
        <v>---</v>
      </c>
      <c r="X590" s="14" t="str">
        <f>IFERROR(VLOOKUP(CLEAN($V590),'All Security Controls'!$A:$I, 4, FALSE),"---")</f>
        <v>---</v>
      </c>
      <c r="Y590" s="14" t="str">
        <f>IFERROR(VLOOKUP(CLEAN($V590),'All Security Controls'!$A:$I,5, FALSE),"---")</f>
        <v>---</v>
      </c>
      <c r="Z590" s="14" t="str">
        <f>IFERROR(VLOOKUP(CLEAN($V590),'All Security Controls'!$A:$I,6, FALSE),"---")</f>
        <v>---</v>
      </c>
      <c r="AA590" s="14" t="str">
        <f>IFERROR(VLOOKUP(CLEAN($V590),'All Security Controls'!$A:$I,7, FALSE),"---")</f>
        <v>---</v>
      </c>
      <c r="AB590" s="14" t="str">
        <f>IFERROR(VLOOKUP(CLEAN($V590),'All Security Controls'!$A:$I,8, FALSE),"---")</f>
        <v>---</v>
      </c>
      <c r="AC590" s="14" t="str">
        <f>IFERROR(VLOOKUP(CLEAN($V590),'All Security Controls'!$A:$I,9, FALSE),"---")</f>
        <v>---</v>
      </c>
      <c r="AD590" s="26">
        <v>589</v>
      </c>
    </row>
    <row r="591" spans="1:30" s="10" customFormat="1" thickBot="1">
      <c r="A591"/>
      <c r="B591"/>
      <c r="C591"/>
      <c r="D591"/>
      <c r="E591"/>
      <c r="F591"/>
      <c r="G591"/>
      <c r="H591"/>
      <c r="I591"/>
      <c r="J591"/>
      <c r="K591"/>
      <c r="L591"/>
      <c r="M591"/>
      <c r="N591"/>
      <c r="O591"/>
      <c r="P591"/>
      <c r="Q591"/>
      <c r="R591"/>
      <c r="S591"/>
      <c r="T591"/>
      <c r="V591" s="24"/>
      <c r="W591" s="16" t="str">
        <f>IFERROR(VLOOKUP(CLEAN($V591),'All Security Controls'!A:I, 2, FALSE),"---")</f>
        <v>---</v>
      </c>
      <c r="X591" s="14" t="str">
        <f>IFERROR(VLOOKUP(CLEAN($V591),'All Security Controls'!$A:$I, 4, FALSE),"---")</f>
        <v>---</v>
      </c>
      <c r="Y591" s="14" t="str">
        <f>IFERROR(VLOOKUP(CLEAN($V591),'All Security Controls'!$A:$I,5, FALSE),"---")</f>
        <v>---</v>
      </c>
      <c r="Z591" s="14" t="str">
        <f>IFERROR(VLOOKUP(CLEAN($V591),'All Security Controls'!$A:$I,6, FALSE),"---")</f>
        <v>---</v>
      </c>
      <c r="AA591" s="14" t="str">
        <f>IFERROR(VLOOKUP(CLEAN($V591),'All Security Controls'!$A:$I,7, FALSE),"---")</f>
        <v>---</v>
      </c>
      <c r="AB591" s="14" t="str">
        <f>IFERROR(VLOOKUP(CLEAN($V591),'All Security Controls'!$A:$I,8, FALSE),"---")</f>
        <v>---</v>
      </c>
      <c r="AC591" s="14" t="str">
        <f>IFERROR(VLOOKUP(CLEAN($V591),'All Security Controls'!$A:$I,9, FALSE),"---")</f>
        <v>---</v>
      </c>
      <c r="AD591" s="26">
        <v>590</v>
      </c>
    </row>
    <row r="592" spans="1:30" s="10" customFormat="1" thickBot="1">
      <c r="A592"/>
      <c r="B592"/>
      <c r="C592"/>
      <c r="D592"/>
      <c r="E592"/>
      <c r="F592"/>
      <c r="G592"/>
      <c r="H592"/>
      <c r="I592"/>
      <c r="J592"/>
      <c r="K592"/>
      <c r="L592"/>
      <c r="M592"/>
      <c r="N592"/>
      <c r="O592"/>
      <c r="P592"/>
      <c r="Q592"/>
      <c r="R592"/>
      <c r="S592"/>
      <c r="T592"/>
      <c r="V592" s="24"/>
      <c r="W592" s="16" t="str">
        <f>IFERROR(VLOOKUP(CLEAN($V592),'All Security Controls'!A:I, 2, FALSE),"---")</f>
        <v>---</v>
      </c>
      <c r="X592" s="14" t="str">
        <f>IFERROR(VLOOKUP(CLEAN($V592),'All Security Controls'!$A:$I, 4, FALSE),"---")</f>
        <v>---</v>
      </c>
      <c r="Y592" s="14" t="str">
        <f>IFERROR(VLOOKUP(CLEAN($V592),'All Security Controls'!$A:$I,5, FALSE),"---")</f>
        <v>---</v>
      </c>
      <c r="Z592" s="14" t="str">
        <f>IFERROR(VLOOKUP(CLEAN($V592),'All Security Controls'!$A:$I,6, FALSE),"---")</f>
        <v>---</v>
      </c>
      <c r="AA592" s="14" t="str">
        <f>IFERROR(VLOOKUP(CLEAN($V592),'All Security Controls'!$A:$I,7, FALSE),"---")</f>
        <v>---</v>
      </c>
      <c r="AB592" s="14" t="str">
        <f>IFERROR(VLOOKUP(CLEAN($V592),'All Security Controls'!$A:$I,8, FALSE),"---")</f>
        <v>---</v>
      </c>
      <c r="AC592" s="14" t="str">
        <f>IFERROR(VLOOKUP(CLEAN($V592),'All Security Controls'!$A:$I,9, FALSE),"---")</f>
        <v>---</v>
      </c>
      <c r="AD592" s="26">
        <v>591</v>
      </c>
    </row>
    <row r="593" spans="1:30" s="10" customFormat="1" thickBot="1">
      <c r="A593"/>
      <c r="B593"/>
      <c r="C593"/>
      <c r="D593"/>
      <c r="E593"/>
      <c r="F593"/>
      <c r="G593"/>
      <c r="H593"/>
      <c r="I593"/>
      <c r="J593"/>
      <c r="K593"/>
      <c r="L593"/>
      <c r="M593"/>
      <c r="N593"/>
      <c r="O593"/>
      <c r="P593"/>
      <c r="Q593"/>
      <c r="R593"/>
      <c r="S593"/>
      <c r="T593"/>
      <c r="V593" s="24"/>
      <c r="W593" s="16" t="str">
        <f>IFERROR(VLOOKUP(CLEAN($V593),'All Security Controls'!A:I, 2, FALSE),"---")</f>
        <v>---</v>
      </c>
      <c r="X593" s="14" t="str">
        <f>IFERROR(VLOOKUP(CLEAN($V593),'All Security Controls'!$A:$I, 4, FALSE),"---")</f>
        <v>---</v>
      </c>
      <c r="Y593" s="14" t="str">
        <f>IFERROR(VLOOKUP(CLEAN($V593),'All Security Controls'!$A:$I,5, FALSE),"---")</f>
        <v>---</v>
      </c>
      <c r="Z593" s="14" t="str">
        <f>IFERROR(VLOOKUP(CLEAN($V593),'All Security Controls'!$A:$I,6, FALSE),"---")</f>
        <v>---</v>
      </c>
      <c r="AA593" s="14" t="str">
        <f>IFERROR(VLOOKUP(CLEAN($V593),'All Security Controls'!$A:$I,7, FALSE),"---")</f>
        <v>---</v>
      </c>
      <c r="AB593" s="14" t="str">
        <f>IFERROR(VLOOKUP(CLEAN($V593),'All Security Controls'!$A:$I,8, FALSE),"---")</f>
        <v>---</v>
      </c>
      <c r="AC593" s="14" t="str">
        <f>IFERROR(VLOOKUP(CLEAN($V593),'All Security Controls'!$A:$I,9, FALSE),"---")</f>
        <v>---</v>
      </c>
      <c r="AD593" s="26">
        <v>592</v>
      </c>
    </row>
    <row r="594" spans="1:30" s="10" customFormat="1" thickBot="1">
      <c r="A594"/>
      <c r="B594"/>
      <c r="C594"/>
      <c r="D594"/>
      <c r="E594"/>
      <c r="F594"/>
      <c r="G594"/>
      <c r="H594"/>
      <c r="I594"/>
      <c r="J594"/>
      <c r="K594"/>
      <c r="L594"/>
      <c r="M594"/>
      <c r="N594"/>
      <c r="O594"/>
      <c r="P594"/>
      <c r="Q594"/>
      <c r="R594"/>
      <c r="S594"/>
      <c r="T594"/>
      <c r="V594" s="24"/>
      <c r="W594" s="16" t="str">
        <f>IFERROR(VLOOKUP(CLEAN($V594),'All Security Controls'!A:I, 2, FALSE),"---")</f>
        <v>---</v>
      </c>
      <c r="X594" s="14" t="str">
        <f>IFERROR(VLOOKUP(CLEAN($V594),'All Security Controls'!$A:$I, 4, FALSE),"---")</f>
        <v>---</v>
      </c>
      <c r="Y594" s="14" t="str">
        <f>IFERROR(VLOOKUP(CLEAN($V594),'All Security Controls'!$A:$I,5, FALSE),"---")</f>
        <v>---</v>
      </c>
      <c r="Z594" s="14" t="str">
        <f>IFERROR(VLOOKUP(CLEAN($V594),'All Security Controls'!$A:$I,6, FALSE),"---")</f>
        <v>---</v>
      </c>
      <c r="AA594" s="14" t="str">
        <f>IFERROR(VLOOKUP(CLEAN($V594),'All Security Controls'!$A:$I,7, FALSE),"---")</f>
        <v>---</v>
      </c>
      <c r="AB594" s="14" t="str">
        <f>IFERROR(VLOOKUP(CLEAN($V594),'All Security Controls'!$A:$I,8, FALSE),"---")</f>
        <v>---</v>
      </c>
      <c r="AC594" s="14" t="str">
        <f>IFERROR(VLOOKUP(CLEAN($V594),'All Security Controls'!$A:$I,9, FALSE),"---")</f>
        <v>---</v>
      </c>
      <c r="AD594" s="26">
        <v>593</v>
      </c>
    </row>
    <row r="595" spans="1:30" s="10" customFormat="1" thickBot="1">
      <c r="A595"/>
      <c r="B595"/>
      <c r="C595"/>
      <c r="D595"/>
      <c r="E595"/>
      <c r="F595"/>
      <c r="G595"/>
      <c r="H595"/>
      <c r="I595"/>
      <c r="J595"/>
      <c r="K595"/>
      <c r="L595"/>
      <c r="M595"/>
      <c r="N595"/>
      <c r="O595"/>
      <c r="P595"/>
      <c r="Q595"/>
      <c r="R595"/>
      <c r="S595"/>
      <c r="T595"/>
      <c r="V595" s="24"/>
      <c r="W595" s="16" t="str">
        <f>IFERROR(VLOOKUP(CLEAN($V595),'All Security Controls'!A:I, 2, FALSE),"---")</f>
        <v>---</v>
      </c>
      <c r="X595" s="14" t="str">
        <f>IFERROR(VLOOKUP(CLEAN($V595),'All Security Controls'!$A:$I, 4, FALSE),"---")</f>
        <v>---</v>
      </c>
      <c r="Y595" s="14" t="str">
        <f>IFERROR(VLOOKUP(CLEAN($V595),'All Security Controls'!$A:$I,5, FALSE),"---")</f>
        <v>---</v>
      </c>
      <c r="Z595" s="14" t="str">
        <f>IFERROR(VLOOKUP(CLEAN($V595),'All Security Controls'!$A:$I,6, FALSE),"---")</f>
        <v>---</v>
      </c>
      <c r="AA595" s="14" t="str">
        <f>IFERROR(VLOOKUP(CLEAN($V595),'All Security Controls'!$A:$I,7, FALSE),"---")</f>
        <v>---</v>
      </c>
      <c r="AB595" s="14" t="str">
        <f>IFERROR(VLOOKUP(CLEAN($V595),'All Security Controls'!$A:$I,8, FALSE),"---")</f>
        <v>---</v>
      </c>
      <c r="AC595" s="14" t="str">
        <f>IFERROR(VLOOKUP(CLEAN($V595),'All Security Controls'!$A:$I,9, FALSE),"---")</f>
        <v>---</v>
      </c>
      <c r="AD595" s="26">
        <v>594</v>
      </c>
    </row>
    <row r="596" spans="1:30" s="10" customFormat="1" thickBot="1">
      <c r="A596"/>
      <c r="B596"/>
      <c r="C596"/>
      <c r="D596"/>
      <c r="E596"/>
      <c r="F596"/>
      <c r="G596"/>
      <c r="H596"/>
      <c r="I596"/>
      <c r="J596"/>
      <c r="K596"/>
      <c r="L596"/>
      <c r="M596"/>
      <c r="N596"/>
      <c r="O596"/>
      <c r="P596"/>
      <c r="Q596"/>
      <c r="R596"/>
      <c r="S596"/>
      <c r="T596"/>
      <c r="V596" s="24"/>
      <c r="W596" s="16" t="str">
        <f>IFERROR(VLOOKUP(CLEAN($V596),'All Security Controls'!A:I, 2, FALSE),"---")</f>
        <v>---</v>
      </c>
      <c r="X596" s="14" t="str">
        <f>IFERROR(VLOOKUP(CLEAN($V596),'All Security Controls'!$A:$I, 4, FALSE),"---")</f>
        <v>---</v>
      </c>
      <c r="Y596" s="14" t="str">
        <f>IFERROR(VLOOKUP(CLEAN($V596),'All Security Controls'!$A:$I,5, FALSE),"---")</f>
        <v>---</v>
      </c>
      <c r="Z596" s="14" t="str">
        <f>IFERROR(VLOOKUP(CLEAN($V596),'All Security Controls'!$A:$I,6, FALSE),"---")</f>
        <v>---</v>
      </c>
      <c r="AA596" s="14" t="str">
        <f>IFERROR(VLOOKUP(CLEAN($V596),'All Security Controls'!$A:$I,7, FALSE),"---")</f>
        <v>---</v>
      </c>
      <c r="AB596" s="14" t="str">
        <f>IFERROR(VLOOKUP(CLEAN($V596),'All Security Controls'!$A:$I,8, FALSE),"---")</f>
        <v>---</v>
      </c>
      <c r="AC596" s="14" t="str">
        <f>IFERROR(VLOOKUP(CLEAN($V596),'All Security Controls'!$A:$I,9, FALSE),"---")</f>
        <v>---</v>
      </c>
      <c r="AD596" s="26">
        <v>595</v>
      </c>
    </row>
    <row r="597" spans="1:30" s="10" customFormat="1" thickBot="1">
      <c r="A597"/>
      <c r="B597"/>
      <c r="C597"/>
      <c r="D597"/>
      <c r="E597"/>
      <c r="F597"/>
      <c r="G597"/>
      <c r="H597"/>
      <c r="I597"/>
      <c r="J597"/>
      <c r="K597"/>
      <c r="L597"/>
      <c r="M597"/>
      <c r="N597"/>
      <c r="O597"/>
      <c r="P597"/>
      <c r="Q597"/>
      <c r="R597"/>
      <c r="S597"/>
      <c r="T597"/>
      <c r="V597" s="24"/>
      <c r="W597" s="16" t="str">
        <f>IFERROR(VLOOKUP(CLEAN($V597),'All Security Controls'!A:I, 2, FALSE),"---")</f>
        <v>---</v>
      </c>
      <c r="X597" s="14" t="str">
        <f>IFERROR(VLOOKUP(CLEAN($V597),'All Security Controls'!$A:$I, 4, FALSE),"---")</f>
        <v>---</v>
      </c>
      <c r="Y597" s="14" t="str">
        <f>IFERROR(VLOOKUP(CLEAN($V597),'All Security Controls'!$A:$I,5, FALSE),"---")</f>
        <v>---</v>
      </c>
      <c r="Z597" s="14" t="str">
        <f>IFERROR(VLOOKUP(CLEAN($V597),'All Security Controls'!$A:$I,6, FALSE),"---")</f>
        <v>---</v>
      </c>
      <c r="AA597" s="14" t="str">
        <f>IFERROR(VLOOKUP(CLEAN($V597),'All Security Controls'!$A:$I,7, FALSE),"---")</f>
        <v>---</v>
      </c>
      <c r="AB597" s="14" t="str">
        <f>IFERROR(VLOOKUP(CLEAN($V597),'All Security Controls'!$A:$I,8, FALSE),"---")</f>
        <v>---</v>
      </c>
      <c r="AC597" s="14" t="str">
        <f>IFERROR(VLOOKUP(CLEAN($V597),'All Security Controls'!$A:$I,9, FALSE),"---")</f>
        <v>---</v>
      </c>
      <c r="AD597" s="26">
        <v>596</v>
      </c>
    </row>
    <row r="598" spans="1:30" s="10" customFormat="1" thickBot="1">
      <c r="A598"/>
      <c r="B598"/>
      <c r="C598"/>
      <c r="D598"/>
      <c r="E598"/>
      <c r="F598"/>
      <c r="G598"/>
      <c r="H598"/>
      <c r="I598"/>
      <c r="J598"/>
      <c r="K598"/>
      <c r="L598"/>
      <c r="M598"/>
      <c r="N598"/>
      <c r="O598"/>
      <c r="P598"/>
      <c r="Q598"/>
      <c r="R598"/>
      <c r="S598"/>
      <c r="T598"/>
      <c r="V598" s="24"/>
      <c r="W598" s="16" t="str">
        <f>IFERROR(VLOOKUP(CLEAN($V598),'All Security Controls'!A:I, 2, FALSE),"---")</f>
        <v>---</v>
      </c>
      <c r="X598" s="14" t="str">
        <f>IFERROR(VLOOKUP(CLEAN($V598),'All Security Controls'!$A:$I, 4, FALSE),"---")</f>
        <v>---</v>
      </c>
      <c r="Y598" s="14" t="str">
        <f>IFERROR(VLOOKUP(CLEAN($V598),'All Security Controls'!$A:$I,5, FALSE),"---")</f>
        <v>---</v>
      </c>
      <c r="Z598" s="14" t="str">
        <f>IFERROR(VLOOKUP(CLEAN($V598),'All Security Controls'!$A:$I,6, FALSE),"---")</f>
        <v>---</v>
      </c>
      <c r="AA598" s="14" t="str">
        <f>IFERROR(VLOOKUP(CLEAN($V598),'All Security Controls'!$A:$I,7, FALSE),"---")</f>
        <v>---</v>
      </c>
      <c r="AB598" s="14" t="str">
        <f>IFERROR(VLOOKUP(CLEAN($V598),'All Security Controls'!$A:$I,8, FALSE),"---")</f>
        <v>---</v>
      </c>
      <c r="AC598" s="14" t="str">
        <f>IFERROR(VLOOKUP(CLEAN($V598),'All Security Controls'!$A:$I,9, FALSE),"---")</f>
        <v>---</v>
      </c>
      <c r="AD598" s="26">
        <v>597</v>
      </c>
    </row>
    <row r="599" spans="1:30" s="10" customFormat="1" thickBot="1">
      <c r="A599"/>
      <c r="B599"/>
      <c r="C599"/>
      <c r="D599"/>
      <c r="E599"/>
      <c r="F599"/>
      <c r="G599"/>
      <c r="H599"/>
      <c r="I599"/>
      <c r="J599"/>
      <c r="K599"/>
      <c r="L599"/>
      <c r="M599"/>
      <c r="N599"/>
      <c r="O599"/>
      <c r="P599"/>
      <c r="Q599"/>
      <c r="R599"/>
      <c r="S599"/>
      <c r="T599"/>
      <c r="V599" s="24"/>
      <c r="W599" s="16" t="str">
        <f>IFERROR(VLOOKUP(CLEAN($V599),'All Security Controls'!A:I, 2, FALSE),"---")</f>
        <v>---</v>
      </c>
      <c r="X599" s="14" t="str">
        <f>IFERROR(VLOOKUP(CLEAN($V599),'All Security Controls'!$A:$I, 4, FALSE),"---")</f>
        <v>---</v>
      </c>
      <c r="Y599" s="14" t="str">
        <f>IFERROR(VLOOKUP(CLEAN($V599),'All Security Controls'!$A:$I,5, FALSE),"---")</f>
        <v>---</v>
      </c>
      <c r="Z599" s="14" t="str">
        <f>IFERROR(VLOOKUP(CLEAN($V599),'All Security Controls'!$A:$I,6, FALSE),"---")</f>
        <v>---</v>
      </c>
      <c r="AA599" s="14" t="str">
        <f>IFERROR(VLOOKUP(CLEAN($V599),'All Security Controls'!$A:$I,7, FALSE),"---")</f>
        <v>---</v>
      </c>
      <c r="AB599" s="14" t="str">
        <f>IFERROR(VLOOKUP(CLEAN($V599),'All Security Controls'!$A:$I,8, FALSE),"---")</f>
        <v>---</v>
      </c>
      <c r="AC599" s="14" t="str">
        <f>IFERROR(VLOOKUP(CLEAN($V599),'All Security Controls'!$A:$I,9, FALSE),"---")</f>
        <v>---</v>
      </c>
      <c r="AD599" s="26">
        <v>598</v>
      </c>
    </row>
    <row r="600" spans="1:30" s="10" customFormat="1" thickBot="1">
      <c r="A600"/>
      <c r="B600"/>
      <c r="C600"/>
      <c r="D600"/>
      <c r="E600"/>
      <c r="F600"/>
      <c r="G600"/>
      <c r="H600"/>
      <c r="I600"/>
      <c r="J600"/>
      <c r="K600"/>
      <c r="L600"/>
      <c r="M600"/>
      <c r="N600"/>
      <c r="O600"/>
      <c r="P600"/>
      <c r="Q600"/>
      <c r="R600"/>
      <c r="S600"/>
      <c r="T600"/>
      <c r="V600" s="24"/>
      <c r="W600" s="16" t="str">
        <f>IFERROR(VLOOKUP(CLEAN($V600),'All Security Controls'!A:I, 2, FALSE),"---")</f>
        <v>---</v>
      </c>
      <c r="X600" s="14" t="str">
        <f>IFERROR(VLOOKUP(CLEAN($V600),'All Security Controls'!$A:$I, 4, FALSE),"---")</f>
        <v>---</v>
      </c>
      <c r="Y600" s="14" t="str">
        <f>IFERROR(VLOOKUP(CLEAN($V600),'All Security Controls'!$A:$I,5, FALSE),"---")</f>
        <v>---</v>
      </c>
      <c r="Z600" s="14" t="str">
        <f>IFERROR(VLOOKUP(CLEAN($V600),'All Security Controls'!$A:$I,6, FALSE),"---")</f>
        <v>---</v>
      </c>
      <c r="AA600" s="14" t="str">
        <f>IFERROR(VLOOKUP(CLEAN($V600),'All Security Controls'!$A:$I,7, FALSE),"---")</f>
        <v>---</v>
      </c>
      <c r="AB600" s="14" t="str">
        <f>IFERROR(VLOOKUP(CLEAN($V600),'All Security Controls'!$A:$I,8, FALSE),"---")</f>
        <v>---</v>
      </c>
      <c r="AC600" s="14" t="str">
        <f>IFERROR(VLOOKUP(CLEAN($V600),'All Security Controls'!$A:$I,9, FALSE),"---")</f>
        <v>---</v>
      </c>
      <c r="AD600" s="26">
        <v>599</v>
      </c>
    </row>
    <row r="601" spans="1:30" s="10" customFormat="1" thickBot="1">
      <c r="A601"/>
      <c r="B601"/>
      <c r="C601"/>
      <c r="D601"/>
      <c r="E601"/>
      <c r="F601"/>
      <c r="G601"/>
      <c r="H601"/>
      <c r="I601"/>
      <c r="J601"/>
      <c r="K601"/>
      <c r="L601"/>
      <c r="M601"/>
      <c r="N601"/>
      <c r="O601"/>
      <c r="P601"/>
      <c r="Q601"/>
      <c r="R601"/>
      <c r="S601"/>
      <c r="T601"/>
      <c r="V601" s="24"/>
      <c r="W601" s="16" t="str">
        <f>IFERROR(VLOOKUP(CLEAN($V601),'All Security Controls'!A:I, 2, FALSE),"---")</f>
        <v>---</v>
      </c>
      <c r="X601" s="14" t="str">
        <f>IFERROR(VLOOKUP(CLEAN($V601),'All Security Controls'!$A:$I, 4, FALSE),"---")</f>
        <v>---</v>
      </c>
      <c r="Y601" s="14" t="str">
        <f>IFERROR(VLOOKUP(CLEAN($V601),'All Security Controls'!$A:$I,5, FALSE),"---")</f>
        <v>---</v>
      </c>
      <c r="Z601" s="14" t="str">
        <f>IFERROR(VLOOKUP(CLEAN($V601),'All Security Controls'!$A:$I,6, FALSE),"---")</f>
        <v>---</v>
      </c>
      <c r="AA601" s="14" t="str">
        <f>IFERROR(VLOOKUP(CLEAN($V601),'All Security Controls'!$A:$I,7, FALSE),"---")</f>
        <v>---</v>
      </c>
      <c r="AB601" s="14" t="str">
        <f>IFERROR(VLOOKUP(CLEAN($V601),'All Security Controls'!$A:$I,8, FALSE),"---")</f>
        <v>---</v>
      </c>
      <c r="AC601" s="14" t="str">
        <f>IFERROR(VLOOKUP(CLEAN($V601),'All Security Controls'!$A:$I,9, FALSE),"---")</f>
        <v>---</v>
      </c>
      <c r="AD601" s="26">
        <v>600</v>
      </c>
    </row>
    <row r="602" spans="1:30" s="10" customFormat="1" thickBot="1">
      <c r="A602"/>
      <c r="B602"/>
      <c r="C602"/>
      <c r="D602"/>
      <c r="E602"/>
      <c r="F602"/>
      <c r="G602"/>
      <c r="H602"/>
      <c r="I602"/>
      <c r="J602"/>
      <c r="K602"/>
      <c r="L602"/>
      <c r="M602"/>
      <c r="N602"/>
      <c r="O602"/>
      <c r="P602"/>
      <c r="Q602"/>
      <c r="R602"/>
      <c r="S602"/>
      <c r="T602"/>
      <c r="V602" s="24"/>
      <c r="W602" s="16" t="str">
        <f>IFERROR(VLOOKUP(CLEAN($V602),'All Security Controls'!A:I, 2, FALSE),"---")</f>
        <v>---</v>
      </c>
      <c r="X602" s="14" t="str">
        <f>IFERROR(VLOOKUP(CLEAN($V602),'All Security Controls'!$A:$I, 4, FALSE),"---")</f>
        <v>---</v>
      </c>
      <c r="Y602" s="14" t="str">
        <f>IFERROR(VLOOKUP(CLEAN($V602),'All Security Controls'!$A:$I,5, FALSE),"---")</f>
        <v>---</v>
      </c>
      <c r="Z602" s="14" t="str">
        <f>IFERROR(VLOOKUP(CLEAN($V602),'All Security Controls'!$A:$I,6, FALSE),"---")</f>
        <v>---</v>
      </c>
      <c r="AA602" s="14" t="str">
        <f>IFERROR(VLOOKUP(CLEAN($V602),'All Security Controls'!$A:$I,7, FALSE),"---")</f>
        <v>---</v>
      </c>
      <c r="AB602" s="14" t="str">
        <f>IFERROR(VLOOKUP(CLEAN($V602),'All Security Controls'!$A:$I,8, FALSE),"---")</f>
        <v>---</v>
      </c>
      <c r="AC602" s="14" t="str">
        <f>IFERROR(VLOOKUP(CLEAN($V602),'All Security Controls'!$A:$I,9, FALSE),"---")</f>
        <v>---</v>
      </c>
      <c r="AD602" s="26">
        <v>601</v>
      </c>
    </row>
    <row r="603" spans="1:30" s="10" customFormat="1" thickBot="1">
      <c r="A603"/>
      <c r="B603"/>
      <c r="C603"/>
      <c r="D603"/>
      <c r="E603"/>
      <c r="F603"/>
      <c r="G603"/>
      <c r="H603"/>
      <c r="I603"/>
      <c r="J603"/>
      <c r="K603"/>
      <c r="L603"/>
      <c r="M603"/>
      <c r="N603"/>
      <c r="O603"/>
      <c r="P603"/>
      <c r="Q603"/>
      <c r="R603"/>
      <c r="S603"/>
      <c r="T603"/>
      <c r="V603" s="24"/>
      <c r="W603" s="16" t="str">
        <f>IFERROR(VLOOKUP(CLEAN($V603),'All Security Controls'!A:I, 2, FALSE),"---")</f>
        <v>---</v>
      </c>
      <c r="X603" s="14" t="str">
        <f>IFERROR(VLOOKUP(CLEAN($V603),'All Security Controls'!$A:$I, 4, FALSE),"---")</f>
        <v>---</v>
      </c>
      <c r="Y603" s="14" t="str">
        <f>IFERROR(VLOOKUP(CLEAN($V603),'All Security Controls'!$A:$I,5, FALSE),"---")</f>
        <v>---</v>
      </c>
      <c r="Z603" s="14" t="str">
        <f>IFERROR(VLOOKUP(CLEAN($V603),'All Security Controls'!$A:$I,6, FALSE),"---")</f>
        <v>---</v>
      </c>
      <c r="AA603" s="14" t="str">
        <f>IFERROR(VLOOKUP(CLEAN($V603),'All Security Controls'!$A:$I,7, FALSE),"---")</f>
        <v>---</v>
      </c>
      <c r="AB603" s="14" t="str">
        <f>IFERROR(VLOOKUP(CLEAN($V603),'All Security Controls'!$A:$I,8, FALSE),"---")</f>
        <v>---</v>
      </c>
      <c r="AC603" s="14" t="str">
        <f>IFERROR(VLOOKUP(CLEAN($V603),'All Security Controls'!$A:$I,9, FALSE),"---")</f>
        <v>---</v>
      </c>
      <c r="AD603" s="26">
        <v>602</v>
      </c>
    </row>
    <row r="604" spans="1:30" s="10" customFormat="1" thickBot="1">
      <c r="A604"/>
      <c r="B604"/>
      <c r="C604"/>
      <c r="D604"/>
      <c r="E604"/>
      <c r="F604"/>
      <c r="G604"/>
      <c r="H604"/>
      <c r="I604"/>
      <c r="J604"/>
      <c r="K604"/>
      <c r="L604"/>
      <c r="M604"/>
      <c r="N604"/>
      <c r="O604"/>
      <c r="P604"/>
      <c r="Q604"/>
      <c r="R604"/>
      <c r="S604"/>
      <c r="T604"/>
      <c r="V604" s="24"/>
      <c r="W604" s="16" t="str">
        <f>IFERROR(VLOOKUP(CLEAN($V604),'All Security Controls'!A:I, 2, FALSE),"---")</f>
        <v>---</v>
      </c>
      <c r="X604" s="14" t="str">
        <f>IFERROR(VLOOKUP(CLEAN($V604),'All Security Controls'!$A:$I, 4, FALSE),"---")</f>
        <v>---</v>
      </c>
      <c r="Y604" s="14" t="str">
        <f>IFERROR(VLOOKUP(CLEAN($V604),'All Security Controls'!$A:$I,5, FALSE),"---")</f>
        <v>---</v>
      </c>
      <c r="Z604" s="14" t="str">
        <f>IFERROR(VLOOKUP(CLEAN($V604),'All Security Controls'!$A:$I,6, FALSE),"---")</f>
        <v>---</v>
      </c>
      <c r="AA604" s="14" t="str">
        <f>IFERROR(VLOOKUP(CLEAN($V604),'All Security Controls'!$A:$I,7, FALSE),"---")</f>
        <v>---</v>
      </c>
      <c r="AB604" s="14" t="str">
        <f>IFERROR(VLOOKUP(CLEAN($V604),'All Security Controls'!$A:$I,8, FALSE),"---")</f>
        <v>---</v>
      </c>
      <c r="AC604" s="14" t="str">
        <f>IFERROR(VLOOKUP(CLEAN($V604),'All Security Controls'!$A:$I,9, FALSE),"---")</f>
        <v>---</v>
      </c>
      <c r="AD604" s="26">
        <v>603</v>
      </c>
    </row>
    <row r="605" spans="1:30" s="10" customFormat="1" thickBot="1">
      <c r="A605"/>
      <c r="B605"/>
      <c r="C605"/>
      <c r="D605"/>
      <c r="E605"/>
      <c r="F605"/>
      <c r="G605"/>
      <c r="H605"/>
      <c r="I605"/>
      <c r="J605"/>
      <c r="K605"/>
      <c r="L605"/>
      <c r="M605"/>
      <c r="N605"/>
      <c r="O605"/>
      <c r="P605"/>
      <c r="Q605"/>
      <c r="R605"/>
      <c r="S605"/>
      <c r="T605"/>
      <c r="V605" s="24"/>
      <c r="W605" s="16" t="str">
        <f>IFERROR(VLOOKUP(CLEAN($V605),'All Security Controls'!A:I, 2, FALSE),"---")</f>
        <v>---</v>
      </c>
      <c r="X605" s="14" t="str">
        <f>IFERROR(VLOOKUP(CLEAN($V605),'All Security Controls'!$A:$I, 4, FALSE),"---")</f>
        <v>---</v>
      </c>
      <c r="Y605" s="14" t="str">
        <f>IFERROR(VLOOKUP(CLEAN($V605),'All Security Controls'!$A:$I,5, FALSE),"---")</f>
        <v>---</v>
      </c>
      <c r="Z605" s="14" t="str">
        <f>IFERROR(VLOOKUP(CLEAN($V605),'All Security Controls'!$A:$I,6, FALSE),"---")</f>
        <v>---</v>
      </c>
      <c r="AA605" s="14" t="str">
        <f>IFERROR(VLOOKUP(CLEAN($V605),'All Security Controls'!$A:$I,7, FALSE),"---")</f>
        <v>---</v>
      </c>
      <c r="AB605" s="14" t="str">
        <f>IFERROR(VLOOKUP(CLEAN($V605),'All Security Controls'!$A:$I,8, FALSE),"---")</f>
        <v>---</v>
      </c>
      <c r="AC605" s="14" t="str">
        <f>IFERROR(VLOOKUP(CLEAN($V605),'All Security Controls'!$A:$I,9, FALSE),"---")</f>
        <v>---</v>
      </c>
      <c r="AD605" s="26">
        <v>604</v>
      </c>
    </row>
    <row r="606" spans="1:30" s="10" customFormat="1" thickBot="1">
      <c r="A606"/>
      <c r="B606"/>
      <c r="C606"/>
      <c r="D606"/>
      <c r="E606"/>
      <c r="F606"/>
      <c r="G606"/>
      <c r="H606"/>
      <c r="I606"/>
      <c r="J606"/>
      <c r="K606"/>
      <c r="L606"/>
      <c r="M606"/>
      <c r="N606"/>
      <c r="O606"/>
      <c r="P606"/>
      <c r="Q606"/>
      <c r="R606"/>
      <c r="S606"/>
      <c r="T606"/>
      <c r="V606" s="24"/>
      <c r="W606" s="16" t="str">
        <f>IFERROR(VLOOKUP(CLEAN($V606),'All Security Controls'!A:I, 2, FALSE),"---")</f>
        <v>---</v>
      </c>
      <c r="X606" s="14" t="str">
        <f>IFERROR(VLOOKUP(CLEAN($V606),'All Security Controls'!$A:$I, 4, FALSE),"---")</f>
        <v>---</v>
      </c>
      <c r="Y606" s="14" t="str">
        <f>IFERROR(VLOOKUP(CLEAN($V606),'All Security Controls'!$A:$I,5, FALSE),"---")</f>
        <v>---</v>
      </c>
      <c r="Z606" s="14" t="str">
        <f>IFERROR(VLOOKUP(CLEAN($V606),'All Security Controls'!$A:$I,6, FALSE),"---")</f>
        <v>---</v>
      </c>
      <c r="AA606" s="14" t="str">
        <f>IFERROR(VLOOKUP(CLEAN($V606),'All Security Controls'!$A:$I,7, FALSE),"---")</f>
        <v>---</v>
      </c>
      <c r="AB606" s="14" t="str">
        <f>IFERROR(VLOOKUP(CLEAN($V606),'All Security Controls'!$A:$I,8, FALSE),"---")</f>
        <v>---</v>
      </c>
      <c r="AC606" s="14" t="str">
        <f>IFERROR(VLOOKUP(CLEAN($V606),'All Security Controls'!$A:$I,9, FALSE),"---")</f>
        <v>---</v>
      </c>
      <c r="AD606" s="26">
        <v>605</v>
      </c>
    </row>
    <row r="607" spans="1:30" s="10" customFormat="1" thickBot="1">
      <c r="A607"/>
      <c r="B607"/>
      <c r="C607"/>
      <c r="D607"/>
      <c r="E607"/>
      <c r="F607"/>
      <c r="G607"/>
      <c r="H607"/>
      <c r="I607"/>
      <c r="J607"/>
      <c r="K607"/>
      <c r="L607"/>
      <c r="M607"/>
      <c r="N607"/>
      <c r="O607"/>
      <c r="P607"/>
      <c r="Q607"/>
      <c r="R607"/>
      <c r="S607"/>
      <c r="T607"/>
      <c r="V607" s="24"/>
      <c r="W607" s="16" t="str">
        <f>IFERROR(VLOOKUP(CLEAN($V607),'All Security Controls'!A:I, 2, FALSE),"---")</f>
        <v>---</v>
      </c>
      <c r="X607" s="14" t="str">
        <f>IFERROR(VLOOKUP(CLEAN($V607),'All Security Controls'!$A:$I, 4, FALSE),"---")</f>
        <v>---</v>
      </c>
      <c r="Y607" s="14" t="str">
        <f>IFERROR(VLOOKUP(CLEAN($V607),'All Security Controls'!$A:$I,5, FALSE),"---")</f>
        <v>---</v>
      </c>
      <c r="Z607" s="14" t="str">
        <f>IFERROR(VLOOKUP(CLEAN($V607),'All Security Controls'!$A:$I,6, FALSE),"---")</f>
        <v>---</v>
      </c>
      <c r="AA607" s="14" t="str">
        <f>IFERROR(VLOOKUP(CLEAN($V607),'All Security Controls'!$A:$I,7, FALSE),"---")</f>
        <v>---</v>
      </c>
      <c r="AB607" s="14" t="str">
        <f>IFERROR(VLOOKUP(CLEAN($V607),'All Security Controls'!$A:$I,8, FALSE),"---")</f>
        <v>---</v>
      </c>
      <c r="AC607" s="14" t="str">
        <f>IFERROR(VLOOKUP(CLEAN($V607),'All Security Controls'!$A:$I,9, FALSE),"---")</f>
        <v>---</v>
      </c>
      <c r="AD607" s="26">
        <v>606</v>
      </c>
    </row>
    <row r="608" spans="1:30" s="10" customFormat="1" thickBot="1">
      <c r="A608"/>
      <c r="B608"/>
      <c r="C608"/>
      <c r="D608"/>
      <c r="E608"/>
      <c r="F608"/>
      <c r="G608"/>
      <c r="H608"/>
      <c r="I608"/>
      <c r="J608"/>
      <c r="K608"/>
      <c r="L608"/>
      <c r="M608"/>
      <c r="N608"/>
      <c r="O608"/>
      <c r="P608"/>
      <c r="Q608"/>
      <c r="R608"/>
      <c r="S608"/>
      <c r="T608"/>
      <c r="V608" s="24"/>
      <c r="W608" s="16" t="str">
        <f>IFERROR(VLOOKUP(CLEAN($V608),'All Security Controls'!A:I, 2, FALSE),"---")</f>
        <v>---</v>
      </c>
      <c r="X608" s="14" t="str">
        <f>IFERROR(VLOOKUP(CLEAN($V608),'All Security Controls'!$A:$I, 4, FALSE),"---")</f>
        <v>---</v>
      </c>
      <c r="Y608" s="14" t="str">
        <f>IFERROR(VLOOKUP(CLEAN($V608),'All Security Controls'!$A:$I,5, FALSE),"---")</f>
        <v>---</v>
      </c>
      <c r="Z608" s="14" t="str">
        <f>IFERROR(VLOOKUP(CLEAN($V608),'All Security Controls'!$A:$I,6, FALSE),"---")</f>
        <v>---</v>
      </c>
      <c r="AA608" s="14" t="str">
        <f>IFERROR(VLOOKUP(CLEAN($V608),'All Security Controls'!$A:$I,7, FALSE),"---")</f>
        <v>---</v>
      </c>
      <c r="AB608" s="14" t="str">
        <f>IFERROR(VLOOKUP(CLEAN($V608),'All Security Controls'!$A:$I,8, FALSE),"---")</f>
        <v>---</v>
      </c>
      <c r="AC608" s="14" t="str">
        <f>IFERROR(VLOOKUP(CLEAN($V608),'All Security Controls'!$A:$I,9, FALSE),"---")</f>
        <v>---</v>
      </c>
      <c r="AD608" s="26">
        <v>607</v>
      </c>
    </row>
    <row r="609" spans="1:30" s="10" customFormat="1" thickBot="1">
      <c r="A609"/>
      <c r="B609"/>
      <c r="C609"/>
      <c r="D609"/>
      <c r="E609"/>
      <c r="F609"/>
      <c r="G609"/>
      <c r="H609"/>
      <c r="I609"/>
      <c r="J609"/>
      <c r="K609"/>
      <c r="L609"/>
      <c r="M609"/>
      <c r="N609"/>
      <c r="O609"/>
      <c r="P609"/>
      <c r="Q609"/>
      <c r="R609"/>
      <c r="S609"/>
      <c r="T609"/>
      <c r="V609" s="24"/>
      <c r="W609" s="16" t="str">
        <f>IFERROR(VLOOKUP(CLEAN($V609),'All Security Controls'!A:I, 2, FALSE),"---")</f>
        <v>---</v>
      </c>
      <c r="X609" s="14" t="str">
        <f>IFERROR(VLOOKUP(CLEAN($V609),'All Security Controls'!$A:$I, 4, FALSE),"---")</f>
        <v>---</v>
      </c>
      <c r="Y609" s="14" t="str">
        <f>IFERROR(VLOOKUP(CLEAN($V609),'All Security Controls'!$A:$I,5, FALSE),"---")</f>
        <v>---</v>
      </c>
      <c r="Z609" s="14" t="str">
        <f>IFERROR(VLOOKUP(CLEAN($V609),'All Security Controls'!$A:$I,6, FALSE),"---")</f>
        <v>---</v>
      </c>
      <c r="AA609" s="14" t="str">
        <f>IFERROR(VLOOKUP(CLEAN($V609),'All Security Controls'!$A:$I,7, FALSE),"---")</f>
        <v>---</v>
      </c>
      <c r="AB609" s="14" t="str">
        <f>IFERROR(VLOOKUP(CLEAN($V609),'All Security Controls'!$A:$I,8, FALSE),"---")</f>
        <v>---</v>
      </c>
      <c r="AC609" s="14" t="str">
        <f>IFERROR(VLOOKUP(CLEAN($V609),'All Security Controls'!$A:$I,9, FALSE),"---")</f>
        <v>---</v>
      </c>
      <c r="AD609" s="26">
        <v>608</v>
      </c>
    </row>
    <row r="610" spans="1:30" s="10" customFormat="1" thickBot="1">
      <c r="A610"/>
      <c r="B610"/>
      <c r="C610"/>
      <c r="D610"/>
      <c r="E610"/>
      <c r="F610"/>
      <c r="G610"/>
      <c r="H610"/>
      <c r="I610"/>
      <c r="J610"/>
      <c r="K610"/>
      <c r="L610"/>
      <c r="M610"/>
      <c r="N610"/>
      <c r="O610"/>
      <c r="P610"/>
      <c r="Q610"/>
      <c r="R610"/>
      <c r="S610"/>
      <c r="T610"/>
      <c r="V610" s="24"/>
      <c r="W610" s="16" t="str">
        <f>IFERROR(VLOOKUP(CLEAN($V610),'All Security Controls'!A:I, 2, FALSE),"---")</f>
        <v>---</v>
      </c>
      <c r="X610" s="14" t="str">
        <f>IFERROR(VLOOKUP(CLEAN($V610),'All Security Controls'!$A:$I, 4, FALSE),"---")</f>
        <v>---</v>
      </c>
      <c r="Y610" s="14" t="str">
        <f>IFERROR(VLOOKUP(CLEAN($V610),'All Security Controls'!$A:$I,5, FALSE),"---")</f>
        <v>---</v>
      </c>
      <c r="Z610" s="14" t="str">
        <f>IFERROR(VLOOKUP(CLEAN($V610),'All Security Controls'!$A:$I,6, FALSE),"---")</f>
        <v>---</v>
      </c>
      <c r="AA610" s="14" t="str">
        <f>IFERROR(VLOOKUP(CLEAN($V610),'All Security Controls'!$A:$I,7, FALSE),"---")</f>
        <v>---</v>
      </c>
      <c r="AB610" s="14" t="str">
        <f>IFERROR(VLOOKUP(CLEAN($V610),'All Security Controls'!$A:$I,8, FALSE),"---")</f>
        <v>---</v>
      </c>
      <c r="AC610" s="14" t="str">
        <f>IFERROR(VLOOKUP(CLEAN($V610),'All Security Controls'!$A:$I,9, FALSE),"---")</f>
        <v>---</v>
      </c>
      <c r="AD610" s="26">
        <v>609</v>
      </c>
    </row>
    <row r="611" spans="1:30" s="10" customFormat="1" thickBot="1">
      <c r="A611"/>
      <c r="B611"/>
      <c r="C611"/>
      <c r="D611"/>
      <c r="E611"/>
      <c r="F611"/>
      <c r="G611"/>
      <c r="H611"/>
      <c r="I611"/>
      <c r="J611"/>
      <c r="K611"/>
      <c r="L611"/>
      <c r="M611"/>
      <c r="N611"/>
      <c r="O611"/>
      <c r="P611"/>
      <c r="Q611"/>
      <c r="R611"/>
      <c r="S611"/>
      <c r="T611"/>
      <c r="V611" s="24"/>
      <c r="W611" s="16" t="str">
        <f>IFERROR(VLOOKUP(CLEAN($V611),'All Security Controls'!A:I, 2, FALSE),"---")</f>
        <v>---</v>
      </c>
      <c r="X611" s="14" t="str">
        <f>IFERROR(VLOOKUP(CLEAN($V611),'All Security Controls'!$A:$I, 4, FALSE),"---")</f>
        <v>---</v>
      </c>
      <c r="Y611" s="14" t="str">
        <f>IFERROR(VLOOKUP(CLEAN($V611),'All Security Controls'!$A:$I,5, FALSE),"---")</f>
        <v>---</v>
      </c>
      <c r="Z611" s="14" t="str">
        <f>IFERROR(VLOOKUP(CLEAN($V611),'All Security Controls'!$A:$I,6, FALSE),"---")</f>
        <v>---</v>
      </c>
      <c r="AA611" s="14" t="str">
        <f>IFERROR(VLOOKUP(CLEAN($V611),'All Security Controls'!$A:$I,7, FALSE),"---")</f>
        <v>---</v>
      </c>
      <c r="AB611" s="14" t="str">
        <f>IFERROR(VLOOKUP(CLEAN($V611),'All Security Controls'!$A:$I,8, FALSE),"---")</f>
        <v>---</v>
      </c>
      <c r="AC611" s="14" t="str">
        <f>IFERROR(VLOOKUP(CLEAN($V611),'All Security Controls'!$A:$I,9, FALSE),"---")</f>
        <v>---</v>
      </c>
      <c r="AD611" s="26">
        <v>610</v>
      </c>
    </row>
    <row r="612" spans="1:30" s="10" customFormat="1" thickBot="1">
      <c r="A612"/>
      <c r="B612"/>
      <c r="C612"/>
      <c r="D612"/>
      <c r="E612"/>
      <c r="F612"/>
      <c r="G612"/>
      <c r="H612"/>
      <c r="I612"/>
      <c r="J612"/>
      <c r="K612"/>
      <c r="L612"/>
      <c r="M612"/>
      <c r="N612"/>
      <c r="O612"/>
      <c r="P612"/>
      <c r="Q612"/>
      <c r="R612"/>
      <c r="S612"/>
      <c r="T612"/>
      <c r="V612" s="24"/>
      <c r="W612" s="16" t="str">
        <f>IFERROR(VLOOKUP(CLEAN($V612),'All Security Controls'!A:I, 2, FALSE),"---")</f>
        <v>---</v>
      </c>
      <c r="X612" s="14" t="str">
        <f>IFERROR(VLOOKUP(CLEAN($V612),'All Security Controls'!$A:$I, 4, FALSE),"---")</f>
        <v>---</v>
      </c>
      <c r="Y612" s="14" t="str">
        <f>IFERROR(VLOOKUP(CLEAN($V612),'All Security Controls'!$A:$I,5, FALSE),"---")</f>
        <v>---</v>
      </c>
      <c r="Z612" s="14" t="str">
        <f>IFERROR(VLOOKUP(CLEAN($V612),'All Security Controls'!$A:$I,6, FALSE),"---")</f>
        <v>---</v>
      </c>
      <c r="AA612" s="14" t="str">
        <f>IFERROR(VLOOKUP(CLEAN($V612),'All Security Controls'!$A:$I,7, FALSE),"---")</f>
        <v>---</v>
      </c>
      <c r="AB612" s="14" t="str">
        <f>IFERROR(VLOOKUP(CLEAN($V612),'All Security Controls'!$A:$I,8, FALSE),"---")</f>
        <v>---</v>
      </c>
      <c r="AC612" s="14" t="str">
        <f>IFERROR(VLOOKUP(CLEAN($V612),'All Security Controls'!$A:$I,9, FALSE),"---")</f>
        <v>---</v>
      </c>
      <c r="AD612" s="26">
        <v>611</v>
      </c>
    </row>
    <row r="613" spans="1:30" s="10" customFormat="1" thickBot="1">
      <c r="A613"/>
      <c r="B613"/>
      <c r="C613"/>
      <c r="D613"/>
      <c r="E613"/>
      <c r="F613"/>
      <c r="G613"/>
      <c r="H613"/>
      <c r="I613"/>
      <c r="J613"/>
      <c r="K613"/>
      <c r="L613"/>
      <c r="M613"/>
      <c r="N613"/>
      <c r="O613"/>
      <c r="P613"/>
      <c r="Q613"/>
      <c r="R613"/>
      <c r="S613"/>
      <c r="T613"/>
      <c r="V613" s="24"/>
      <c r="W613" s="16" t="str">
        <f>IFERROR(VLOOKUP(CLEAN($V613),'All Security Controls'!A:I, 2, FALSE),"---")</f>
        <v>---</v>
      </c>
      <c r="X613" s="14" t="str">
        <f>IFERROR(VLOOKUP(CLEAN($V613),'All Security Controls'!$A:$I, 4, FALSE),"---")</f>
        <v>---</v>
      </c>
      <c r="Y613" s="14" t="str">
        <f>IFERROR(VLOOKUP(CLEAN($V613),'All Security Controls'!$A:$I,5, FALSE),"---")</f>
        <v>---</v>
      </c>
      <c r="Z613" s="14" t="str">
        <f>IFERROR(VLOOKUP(CLEAN($V613),'All Security Controls'!$A:$I,6, FALSE),"---")</f>
        <v>---</v>
      </c>
      <c r="AA613" s="14" t="str">
        <f>IFERROR(VLOOKUP(CLEAN($V613),'All Security Controls'!$A:$I,7, FALSE),"---")</f>
        <v>---</v>
      </c>
      <c r="AB613" s="14" t="str">
        <f>IFERROR(VLOOKUP(CLEAN($V613),'All Security Controls'!$A:$I,8, FALSE),"---")</f>
        <v>---</v>
      </c>
      <c r="AC613" s="14" t="str">
        <f>IFERROR(VLOOKUP(CLEAN($V613),'All Security Controls'!$A:$I,9, FALSE),"---")</f>
        <v>---</v>
      </c>
      <c r="AD613" s="26">
        <v>612</v>
      </c>
    </row>
    <row r="614" spans="1:30" s="10" customFormat="1" thickBot="1">
      <c r="A614"/>
      <c r="B614"/>
      <c r="C614"/>
      <c r="D614"/>
      <c r="E614"/>
      <c r="F614"/>
      <c r="G614"/>
      <c r="H614"/>
      <c r="I614"/>
      <c r="J614"/>
      <c r="K614"/>
      <c r="L614"/>
      <c r="M614"/>
      <c r="N614"/>
      <c r="O614"/>
      <c r="P614"/>
      <c r="Q614"/>
      <c r="R614"/>
      <c r="S614"/>
      <c r="T614"/>
      <c r="V614" s="24"/>
      <c r="W614" s="16" t="str">
        <f>IFERROR(VLOOKUP(CLEAN($V614),'All Security Controls'!A:I, 2, FALSE),"---")</f>
        <v>---</v>
      </c>
      <c r="X614" s="14" t="str">
        <f>IFERROR(VLOOKUP(CLEAN($V614),'All Security Controls'!$A:$I, 4, FALSE),"---")</f>
        <v>---</v>
      </c>
      <c r="Y614" s="14" t="str">
        <f>IFERROR(VLOOKUP(CLEAN($V614),'All Security Controls'!$A:$I,5, FALSE),"---")</f>
        <v>---</v>
      </c>
      <c r="Z614" s="14" t="str">
        <f>IFERROR(VLOOKUP(CLEAN($V614),'All Security Controls'!$A:$I,6, FALSE),"---")</f>
        <v>---</v>
      </c>
      <c r="AA614" s="14" t="str">
        <f>IFERROR(VLOOKUP(CLEAN($V614),'All Security Controls'!$A:$I,7, FALSE),"---")</f>
        <v>---</v>
      </c>
      <c r="AB614" s="14" t="str">
        <f>IFERROR(VLOOKUP(CLEAN($V614),'All Security Controls'!$A:$I,8, FALSE),"---")</f>
        <v>---</v>
      </c>
      <c r="AC614" s="14" t="str">
        <f>IFERROR(VLOOKUP(CLEAN($V614),'All Security Controls'!$A:$I,9, FALSE),"---")</f>
        <v>---</v>
      </c>
      <c r="AD614" s="26">
        <v>613</v>
      </c>
    </row>
    <row r="615" spans="1:30" s="10" customFormat="1" thickBot="1">
      <c r="A615"/>
      <c r="B615"/>
      <c r="C615"/>
      <c r="D615"/>
      <c r="E615"/>
      <c r="F615"/>
      <c r="G615"/>
      <c r="H615"/>
      <c r="I615"/>
      <c r="J615"/>
      <c r="K615"/>
      <c r="L615"/>
      <c r="M615"/>
      <c r="N615"/>
      <c r="O615"/>
      <c r="P615"/>
      <c r="Q615"/>
      <c r="R615"/>
      <c r="S615"/>
      <c r="T615"/>
      <c r="V615" s="24"/>
      <c r="W615" s="16" t="str">
        <f>IFERROR(VLOOKUP(CLEAN($V615),'All Security Controls'!A:I, 2, FALSE),"---")</f>
        <v>---</v>
      </c>
      <c r="X615" s="14" t="str">
        <f>IFERROR(VLOOKUP(CLEAN($V615),'All Security Controls'!$A:$I, 4, FALSE),"---")</f>
        <v>---</v>
      </c>
      <c r="Y615" s="14" t="str">
        <f>IFERROR(VLOOKUP(CLEAN($V615),'All Security Controls'!$A:$I,5, FALSE),"---")</f>
        <v>---</v>
      </c>
      <c r="Z615" s="14" t="str">
        <f>IFERROR(VLOOKUP(CLEAN($V615),'All Security Controls'!$A:$I,6, FALSE),"---")</f>
        <v>---</v>
      </c>
      <c r="AA615" s="14" t="str">
        <f>IFERROR(VLOOKUP(CLEAN($V615),'All Security Controls'!$A:$I,7, FALSE),"---")</f>
        <v>---</v>
      </c>
      <c r="AB615" s="14" t="str">
        <f>IFERROR(VLOOKUP(CLEAN($V615),'All Security Controls'!$A:$I,8, FALSE),"---")</f>
        <v>---</v>
      </c>
      <c r="AC615" s="14" t="str">
        <f>IFERROR(VLOOKUP(CLEAN($V615),'All Security Controls'!$A:$I,9, FALSE),"---")</f>
        <v>---</v>
      </c>
      <c r="AD615" s="26">
        <v>614</v>
      </c>
    </row>
    <row r="616" spans="1:30" s="10" customFormat="1" thickBot="1">
      <c r="A616"/>
      <c r="B616"/>
      <c r="C616"/>
      <c r="D616"/>
      <c r="E616"/>
      <c r="F616"/>
      <c r="G616"/>
      <c r="H616"/>
      <c r="I616"/>
      <c r="J616"/>
      <c r="K616"/>
      <c r="L616"/>
      <c r="M616"/>
      <c r="N616"/>
      <c r="O616"/>
      <c r="P616"/>
      <c r="Q616"/>
      <c r="R616"/>
      <c r="S616"/>
      <c r="T616"/>
      <c r="V616" s="24"/>
      <c r="W616" s="16" t="str">
        <f>IFERROR(VLOOKUP(CLEAN($V616),'All Security Controls'!A:I, 2, FALSE),"---")</f>
        <v>---</v>
      </c>
      <c r="X616" s="14" t="str">
        <f>IFERROR(VLOOKUP(CLEAN($V616),'All Security Controls'!$A:$I, 4, FALSE),"---")</f>
        <v>---</v>
      </c>
      <c r="Y616" s="14" t="str">
        <f>IFERROR(VLOOKUP(CLEAN($V616),'All Security Controls'!$A:$I,5, FALSE),"---")</f>
        <v>---</v>
      </c>
      <c r="Z616" s="14" t="str">
        <f>IFERROR(VLOOKUP(CLEAN($V616),'All Security Controls'!$A:$I,6, FALSE),"---")</f>
        <v>---</v>
      </c>
      <c r="AA616" s="14" t="str">
        <f>IFERROR(VLOOKUP(CLEAN($V616),'All Security Controls'!$A:$I,7, FALSE),"---")</f>
        <v>---</v>
      </c>
      <c r="AB616" s="14" t="str">
        <f>IFERROR(VLOOKUP(CLEAN($V616),'All Security Controls'!$A:$I,8, FALSE),"---")</f>
        <v>---</v>
      </c>
      <c r="AC616" s="14" t="str">
        <f>IFERROR(VLOOKUP(CLEAN($V616),'All Security Controls'!$A:$I,9, FALSE),"---")</f>
        <v>---</v>
      </c>
      <c r="AD616" s="26">
        <v>615</v>
      </c>
    </row>
    <row r="617" spans="1:30" s="10" customFormat="1" thickBot="1">
      <c r="A617"/>
      <c r="B617"/>
      <c r="C617"/>
      <c r="D617"/>
      <c r="E617"/>
      <c r="F617"/>
      <c r="G617"/>
      <c r="H617"/>
      <c r="I617"/>
      <c r="J617"/>
      <c r="K617"/>
      <c r="L617"/>
      <c r="M617"/>
      <c r="N617"/>
      <c r="O617"/>
      <c r="P617"/>
      <c r="Q617"/>
      <c r="R617"/>
      <c r="S617"/>
      <c r="T617"/>
      <c r="V617" s="24"/>
      <c r="W617" s="16" t="str">
        <f>IFERROR(VLOOKUP(CLEAN($V617),'All Security Controls'!A:I, 2, FALSE),"---")</f>
        <v>---</v>
      </c>
      <c r="X617" s="14" t="str">
        <f>IFERROR(VLOOKUP(CLEAN($V617),'All Security Controls'!$A:$I, 4, FALSE),"---")</f>
        <v>---</v>
      </c>
      <c r="Y617" s="14" t="str">
        <f>IFERROR(VLOOKUP(CLEAN($V617),'All Security Controls'!$A:$I,5, FALSE),"---")</f>
        <v>---</v>
      </c>
      <c r="Z617" s="14" t="str">
        <f>IFERROR(VLOOKUP(CLEAN($V617),'All Security Controls'!$A:$I,6, FALSE),"---")</f>
        <v>---</v>
      </c>
      <c r="AA617" s="14" t="str">
        <f>IFERROR(VLOOKUP(CLEAN($V617),'All Security Controls'!$A:$I,7, FALSE),"---")</f>
        <v>---</v>
      </c>
      <c r="AB617" s="14" t="str">
        <f>IFERROR(VLOOKUP(CLEAN($V617),'All Security Controls'!$A:$I,8, FALSE),"---")</f>
        <v>---</v>
      </c>
      <c r="AC617" s="14" t="str">
        <f>IFERROR(VLOOKUP(CLEAN($V617),'All Security Controls'!$A:$I,9, FALSE),"---")</f>
        <v>---</v>
      </c>
      <c r="AD617" s="26">
        <v>616</v>
      </c>
    </row>
    <row r="618" spans="1:30" s="10" customFormat="1" thickBot="1">
      <c r="A618"/>
      <c r="B618"/>
      <c r="C618"/>
      <c r="D618"/>
      <c r="E618"/>
      <c r="F618"/>
      <c r="G618"/>
      <c r="H618"/>
      <c r="I618"/>
      <c r="J618"/>
      <c r="K618"/>
      <c r="L618"/>
      <c r="M618"/>
      <c r="N618"/>
      <c r="O618"/>
      <c r="P618"/>
      <c r="Q618"/>
      <c r="R618"/>
      <c r="S618"/>
      <c r="T618"/>
      <c r="V618" s="24"/>
      <c r="W618" s="16" t="str">
        <f>IFERROR(VLOOKUP(CLEAN($V618),'All Security Controls'!A:I, 2, FALSE),"---")</f>
        <v>---</v>
      </c>
      <c r="X618" s="14" t="str">
        <f>IFERROR(VLOOKUP(CLEAN($V618),'All Security Controls'!$A:$I, 4, FALSE),"---")</f>
        <v>---</v>
      </c>
      <c r="Y618" s="14" t="str">
        <f>IFERROR(VLOOKUP(CLEAN($V618),'All Security Controls'!$A:$I,5, FALSE),"---")</f>
        <v>---</v>
      </c>
      <c r="Z618" s="14" t="str">
        <f>IFERROR(VLOOKUP(CLEAN($V618),'All Security Controls'!$A:$I,6, FALSE),"---")</f>
        <v>---</v>
      </c>
      <c r="AA618" s="14" t="str">
        <f>IFERROR(VLOOKUP(CLEAN($V618),'All Security Controls'!$A:$I,7, FALSE),"---")</f>
        <v>---</v>
      </c>
      <c r="AB618" s="14" t="str">
        <f>IFERROR(VLOOKUP(CLEAN($V618),'All Security Controls'!$A:$I,8, FALSE),"---")</f>
        <v>---</v>
      </c>
      <c r="AC618" s="14" t="str">
        <f>IFERROR(VLOOKUP(CLEAN($V618),'All Security Controls'!$A:$I,9, FALSE),"---")</f>
        <v>---</v>
      </c>
      <c r="AD618" s="26">
        <v>617</v>
      </c>
    </row>
    <row r="619" spans="1:30" s="10" customFormat="1" thickBot="1">
      <c r="A619"/>
      <c r="B619"/>
      <c r="C619"/>
      <c r="D619"/>
      <c r="E619"/>
      <c r="F619"/>
      <c r="G619"/>
      <c r="H619"/>
      <c r="I619"/>
      <c r="J619"/>
      <c r="K619"/>
      <c r="L619"/>
      <c r="M619"/>
      <c r="N619"/>
      <c r="O619"/>
      <c r="P619"/>
      <c r="Q619"/>
      <c r="R619"/>
      <c r="S619"/>
      <c r="T619"/>
      <c r="V619" s="24"/>
      <c r="W619" s="16" t="str">
        <f>IFERROR(VLOOKUP(CLEAN($V619),'All Security Controls'!A:I, 2, FALSE),"---")</f>
        <v>---</v>
      </c>
      <c r="X619" s="14" t="str">
        <f>IFERROR(VLOOKUP(CLEAN($V619),'All Security Controls'!$A:$I, 4, FALSE),"---")</f>
        <v>---</v>
      </c>
      <c r="Y619" s="14" t="str">
        <f>IFERROR(VLOOKUP(CLEAN($V619),'All Security Controls'!$A:$I,5, FALSE),"---")</f>
        <v>---</v>
      </c>
      <c r="Z619" s="14" t="str">
        <f>IFERROR(VLOOKUP(CLEAN($V619),'All Security Controls'!$A:$I,6, FALSE),"---")</f>
        <v>---</v>
      </c>
      <c r="AA619" s="14" t="str">
        <f>IFERROR(VLOOKUP(CLEAN($V619),'All Security Controls'!$A:$I,7, FALSE),"---")</f>
        <v>---</v>
      </c>
      <c r="AB619" s="14" t="str">
        <f>IFERROR(VLOOKUP(CLEAN($V619),'All Security Controls'!$A:$I,8, FALSE),"---")</f>
        <v>---</v>
      </c>
      <c r="AC619" s="14" t="str">
        <f>IFERROR(VLOOKUP(CLEAN($V619),'All Security Controls'!$A:$I,9, FALSE),"---")</f>
        <v>---</v>
      </c>
      <c r="AD619" s="26">
        <v>618</v>
      </c>
    </row>
    <row r="620" spans="1:30" s="10" customFormat="1" thickBot="1">
      <c r="A620"/>
      <c r="B620"/>
      <c r="C620"/>
      <c r="D620"/>
      <c r="E620"/>
      <c r="F620"/>
      <c r="G620"/>
      <c r="H620"/>
      <c r="I620"/>
      <c r="J620"/>
      <c r="K620"/>
      <c r="L620"/>
      <c r="M620"/>
      <c r="N620"/>
      <c r="O620"/>
      <c r="P620"/>
      <c r="Q620"/>
      <c r="R620"/>
      <c r="S620"/>
      <c r="T620"/>
      <c r="V620" s="24"/>
      <c r="W620" s="16" t="str">
        <f>IFERROR(VLOOKUP(CLEAN($V620),'All Security Controls'!A:I, 2, FALSE),"---")</f>
        <v>---</v>
      </c>
      <c r="X620" s="14" t="str">
        <f>IFERROR(VLOOKUP(CLEAN($V620),'All Security Controls'!$A:$I, 4, FALSE),"---")</f>
        <v>---</v>
      </c>
      <c r="Y620" s="14" t="str">
        <f>IFERROR(VLOOKUP(CLEAN($V620),'All Security Controls'!$A:$I,5, FALSE),"---")</f>
        <v>---</v>
      </c>
      <c r="Z620" s="14" t="str">
        <f>IFERROR(VLOOKUP(CLEAN($V620),'All Security Controls'!$A:$I,6, FALSE),"---")</f>
        <v>---</v>
      </c>
      <c r="AA620" s="14" t="str">
        <f>IFERROR(VLOOKUP(CLEAN($V620),'All Security Controls'!$A:$I,7, FALSE),"---")</f>
        <v>---</v>
      </c>
      <c r="AB620" s="14" t="str">
        <f>IFERROR(VLOOKUP(CLEAN($V620),'All Security Controls'!$A:$I,8, FALSE),"---")</f>
        <v>---</v>
      </c>
      <c r="AC620" s="14" t="str">
        <f>IFERROR(VLOOKUP(CLEAN($V620),'All Security Controls'!$A:$I,9, FALSE),"---")</f>
        <v>---</v>
      </c>
      <c r="AD620" s="26">
        <v>619</v>
      </c>
    </row>
    <row r="621" spans="1:30" s="10" customFormat="1" thickBot="1">
      <c r="A621"/>
      <c r="B621"/>
      <c r="C621"/>
      <c r="D621"/>
      <c r="E621"/>
      <c r="F621"/>
      <c r="G621"/>
      <c r="H621"/>
      <c r="I621"/>
      <c r="J621"/>
      <c r="K621"/>
      <c r="L621"/>
      <c r="M621"/>
      <c r="N621"/>
      <c r="O621"/>
      <c r="P621"/>
      <c r="Q621"/>
      <c r="R621"/>
      <c r="S621"/>
      <c r="T621"/>
      <c r="V621" s="24"/>
      <c r="W621" s="16" t="str">
        <f>IFERROR(VLOOKUP(CLEAN($V621),'All Security Controls'!A:I, 2, FALSE),"---")</f>
        <v>---</v>
      </c>
      <c r="X621" s="14" t="str">
        <f>IFERROR(VLOOKUP(CLEAN($V621),'All Security Controls'!$A:$I, 4, FALSE),"---")</f>
        <v>---</v>
      </c>
      <c r="Y621" s="14" t="str">
        <f>IFERROR(VLOOKUP(CLEAN($V621),'All Security Controls'!$A:$I,5, FALSE),"---")</f>
        <v>---</v>
      </c>
      <c r="Z621" s="14" t="str">
        <f>IFERROR(VLOOKUP(CLEAN($V621),'All Security Controls'!$A:$I,6, FALSE),"---")</f>
        <v>---</v>
      </c>
      <c r="AA621" s="14" t="str">
        <f>IFERROR(VLOOKUP(CLEAN($V621),'All Security Controls'!$A:$I,7, FALSE),"---")</f>
        <v>---</v>
      </c>
      <c r="AB621" s="14" t="str">
        <f>IFERROR(VLOOKUP(CLEAN($V621),'All Security Controls'!$A:$I,8, FALSE),"---")</f>
        <v>---</v>
      </c>
      <c r="AC621" s="14" t="str">
        <f>IFERROR(VLOOKUP(CLEAN($V621),'All Security Controls'!$A:$I,9, FALSE),"---")</f>
        <v>---</v>
      </c>
      <c r="AD621" s="26">
        <v>620</v>
      </c>
    </row>
    <row r="622" spans="1:30" s="10" customFormat="1" thickBot="1">
      <c r="A622"/>
      <c r="B622"/>
      <c r="C622"/>
      <c r="D622"/>
      <c r="E622"/>
      <c r="F622"/>
      <c r="G622"/>
      <c r="H622"/>
      <c r="I622"/>
      <c r="J622"/>
      <c r="K622"/>
      <c r="L622"/>
      <c r="M622"/>
      <c r="N622"/>
      <c r="O622"/>
      <c r="P622"/>
      <c r="Q622"/>
      <c r="R622"/>
      <c r="S622"/>
      <c r="T622"/>
      <c r="V622" s="24"/>
      <c r="W622" s="16" t="str">
        <f>IFERROR(VLOOKUP(CLEAN($V622),'All Security Controls'!A:I, 2, FALSE),"---")</f>
        <v>---</v>
      </c>
      <c r="X622" s="14" t="str">
        <f>IFERROR(VLOOKUP(CLEAN($V622),'All Security Controls'!$A:$I, 4, FALSE),"---")</f>
        <v>---</v>
      </c>
      <c r="Y622" s="14" t="str">
        <f>IFERROR(VLOOKUP(CLEAN($V622),'All Security Controls'!$A:$I,5, FALSE),"---")</f>
        <v>---</v>
      </c>
      <c r="Z622" s="14" t="str">
        <f>IFERROR(VLOOKUP(CLEAN($V622),'All Security Controls'!$A:$I,6, FALSE),"---")</f>
        <v>---</v>
      </c>
      <c r="AA622" s="14" t="str">
        <f>IFERROR(VLOOKUP(CLEAN($V622),'All Security Controls'!$A:$I,7, FALSE),"---")</f>
        <v>---</v>
      </c>
      <c r="AB622" s="14" t="str">
        <f>IFERROR(VLOOKUP(CLEAN($V622),'All Security Controls'!$A:$I,8, FALSE),"---")</f>
        <v>---</v>
      </c>
      <c r="AC622" s="14" t="str">
        <f>IFERROR(VLOOKUP(CLEAN($V622),'All Security Controls'!$A:$I,9, FALSE),"---")</f>
        <v>---</v>
      </c>
      <c r="AD622" s="26">
        <v>621</v>
      </c>
    </row>
    <row r="623" spans="1:30" s="10" customFormat="1" thickBot="1">
      <c r="A623"/>
      <c r="B623"/>
      <c r="C623"/>
      <c r="D623"/>
      <c r="E623"/>
      <c r="F623"/>
      <c r="G623"/>
      <c r="H623"/>
      <c r="I623"/>
      <c r="J623"/>
      <c r="K623"/>
      <c r="L623"/>
      <c r="M623"/>
      <c r="N623"/>
      <c r="O623"/>
      <c r="P623"/>
      <c r="Q623"/>
      <c r="R623"/>
      <c r="S623"/>
      <c r="T623"/>
      <c r="V623" s="24"/>
      <c r="W623" s="16" t="str">
        <f>IFERROR(VLOOKUP(CLEAN($V623),'All Security Controls'!A:I, 2, FALSE),"---")</f>
        <v>---</v>
      </c>
      <c r="X623" s="14" t="str">
        <f>IFERROR(VLOOKUP(CLEAN($V623),'All Security Controls'!$A:$I, 4, FALSE),"---")</f>
        <v>---</v>
      </c>
      <c r="Y623" s="14" t="str">
        <f>IFERROR(VLOOKUP(CLEAN($V623),'All Security Controls'!$A:$I,5, FALSE),"---")</f>
        <v>---</v>
      </c>
      <c r="Z623" s="14" t="str">
        <f>IFERROR(VLOOKUP(CLEAN($V623),'All Security Controls'!$A:$I,6, FALSE),"---")</f>
        <v>---</v>
      </c>
      <c r="AA623" s="14" t="str">
        <f>IFERROR(VLOOKUP(CLEAN($V623),'All Security Controls'!$A:$I,7, FALSE),"---")</f>
        <v>---</v>
      </c>
      <c r="AB623" s="14" t="str">
        <f>IFERROR(VLOOKUP(CLEAN($V623),'All Security Controls'!$A:$I,8, FALSE),"---")</f>
        <v>---</v>
      </c>
      <c r="AC623" s="14" t="str">
        <f>IFERROR(VLOOKUP(CLEAN($V623),'All Security Controls'!$A:$I,9, FALSE),"---")</f>
        <v>---</v>
      </c>
      <c r="AD623" s="26">
        <v>622</v>
      </c>
    </row>
    <row r="624" spans="1:30" s="10" customFormat="1" thickBot="1">
      <c r="A624"/>
      <c r="B624"/>
      <c r="C624"/>
      <c r="D624"/>
      <c r="E624"/>
      <c r="F624"/>
      <c r="G624"/>
      <c r="H624"/>
      <c r="I624"/>
      <c r="J624"/>
      <c r="K624"/>
      <c r="L624"/>
      <c r="M624"/>
      <c r="N624"/>
      <c r="O624"/>
      <c r="P624"/>
      <c r="Q624"/>
      <c r="R624"/>
      <c r="S624"/>
      <c r="T624"/>
      <c r="V624" s="24"/>
      <c r="W624" s="16" t="str">
        <f>IFERROR(VLOOKUP(CLEAN($V624),'All Security Controls'!A:I, 2, FALSE),"---")</f>
        <v>---</v>
      </c>
      <c r="X624" s="14" t="str">
        <f>IFERROR(VLOOKUP(CLEAN($V624),'All Security Controls'!$A:$I, 4, FALSE),"---")</f>
        <v>---</v>
      </c>
      <c r="Y624" s="14" t="str">
        <f>IFERROR(VLOOKUP(CLEAN($V624),'All Security Controls'!$A:$I,5, FALSE),"---")</f>
        <v>---</v>
      </c>
      <c r="Z624" s="14" t="str">
        <f>IFERROR(VLOOKUP(CLEAN($V624),'All Security Controls'!$A:$I,6, FALSE),"---")</f>
        <v>---</v>
      </c>
      <c r="AA624" s="14" t="str">
        <f>IFERROR(VLOOKUP(CLEAN($V624),'All Security Controls'!$A:$I,7, FALSE),"---")</f>
        <v>---</v>
      </c>
      <c r="AB624" s="14" t="str">
        <f>IFERROR(VLOOKUP(CLEAN($V624),'All Security Controls'!$A:$I,8, FALSE),"---")</f>
        <v>---</v>
      </c>
      <c r="AC624" s="14" t="str">
        <f>IFERROR(VLOOKUP(CLEAN($V624),'All Security Controls'!$A:$I,9, FALSE),"---")</f>
        <v>---</v>
      </c>
      <c r="AD624" s="26">
        <v>623</v>
      </c>
    </row>
    <row r="625" spans="1:30" s="10" customFormat="1" thickBot="1">
      <c r="A625"/>
      <c r="B625"/>
      <c r="C625"/>
      <c r="D625"/>
      <c r="E625"/>
      <c r="F625"/>
      <c r="G625"/>
      <c r="H625"/>
      <c r="I625"/>
      <c r="J625"/>
      <c r="K625"/>
      <c r="L625"/>
      <c r="M625"/>
      <c r="N625"/>
      <c r="O625"/>
      <c r="P625"/>
      <c r="Q625"/>
      <c r="R625"/>
      <c r="S625"/>
      <c r="T625"/>
      <c r="V625" s="24"/>
      <c r="W625" s="16" t="str">
        <f>IFERROR(VLOOKUP(CLEAN($V625),'All Security Controls'!A:I, 2, FALSE),"---")</f>
        <v>---</v>
      </c>
      <c r="X625" s="14" t="str">
        <f>IFERROR(VLOOKUP(CLEAN($V625),'All Security Controls'!$A:$I, 4, FALSE),"---")</f>
        <v>---</v>
      </c>
      <c r="Y625" s="14" t="str">
        <f>IFERROR(VLOOKUP(CLEAN($V625),'All Security Controls'!$A:$I,5, FALSE),"---")</f>
        <v>---</v>
      </c>
      <c r="Z625" s="14" t="str">
        <f>IFERROR(VLOOKUP(CLEAN($V625),'All Security Controls'!$A:$I,6, FALSE),"---")</f>
        <v>---</v>
      </c>
      <c r="AA625" s="14" t="str">
        <f>IFERROR(VLOOKUP(CLEAN($V625),'All Security Controls'!$A:$I,7, FALSE),"---")</f>
        <v>---</v>
      </c>
      <c r="AB625" s="14" t="str">
        <f>IFERROR(VLOOKUP(CLEAN($V625),'All Security Controls'!$A:$I,8, FALSE),"---")</f>
        <v>---</v>
      </c>
      <c r="AC625" s="14" t="str">
        <f>IFERROR(VLOOKUP(CLEAN($V625),'All Security Controls'!$A:$I,9, FALSE),"---")</f>
        <v>---</v>
      </c>
      <c r="AD625" s="26">
        <v>624</v>
      </c>
    </row>
    <row r="626" spans="1:30" s="10" customFormat="1" thickBot="1">
      <c r="A626"/>
      <c r="B626"/>
      <c r="C626"/>
      <c r="D626"/>
      <c r="E626"/>
      <c r="F626"/>
      <c r="G626"/>
      <c r="H626"/>
      <c r="I626"/>
      <c r="J626"/>
      <c r="K626"/>
      <c r="L626"/>
      <c r="M626"/>
      <c r="N626"/>
      <c r="O626"/>
      <c r="P626"/>
      <c r="Q626"/>
      <c r="R626"/>
      <c r="S626"/>
      <c r="T626"/>
      <c r="V626" s="24"/>
      <c r="W626" s="16"/>
      <c r="X626" s="14"/>
      <c r="Y626" s="14"/>
      <c r="Z626" s="14"/>
      <c r="AA626" s="14"/>
      <c r="AB626" s="14"/>
      <c r="AC626" s="14"/>
      <c r="AD626" s="26">
        <v>625</v>
      </c>
    </row>
    <row r="627" spans="1:30" s="10" customFormat="1" thickBot="1">
      <c r="A627"/>
      <c r="B627"/>
      <c r="C627"/>
      <c r="D627"/>
      <c r="E627"/>
      <c r="F627"/>
      <c r="G627"/>
      <c r="H627"/>
      <c r="I627"/>
      <c r="J627"/>
      <c r="K627"/>
      <c r="L627"/>
      <c r="M627"/>
      <c r="N627"/>
      <c r="O627"/>
      <c r="P627"/>
      <c r="Q627"/>
      <c r="R627"/>
      <c r="S627"/>
      <c r="T627"/>
      <c r="V627" s="24"/>
      <c r="W627" s="16"/>
      <c r="X627" s="14"/>
      <c r="Y627" s="14"/>
      <c r="Z627" s="14"/>
      <c r="AA627" s="14"/>
      <c r="AB627" s="14"/>
      <c r="AC627" s="14"/>
      <c r="AD627" s="26">
        <v>626</v>
      </c>
    </row>
    <row r="628" spans="1:30" s="10" customFormat="1" thickBot="1">
      <c r="A628"/>
      <c r="B628"/>
      <c r="C628"/>
      <c r="D628"/>
      <c r="E628"/>
      <c r="F628"/>
      <c r="G628"/>
      <c r="H628"/>
      <c r="I628"/>
      <c r="J628"/>
      <c r="K628"/>
      <c r="L628"/>
      <c r="M628"/>
      <c r="N628"/>
      <c r="O628"/>
      <c r="P628"/>
      <c r="Q628"/>
      <c r="R628"/>
      <c r="S628"/>
      <c r="T628"/>
      <c r="V628" s="24"/>
      <c r="W628" s="16" t="str">
        <f>IFERROR(VLOOKUP(CLEAN($V628),'All Security Controls'!A:I, 2, FALSE),"---")</f>
        <v>---</v>
      </c>
      <c r="X628" s="14" t="str">
        <f>IFERROR(VLOOKUP(CLEAN($V628),'All Security Controls'!$A:$I, 4, FALSE),"---")</f>
        <v>---</v>
      </c>
      <c r="Y628" s="14" t="str">
        <f>IFERROR(VLOOKUP(CLEAN($V628),'All Security Controls'!$A:$I,5, FALSE),"---")</f>
        <v>---</v>
      </c>
      <c r="Z628" s="14" t="str">
        <f>IFERROR(VLOOKUP(CLEAN($V628),'All Security Controls'!$A:$I,6, FALSE),"---")</f>
        <v>---</v>
      </c>
      <c r="AA628" s="14" t="str">
        <f>IFERROR(VLOOKUP(CLEAN($V628),'All Security Controls'!$A:$I,7, FALSE),"---")</f>
        <v>---</v>
      </c>
      <c r="AB628" s="14" t="str">
        <f>IFERROR(VLOOKUP(CLEAN($V628),'All Security Controls'!$A:$I,8, FALSE),"---")</f>
        <v>---</v>
      </c>
      <c r="AC628" s="14" t="str">
        <f>IFERROR(VLOOKUP(CLEAN($V628),'All Security Controls'!$A:$I,9, FALSE),"---")</f>
        <v>---</v>
      </c>
      <c r="AD628" s="26">
        <v>627</v>
      </c>
    </row>
    <row r="629" spans="1:30" s="10" customFormat="1" thickBot="1">
      <c r="A629"/>
      <c r="B629"/>
      <c r="C629"/>
      <c r="D629"/>
      <c r="E629"/>
      <c r="F629"/>
      <c r="G629"/>
      <c r="H629"/>
      <c r="I629"/>
      <c r="J629"/>
      <c r="K629"/>
      <c r="L629"/>
      <c r="M629"/>
      <c r="N629"/>
      <c r="O629"/>
      <c r="P629"/>
      <c r="Q629"/>
      <c r="R629"/>
      <c r="S629"/>
      <c r="T629"/>
      <c r="V629" s="24"/>
      <c r="W629" s="16" t="str">
        <f>IFERROR(VLOOKUP(CLEAN($V629),'All Security Controls'!A:I, 2, FALSE),"---")</f>
        <v>---</v>
      </c>
      <c r="X629" s="14" t="str">
        <f>IFERROR(VLOOKUP(CLEAN($V629),'All Security Controls'!$A:$I, 4, FALSE),"---")</f>
        <v>---</v>
      </c>
      <c r="Y629" s="14" t="str">
        <f>IFERROR(VLOOKUP(CLEAN($V629),'All Security Controls'!$A:$I,5, FALSE),"---")</f>
        <v>---</v>
      </c>
      <c r="Z629" s="14" t="str">
        <f>IFERROR(VLOOKUP(CLEAN($V629),'All Security Controls'!$A:$I,6, FALSE),"---")</f>
        <v>---</v>
      </c>
      <c r="AA629" s="14" t="str">
        <f>IFERROR(VLOOKUP(CLEAN($V629),'All Security Controls'!$A:$I,7, FALSE),"---")</f>
        <v>---</v>
      </c>
      <c r="AB629" s="14" t="str">
        <f>IFERROR(VLOOKUP(CLEAN($V629),'All Security Controls'!$A:$I,8, FALSE),"---")</f>
        <v>---</v>
      </c>
      <c r="AC629" s="14" t="str">
        <f>IFERROR(VLOOKUP(CLEAN($V629),'All Security Controls'!$A:$I,9, FALSE),"---")</f>
        <v>---</v>
      </c>
      <c r="AD629" s="26">
        <v>628</v>
      </c>
    </row>
    <row r="630" spans="1:30" s="10" customFormat="1" thickBot="1">
      <c r="A630"/>
      <c r="B630"/>
      <c r="C630"/>
      <c r="D630"/>
      <c r="E630"/>
      <c r="F630"/>
      <c r="G630"/>
      <c r="H630"/>
      <c r="I630"/>
      <c r="J630"/>
      <c r="K630"/>
      <c r="L630"/>
      <c r="M630"/>
      <c r="N630"/>
      <c r="O630"/>
      <c r="P630"/>
      <c r="Q630"/>
      <c r="R630"/>
      <c r="S630"/>
      <c r="T630"/>
      <c r="V630" s="24"/>
      <c r="W630" s="16" t="str">
        <f>IFERROR(VLOOKUP(CLEAN($V630),'All Security Controls'!A:I, 2, FALSE),"---")</f>
        <v>---</v>
      </c>
      <c r="X630" s="14" t="str">
        <f>IFERROR(VLOOKUP(CLEAN($V630),'All Security Controls'!$A:$I, 4, FALSE),"---")</f>
        <v>---</v>
      </c>
      <c r="Y630" s="14" t="str">
        <f>IFERROR(VLOOKUP(CLEAN($V630),'All Security Controls'!$A:$I,5, FALSE),"---")</f>
        <v>---</v>
      </c>
      <c r="Z630" s="14" t="str">
        <f>IFERROR(VLOOKUP(CLEAN($V630),'All Security Controls'!$A:$I,6, FALSE),"---")</f>
        <v>---</v>
      </c>
      <c r="AA630" s="14" t="str">
        <f>IFERROR(VLOOKUP(CLEAN($V630),'All Security Controls'!$A:$I,7, FALSE),"---")</f>
        <v>---</v>
      </c>
      <c r="AB630" s="14" t="str">
        <f>IFERROR(VLOOKUP(CLEAN($V630),'All Security Controls'!$A:$I,8, FALSE),"---")</f>
        <v>---</v>
      </c>
      <c r="AC630" s="14" t="str">
        <f>IFERROR(VLOOKUP(CLEAN($V630),'All Security Controls'!$A:$I,9, FALSE),"---")</f>
        <v>---</v>
      </c>
      <c r="AD630" s="26">
        <v>629</v>
      </c>
    </row>
    <row r="631" spans="1:30" s="10" customFormat="1" thickBot="1">
      <c r="A631"/>
      <c r="B631"/>
      <c r="C631"/>
      <c r="D631"/>
      <c r="E631"/>
      <c r="F631"/>
      <c r="G631"/>
      <c r="H631"/>
      <c r="I631"/>
      <c r="J631"/>
      <c r="K631"/>
      <c r="L631"/>
      <c r="M631"/>
      <c r="N631"/>
      <c r="O631"/>
      <c r="P631"/>
      <c r="Q631"/>
      <c r="R631"/>
      <c r="S631"/>
      <c r="T631"/>
      <c r="V631" s="24"/>
      <c r="W631" s="16" t="str">
        <f>IFERROR(VLOOKUP(CLEAN($V631),'All Security Controls'!A:I, 2, FALSE),"---")</f>
        <v>---</v>
      </c>
      <c r="X631" s="14" t="str">
        <f>IFERROR(VLOOKUP(CLEAN($V631),'All Security Controls'!$A:$I, 4, FALSE),"---")</f>
        <v>---</v>
      </c>
      <c r="Y631" s="14" t="str">
        <f>IFERROR(VLOOKUP(CLEAN($V631),'All Security Controls'!$A:$I,5, FALSE),"---")</f>
        <v>---</v>
      </c>
      <c r="Z631" s="14" t="str">
        <f>IFERROR(VLOOKUP(CLEAN($V631),'All Security Controls'!$A:$I,6, FALSE),"---")</f>
        <v>---</v>
      </c>
      <c r="AA631" s="14" t="str">
        <f>IFERROR(VLOOKUP(CLEAN($V631),'All Security Controls'!$A:$I,7, FALSE),"---")</f>
        <v>---</v>
      </c>
      <c r="AB631" s="14" t="str">
        <f>IFERROR(VLOOKUP(CLEAN($V631),'All Security Controls'!$A:$I,8, FALSE),"---")</f>
        <v>---</v>
      </c>
      <c r="AC631" s="14" t="str">
        <f>IFERROR(VLOOKUP(CLEAN($V631),'All Security Controls'!$A:$I,9, FALSE),"---")</f>
        <v>---</v>
      </c>
      <c r="AD631" s="26">
        <v>630</v>
      </c>
    </row>
    <row r="632" spans="1:30" s="10" customFormat="1" thickBot="1">
      <c r="A632"/>
      <c r="B632"/>
      <c r="C632"/>
      <c r="D632"/>
      <c r="E632"/>
      <c r="F632"/>
      <c r="G632"/>
      <c r="H632"/>
      <c r="I632"/>
      <c r="J632"/>
      <c r="K632"/>
      <c r="L632"/>
      <c r="M632"/>
      <c r="N632"/>
      <c r="O632"/>
      <c r="P632"/>
      <c r="Q632"/>
      <c r="R632"/>
      <c r="S632"/>
      <c r="T632"/>
      <c r="V632" s="24"/>
      <c r="W632" s="16" t="str">
        <f>IFERROR(VLOOKUP(CLEAN($V632),'All Security Controls'!A:I, 2, FALSE),"---")</f>
        <v>---</v>
      </c>
      <c r="X632" s="14" t="str">
        <f>IFERROR(VLOOKUP(CLEAN($V632),'All Security Controls'!$A:$I, 4, FALSE),"---")</f>
        <v>---</v>
      </c>
      <c r="Y632" s="14" t="str">
        <f>IFERROR(VLOOKUP(CLEAN($V632),'All Security Controls'!$A:$I,5, FALSE),"---")</f>
        <v>---</v>
      </c>
      <c r="Z632" s="14" t="str">
        <f>IFERROR(VLOOKUP(CLEAN($V632),'All Security Controls'!$A:$I,6, FALSE),"---")</f>
        <v>---</v>
      </c>
      <c r="AA632" s="14" t="str">
        <f>IFERROR(VLOOKUP(CLEAN($V632),'All Security Controls'!$A:$I,7, FALSE),"---")</f>
        <v>---</v>
      </c>
      <c r="AB632" s="14" t="str">
        <f>IFERROR(VLOOKUP(CLEAN($V632),'All Security Controls'!$A:$I,8, FALSE),"---")</f>
        <v>---</v>
      </c>
      <c r="AC632" s="14" t="str">
        <f>IFERROR(VLOOKUP(CLEAN($V632),'All Security Controls'!$A:$I,9, FALSE),"---")</f>
        <v>---</v>
      </c>
      <c r="AD632" s="26">
        <v>631</v>
      </c>
    </row>
    <row r="633" spans="1:30" s="10" customFormat="1" thickBot="1">
      <c r="A633"/>
      <c r="B633"/>
      <c r="C633"/>
      <c r="D633"/>
      <c r="E633"/>
      <c r="F633"/>
      <c r="G633"/>
      <c r="H633"/>
      <c r="I633"/>
      <c r="J633"/>
      <c r="K633"/>
      <c r="L633"/>
      <c r="M633"/>
      <c r="N633"/>
      <c r="O633"/>
      <c r="P633"/>
      <c r="Q633"/>
      <c r="R633"/>
      <c r="S633"/>
      <c r="T633"/>
      <c r="V633" s="24"/>
      <c r="W633" s="16" t="str">
        <f>IFERROR(VLOOKUP(CLEAN($V633),'All Security Controls'!A:I, 2, FALSE),"---")</f>
        <v>---</v>
      </c>
      <c r="X633" s="14" t="str">
        <f>IFERROR(VLOOKUP(CLEAN($V633),'All Security Controls'!$A:$I, 4, FALSE),"---")</f>
        <v>---</v>
      </c>
      <c r="Y633" s="14" t="str">
        <f>IFERROR(VLOOKUP(CLEAN($V633),'All Security Controls'!$A:$I,5, FALSE),"---")</f>
        <v>---</v>
      </c>
      <c r="Z633" s="14" t="str">
        <f>IFERROR(VLOOKUP(CLEAN($V633),'All Security Controls'!$A:$I,6, FALSE),"---")</f>
        <v>---</v>
      </c>
      <c r="AA633" s="14" t="str">
        <f>IFERROR(VLOOKUP(CLEAN($V633),'All Security Controls'!$A:$I,7, FALSE),"---")</f>
        <v>---</v>
      </c>
      <c r="AB633" s="14" t="str">
        <f>IFERROR(VLOOKUP(CLEAN($V633),'All Security Controls'!$A:$I,8, FALSE),"---")</f>
        <v>---</v>
      </c>
      <c r="AC633" s="14" t="str">
        <f>IFERROR(VLOOKUP(CLEAN($V633),'All Security Controls'!$A:$I,9, FALSE),"---")</f>
        <v>---</v>
      </c>
      <c r="AD633" s="26">
        <v>632</v>
      </c>
    </row>
    <row r="634" spans="1:30" ht="15" customHeight="1" thickBot="1">
      <c r="V634" s="24"/>
      <c r="W634" s="16" t="str">
        <f>IFERROR(VLOOKUP(CLEAN($V634),'All Security Controls'!A:I, 2, FALSE),"---")</f>
        <v>---</v>
      </c>
      <c r="X634" s="14" t="str">
        <f>IFERROR(VLOOKUP(CLEAN($V634),'All Security Controls'!$A:$I, 4, FALSE),"---")</f>
        <v>---</v>
      </c>
      <c r="Y634" s="14" t="str">
        <f>IFERROR(VLOOKUP(CLEAN($V634),'All Security Controls'!$A:$I,5, FALSE),"---")</f>
        <v>---</v>
      </c>
      <c r="Z634" s="14" t="str">
        <f>IFERROR(VLOOKUP(CLEAN($V634),'All Security Controls'!$A:$I,6, FALSE),"---")</f>
        <v>---</v>
      </c>
      <c r="AA634" s="14" t="str">
        <f>IFERROR(VLOOKUP(CLEAN($V634),'All Security Controls'!$A:$I,7, FALSE),"---")</f>
        <v>---</v>
      </c>
      <c r="AB634" s="14" t="str">
        <f>IFERROR(VLOOKUP(CLEAN($V634),'All Security Controls'!$A:$I,8, FALSE),"---")</f>
        <v>---</v>
      </c>
      <c r="AC634" s="14" t="str">
        <f>IFERROR(VLOOKUP(CLEAN($V634),'All Security Controls'!$A:$I,9, FALSE),"---")</f>
        <v>---</v>
      </c>
      <c r="AD634" s="26">
        <v>633</v>
      </c>
    </row>
    <row r="635" spans="1:30" ht="15" customHeight="1" thickBot="1">
      <c r="V635" s="24"/>
      <c r="W635" s="16" t="str">
        <f>IFERROR(VLOOKUP(CLEAN($V635),'All Security Controls'!A:I, 2, FALSE),"---")</f>
        <v>---</v>
      </c>
      <c r="X635" s="14" t="str">
        <f>IFERROR(VLOOKUP(CLEAN($V635),'All Security Controls'!$A:$I, 4, FALSE),"---")</f>
        <v>---</v>
      </c>
      <c r="Y635" s="14" t="str">
        <f>IFERROR(VLOOKUP(CLEAN($V635),'All Security Controls'!$A:$I,5, FALSE),"---")</f>
        <v>---</v>
      </c>
      <c r="Z635" s="14" t="str">
        <f>IFERROR(VLOOKUP(CLEAN($V635),'All Security Controls'!$A:$I,6, FALSE),"---")</f>
        <v>---</v>
      </c>
      <c r="AA635" s="14" t="str">
        <f>IFERROR(VLOOKUP(CLEAN($V635),'All Security Controls'!$A:$I,7, FALSE),"---")</f>
        <v>---</v>
      </c>
      <c r="AB635" s="14" t="str">
        <f>IFERROR(VLOOKUP(CLEAN($V635),'All Security Controls'!$A:$I,8, FALSE),"---")</f>
        <v>---</v>
      </c>
      <c r="AC635" s="14" t="str">
        <f>IFERROR(VLOOKUP(CLEAN($V635),'All Security Controls'!$A:$I,9, FALSE),"---")</f>
        <v>---</v>
      </c>
      <c r="AD635" s="26">
        <v>634</v>
      </c>
    </row>
    <row r="636" spans="1:30" ht="15" customHeight="1" thickBot="1">
      <c r="V636" s="24"/>
      <c r="W636" s="16" t="str">
        <f>IFERROR(VLOOKUP(CLEAN($V636),'All Security Controls'!A:I, 2, FALSE),"---")</f>
        <v>---</v>
      </c>
      <c r="X636" s="14" t="str">
        <f>IFERROR(VLOOKUP(CLEAN($V636),'All Security Controls'!$A:$I, 4, FALSE),"---")</f>
        <v>---</v>
      </c>
      <c r="Y636" s="14" t="str">
        <f>IFERROR(VLOOKUP(CLEAN($V636),'All Security Controls'!$A:$I,5, FALSE),"---")</f>
        <v>---</v>
      </c>
      <c r="Z636" s="14" t="str">
        <f>IFERROR(VLOOKUP(CLEAN($V636),'All Security Controls'!$A:$I,6, FALSE),"---")</f>
        <v>---</v>
      </c>
      <c r="AA636" s="14" t="str">
        <f>IFERROR(VLOOKUP(CLEAN($V636),'All Security Controls'!$A:$I,7, FALSE),"---")</f>
        <v>---</v>
      </c>
      <c r="AB636" s="14" t="str">
        <f>IFERROR(VLOOKUP(CLEAN($V636),'All Security Controls'!$A:$I,8, FALSE),"---")</f>
        <v>---</v>
      </c>
      <c r="AC636" s="14" t="str">
        <f>IFERROR(VLOOKUP(CLEAN($V636),'All Security Controls'!$A:$I,9, FALSE),"---")</f>
        <v>---</v>
      </c>
      <c r="AD636" s="26">
        <v>635</v>
      </c>
    </row>
    <row r="637" spans="1:30" ht="15" customHeight="1" thickBot="1">
      <c r="V637" s="24"/>
      <c r="W637" s="16" t="str">
        <f>IFERROR(VLOOKUP(CLEAN($V637),'All Security Controls'!A:I, 2, FALSE),"---")</f>
        <v>---</v>
      </c>
      <c r="X637" s="14" t="str">
        <f>IFERROR(VLOOKUP(CLEAN($V637),'All Security Controls'!$A:$I, 4, FALSE),"---")</f>
        <v>---</v>
      </c>
      <c r="Y637" s="14" t="str">
        <f>IFERROR(VLOOKUP(CLEAN($V637),'All Security Controls'!$A:$I,5, FALSE),"---")</f>
        <v>---</v>
      </c>
      <c r="Z637" s="14" t="str">
        <f>IFERROR(VLOOKUP(CLEAN($V637),'All Security Controls'!$A:$I,6, FALSE),"---")</f>
        <v>---</v>
      </c>
      <c r="AA637" s="14" t="str">
        <f>IFERROR(VLOOKUP(CLEAN($V637),'All Security Controls'!$A:$I,7, FALSE),"---")</f>
        <v>---</v>
      </c>
      <c r="AB637" s="14" t="str">
        <f>IFERROR(VLOOKUP(CLEAN($V637),'All Security Controls'!$A:$I,8, FALSE),"---")</f>
        <v>---</v>
      </c>
      <c r="AC637" s="14" t="str">
        <f>IFERROR(VLOOKUP(CLEAN($V637),'All Security Controls'!$A:$I,9, FALSE),"---")</f>
        <v>---</v>
      </c>
      <c r="AD637" s="26">
        <v>636</v>
      </c>
    </row>
    <row r="638" spans="1:30" ht="15" customHeight="1" thickBot="1">
      <c r="V638" s="24"/>
      <c r="W638" s="16" t="str">
        <f>IFERROR(VLOOKUP(CLEAN($V638),'All Security Controls'!A:I, 2, FALSE),"---")</f>
        <v>---</v>
      </c>
      <c r="X638" s="14" t="str">
        <f>IFERROR(VLOOKUP(CLEAN($V638),'All Security Controls'!$A:$I, 4, FALSE),"---")</f>
        <v>---</v>
      </c>
      <c r="Y638" s="14" t="str">
        <f>IFERROR(VLOOKUP(CLEAN($V638),'All Security Controls'!$A:$I,5, FALSE),"---")</f>
        <v>---</v>
      </c>
      <c r="Z638" s="14" t="str">
        <f>IFERROR(VLOOKUP(CLEAN($V638),'All Security Controls'!$A:$I,6, FALSE),"---")</f>
        <v>---</v>
      </c>
      <c r="AA638" s="14" t="str">
        <f>IFERROR(VLOOKUP(CLEAN($V638),'All Security Controls'!$A:$I,7, FALSE),"---")</f>
        <v>---</v>
      </c>
      <c r="AB638" s="14" t="str">
        <f>IFERROR(VLOOKUP(CLEAN($V638),'All Security Controls'!$A:$I,8, FALSE),"---")</f>
        <v>---</v>
      </c>
      <c r="AC638" s="14" t="str">
        <f>IFERROR(VLOOKUP(CLEAN($V638),'All Security Controls'!$A:$I,9, FALSE),"---")</f>
        <v>---</v>
      </c>
      <c r="AD638" s="26">
        <v>637</v>
      </c>
    </row>
    <row r="639" spans="1:30" ht="15" customHeight="1" thickBot="1">
      <c r="V639" s="24"/>
      <c r="W639" s="16" t="str">
        <f>IFERROR(VLOOKUP(CLEAN($V639),'All Security Controls'!A:I, 2, FALSE),"---")</f>
        <v>---</v>
      </c>
      <c r="X639" s="14" t="str">
        <f>IFERROR(VLOOKUP(CLEAN($V639),'All Security Controls'!$A:$I, 4, FALSE),"---")</f>
        <v>---</v>
      </c>
      <c r="Y639" s="14" t="str">
        <f>IFERROR(VLOOKUP(CLEAN($V639),'All Security Controls'!$A:$I,5, FALSE),"---")</f>
        <v>---</v>
      </c>
      <c r="Z639" s="14" t="str">
        <f>IFERROR(VLOOKUP(CLEAN($V639),'All Security Controls'!$A:$I,6, FALSE),"---")</f>
        <v>---</v>
      </c>
      <c r="AA639" s="14" t="str">
        <f>IFERROR(VLOOKUP(CLEAN($V639),'All Security Controls'!$A:$I,7, FALSE),"---")</f>
        <v>---</v>
      </c>
      <c r="AB639" s="14" t="str">
        <f>IFERROR(VLOOKUP(CLEAN($V639),'All Security Controls'!$A:$I,8, FALSE),"---")</f>
        <v>---</v>
      </c>
      <c r="AC639" s="14" t="str">
        <f>IFERROR(VLOOKUP(CLEAN($V639),'All Security Controls'!$A:$I,9, FALSE),"---")</f>
        <v>---</v>
      </c>
      <c r="AD639" s="26">
        <v>638</v>
      </c>
    </row>
    <row r="640" spans="1:30" ht="15" customHeight="1" thickBot="1">
      <c r="V640" s="24"/>
      <c r="W640" s="16" t="str">
        <f>IFERROR(VLOOKUP(CLEAN($V640),'All Security Controls'!A:I, 2, FALSE),"---")</f>
        <v>---</v>
      </c>
      <c r="X640" s="14" t="str">
        <f>IFERROR(VLOOKUP(CLEAN($V640),'All Security Controls'!$A:$I, 4, FALSE),"---")</f>
        <v>---</v>
      </c>
      <c r="Y640" s="14" t="str">
        <f>IFERROR(VLOOKUP(CLEAN($V640),'All Security Controls'!$A:$I,5, FALSE),"---")</f>
        <v>---</v>
      </c>
      <c r="Z640" s="14" t="str">
        <f>IFERROR(VLOOKUP(CLEAN($V640),'All Security Controls'!$A:$I,6, FALSE),"---")</f>
        <v>---</v>
      </c>
      <c r="AA640" s="14" t="str">
        <f>IFERROR(VLOOKUP(CLEAN($V640),'All Security Controls'!$A:$I,7, FALSE),"---")</f>
        <v>---</v>
      </c>
      <c r="AB640" s="14" t="str">
        <f>IFERROR(VLOOKUP(CLEAN($V640),'All Security Controls'!$A:$I,8, FALSE),"---")</f>
        <v>---</v>
      </c>
      <c r="AC640" s="14" t="str">
        <f>IFERROR(VLOOKUP(CLEAN($V640),'All Security Controls'!$A:$I,9, FALSE),"---")</f>
        <v>---</v>
      </c>
      <c r="AD640" s="26">
        <v>639</v>
      </c>
    </row>
    <row r="641" spans="22:30" ht="15" customHeight="1" thickBot="1">
      <c r="V641" s="24"/>
      <c r="W641" s="16" t="str">
        <f>IFERROR(VLOOKUP(CLEAN($V641),'All Security Controls'!A:I, 2, FALSE),"---")</f>
        <v>---</v>
      </c>
      <c r="X641" s="14" t="str">
        <f>IFERROR(VLOOKUP(CLEAN($V641),'All Security Controls'!$A:$I, 4, FALSE),"---")</f>
        <v>---</v>
      </c>
      <c r="Y641" s="14" t="str">
        <f>IFERROR(VLOOKUP(CLEAN($V641),'All Security Controls'!$A:$I,5, FALSE),"---")</f>
        <v>---</v>
      </c>
      <c r="Z641" s="14" t="str">
        <f>IFERROR(VLOOKUP(CLEAN($V641),'All Security Controls'!$A:$I,6, FALSE),"---")</f>
        <v>---</v>
      </c>
      <c r="AA641" s="14" t="str">
        <f>IFERROR(VLOOKUP(CLEAN($V641),'All Security Controls'!$A:$I,7, FALSE),"---")</f>
        <v>---</v>
      </c>
      <c r="AB641" s="14" t="str">
        <f>IFERROR(VLOOKUP(CLEAN($V641),'All Security Controls'!$A:$I,8, FALSE),"---")</f>
        <v>---</v>
      </c>
      <c r="AC641" s="14" t="str">
        <f>IFERROR(VLOOKUP(CLEAN($V641),'All Security Controls'!$A:$I,9, FALSE),"---")</f>
        <v>---</v>
      </c>
      <c r="AD641" s="26">
        <v>640</v>
      </c>
    </row>
    <row r="642" spans="22:30" ht="15" customHeight="1" thickBot="1">
      <c r="V642" s="24"/>
      <c r="W642" s="16" t="str">
        <f>IFERROR(VLOOKUP(CLEAN($V642),'All Security Controls'!A:I, 2, FALSE),"---")</f>
        <v>---</v>
      </c>
      <c r="X642" s="14" t="str">
        <f>IFERROR(VLOOKUP(CLEAN($V642),'All Security Controls'!$A:$I, 4, FALSE),"---")</f>
        <v>---</v>
      </c>
      <c r="Y642" s="14" t="str">
        <f>IFERROR(VLOOKUP(CLEAN($V642),'All Security Controls'!$A:$I,5, FALSE),"---")</f>
        <v>---</v>
      </c>
      <c r="Z642" s="14" t="str">
        <f>IFERROR(VLOOKUP(CLEAN($V642),'All Security Controls'!$A:$I,6, FALSE),"---")</f>
        <v>---</v>
      </c>
      <c r="AA642" s="14" t="str">
        <f>IFERROR(VLOOKUP(CLEAN($V642),'All Security Controls'!$A:$I,7, FALSE),"---")</f>
        <v>---</v>
      </c>
      <c r="AB642" s="14" t="str">
        <f>IFERROR(VLOOKUP(CLEAN($V642),'All Security Controls'!$A:$I,8, FALSE),"---")</f>
        <v>---</v>
      </c>
      <c r="AC642" s="14" t="str">
        <f>IFERROR(VLOOKUP(CLEAN($V642),'All Security Controls'!$A:$I,9, FALSE),"---")</f>
        <v>---</v>
      </c>
      <c r="AD642" s="26">
        <v>641</v>
      </c>
    </row>
    <row r="643" spans="22:30" ht="15" customHeight="1" thickBot="1">
      <c r="V643" s="24"/>
      <c r="W643" s="16" t="str">
        <f>IFERROR(VLOOKUP(CLEAN($V643),'All Security Controls'!A:I, 2, FALSE),"---")</f>
        <v>---</v>
      </c>
      <c r="X643" s="14" t="str">
        <f>IFERROR(VLOOKUP(CLEAN($V643),'All Security Controls'!$A:$I, 4, FALSE),"---")</f>
        <v>---</v>
      </c>
      <c r="Y643" s="14" t="str">
        <f>IFERROR(VLOOKUP(CLEAN($V643),'All Security Controls'!$A:$I,5, FALSE),"---")</f>
        <v>---</v>
      </c>
      <c r="Z643" s="14" t="str">
        <f>IFERROR(VLOOKUP(CLEAN($V643),'All Security Controls'!$A:$I,6, FALSE),"---")</f>
        <v>---</v>
      </c>
      <c r="AA643" s="14" t="str">
        <f>IFERROR(VLOOKUP(CLEAN($V643),'All Security Controls'!$A:$I,7, FALSE),"---")</f>
        <v>---</v>
      </c>
      <c r="AB643" s="14" t="str">
        <f>IFERROR(VLOOKUP(CLEAN($V643),'All Security Controls'!$A:$I,8, FALSE),"---")</f>
        <v>---</v>
      </c>
      <c r="AC643" s="14" t="str">
        <f>IFERROR(VLOOKUP(CLEAN($V643),'All Security Controls'!$A:$I,9, FALSE),"---")</f>
        <v>---</v>
      </c>
      <c r="AD643" s="26">
        <v>642</v>
      </c>
    </row>
    <row r="644" spans="22:30" ht="15" customHeight="1" thickBot="1">
      <c r="V644" s="24"/>
      <c r="W644" s="16" t="str">
        <f>IFERROR(VLOOKUP(CLEAN($V644),'All Security Controls'!A:I, 2, FALSE),"---")</f>
        <v>---</v>
      </c>
      <c r="X644" s="14" t="str">
        <f>IFERROR(VLOOKUP(CLEAN($V644),'All Security Controls'!$A:$I, 4, FALSE),"---")</f>
        <v>---</v>
      </c>
      <c r="Y644" s="14" t="str">
        <f>IFERROR(VLOOKUP(CLEAN($V644),'All Security Controls'!$A:$I,5, FALSE),"---")</f>
        <v>---</v>
      </c>
      <c r="Z644" s="14" t="str">
        <f>IFERROR(VLOOKUP(CLEAN($V644),'All Security Controls'!$A:$I,6, FALSE),"---")</f>
        <v>---</v>
      </c>
      <c r="AA644" s="14" t="str">
        <f>IFERROR(VLOOKUP(CLEAN($V644),'All Security Controls'!$A:$I,7, FALSE),"---")</f>
        <v>---</v>
      </c>
      <c r="AB644" s="14" t="str">
        <f>IFERROR(VLOOKUP(CLEAN($V644),'All Security Controls'!$A:$I,8, FALSE),"---")</f>
        <v>---</v>
      </c>
      <c r="AC644" s="14" t="str">
        <f>IFERROR(VLOOKUP(CLEAN($V644),'All Security Controls'!$A:$I,9, FALSE),"---")</f>
        <v>---</v>
      </c>
      <c r="AD644" s="26">
        <v>643</v>
      </c>
    </row>
    <row r="645" spans="22:30" ht="15" customHeight="1" thickBot="1">
      <c r="V645" s="24"/>
      <c r="W645" s="16" t="str">
        <f>IFERROR(VLOOKUP(CLEAN($V645),'All Security Controls'!A:I, 2, FALSE),"---")</f>
        <v>---</v>
      </c>
      <c r="X645" s="14" t="str">
        <f>IFERROR(VLOOKUP(CLEAN($V645),'All Security Controls'!$A:$I, 4, FALSE),"---")</f>
        <v>---</v>
      </c>
      <c r="Y645" s="14" t="str">
        <f>IFERROR(VLOOKUP(CLEAN($V645),'All Security Controls'!$A:$I,5, FALSE),"---")</f>
        <v>---</v>
      </c>
      <c r="Z645" s="14" t="str">
        <f>IFERROR(VLOOKUP(CLEAN($V645),'All Security Controls'!$A:$I,6, FALSE),"---")</f>
        <v>---</v>
      </c>
      <c r="AA645" s="14" t="str">
        <f>IFERROR(VLOOKUP(CLEAN($V645),'All Security Controls'!$A:$I,7, FALSE),"---")</f>
        <v>---</v>
      </c>
      <c r="AB645" s="14" t="str">
        <f>IFERROR(VLOOKUP(CLEAN($V645),'All Security Controls'!$A:$I,8, FALSE),"---")</f>
        <v>---</v>
      </c>
      <c r="AC645" s="14" t="str">
        <f>IFERROR(VLOOKUP(CLEAN($V645),'All Security Controls'!$A:$I,9, FALSE),"---")</f>
        <v>---</v>
      </c>
      <c r="AD645" s="26">
        <v>644</v>
      </c>
    </row>
    <row r="646" spans="22:30" ht="15" customHeight="1" thickBot="1">
      <c r="V646" s="24"/>
      <c r="W646" s="16" t="str">
        <f>IFERROR(VLOOKUP(CLEAN($V646),'All Security Controls'!A:I, 2, FALSE),"---")</f>
        <v>---</v>
      </c>
      <c r="X646" s="14" t="str">
        <f>IFERROR(VLOOKUP(CLEAN($V646),'All Security Controls'!$A:$I, 4, FALSE),"---")</f>
        <v>---</v>
      </c>
      <c r="Y646" s="14" t="str">
        <f>IFERROR(VLOOKUP(CLEAN($V646),'All Security Controls'!$A:$I,5, FALSE),"---")</f>
        <v>---</v>
      </c>
      <c r="Z646" s="14" t="str">
        <f>IFERROR(VLOOKUP(CLEAN($V646),'All Security Controls'!$A:$I,6, FALSE),"---")</f>
        <v>---</v>
      </c>
      <c r="AA646" s="14" t="str">
        <f>IFERROR(VLOOKUP(CLEAN($V646),'All Security Controls'!$A:$I,7, FALSE),"---")</f>
        <v>---</v>
      </c>
      <c r="AB646" s="14" t="str">
        <f>IFERROR(VLOOKUP(CLEAN($V646),'All Security Controls'!$A:$I,8, FALSE),"---")</f>
        <v>---</v>
      </c>
      <c r="AC646" s="14" t="str">
        <f>IFERROR(VLOOKUP(CLEAN($V646),'All Security Controls'!$A:$I,9, FALSE),"---")</f>
        <v>---</v>
      </c>
      <c r="AD646" s="26">
        <v>645</v>
      </c>
    </row>
    <row r="647" spans="22:30" ht="15" customHeight="1" thickBot="1">
      <c r="V647" s="24"/>
      <c r="W647" s="16" t="str">
        <f>IFERROR(VLOOKUP(CLEAN($V647),'All Security Controls'!A:I, 2, FALSE),"---")</f>
        <v>---</v>
      </c>
      <c r="X647" s="14" t="str">
        <f>IFERROR(VLOOKUP(CLEAN($V647),'All Security Controls'!$A:$I, 4, FALSE),"---")</f>
        <v>---</v>
      </c>
      <c r="Y647" s="14" t="str">
        <f>IFERROR(VLOOKUP(CLEAN($V647),'All Security Controls'!$A:$I,5, FALSE),"---")</f>
        <v>---</v>
      </c>
      <c r="Z647" s="14" t="str">
        <f>IFERROR(VLOOKUP(CLEAN($V647),'All Security Controls'!$A:$I,6, FALSE),"---")</f>
        <v>---</v>
      </c>
      <c r="AA647" s="14" t="str">
        <f>IFERROR(VLOOKUP(CLEAN($V647),'All Security Controls'!$A:$I,7, FALSE),"---")</f>
        <v>---</v>
      </c>
      <c r="AB647" s="14" t="str">
        <f>IFERROR(VLOOKUP(CLEAN($V647),'All Security Controls'!$A:$I,8, FALSE),"---")</f>
        <v>---</v>
      </c>
      <c r="AC647" s="14" t="str">
        <f>IFERROR(VLOOKUP(CLEAN($V647),'All Security Controls'!$A:$I,9, FALSE),"---")</f>
        <v>---</v>
      </c>
      <c r="AD647" s="26">
        <v>646</v>
      </c>
    </row>
    <row r="648" spans="22:30" ht="15" customHeight="1" thickBot="1">
      <c r="V648" s="24"/>
      <c r="W648" s="16" t="str">
        <f>IFERROR(VLOOKUP(CLEAN($V648),'All Security Controls'!A:I, 2, FALSE),"---")</f>
        <v>---</v>
      </c>
      <c r="X648" s="14" t="str">
        <f>IFERROR(VLOOKUP(CLEAN($V648),'All Security Controls'!$A:$I, 4, FALSE),"---")</f>
        <v>---</v>
      </c>
      <c r="Y648" s="14" t="str">
        <f>IFERROR(VLOOKUP(CLEAN($V648),'All Security Controls'!$A:$I,5, FALSE),"---")</f>
        <v>---</v>
      </c>
      <c r="Z648" s="14" t="str">
        <f>IFERROR(VLOOKUP(CLEAN($V648),'All Security Controls'!$A:$I,6, FALSE),"---")</f>
        <v>---</v>
      </c>
      <c r="AA648" s="14" t="str">
        <f>IFERROR(VLOOKUP(CLEAN($V648),'All Security Controls'!$A:$I,7, FALSE),"---")</f>
        <v>---</v>
      </c>
      <c r="AB648" s="14" t="str">
        <f>IFERROR(VLOOKUP(CLEAN($V648),'All Security Controls'!$A:$I,8, FALSE),"---")</f>
        <v>---</v>
      </c>
      <c r="AC648" s="14" t="str">
        <f>IFERROR(VLOOKUP(CLEAN($V648),'All Security Controls'!$A:$I,9, FALSE),"---")</f>
        <v>---</v>
      </c>
      <c r="AD648" s="26">
        <v>647</v>
      </c>
    </row>
    <row r="649" spans="22:30" ht="15" customHeight="1" thickBot="1">
      <c r="V649" s="24"/>
      <c r="W649" s="16" t="str">
        <f>IFERROR(VLOOKUP(CLEAN($V649),'All Security Controls'!A:I, 2, FALSE),"---")</f>
        <v>---</v>
      </c>
      <c r="X649" s="14" t="str">
        <f>IFERROR(VLOOKUP(CLEAN($V649),'All Security Controls'!$A:$I, 4, FALSE),"---")</f>
        <v>---</v>
      </c>
      <c r="Y649" s="14" t="str">
        <f>IFERROR(VLOOKUP(CLEAN($V649),'All Security Controls'!$A:$I,5, FALSE),"---")</f>
        <v>---</v>
      </c>
      <c r="Z649" s="14" t="str">
        <f>IFERROR(VLOOKUP(CLEAN($V649),'All Security Controls'!$A:$I,6, FALSE),"---")</f>
        <v>---</v>
      </c>
      <c r="AA649" s="14" t="str">
        <f>IFERROR(VLOOKUP(CLEAN($V649),'All Security Controls'!$A:$I,7, FALSE),"---")</f>
        <v>---</v>
      </c>
      <c r="AB649" s="14" t="str">
        <f>IFERROR(VLOOKUP(CLEAN($V649),'All Security Controls'!$A:$I,8, FALSE),"---")</f>
        <v>---</v>
      </c>
      <c r="AC649" s="14" t="str">
        <f>IFERROR(VLOOKUP(CLEAN($V649),'All Security Controls'!$A:$I,9, FALSE),"---")</f>
        <v>---</v>
      </c>
      <c r="AD649" s="26">
        <v>648</v>
      </c>
    </row>
    <row r="650" spans="22:30" ht="15" customHeight="1" thickBot="1">
      <c r="V650" s="24"/>
      <c r="W650" s="16" t="str">
        <f>IFERROR(VLOOKUP(CLEAN($V650),'All Security Controls'!A:I, 2, FALSE),"---")</f>
        <v>---</v>
      </c>
      <c r="X650" s="14" t="str">
        <f>IFERROR(VLOOKUP(CLEAN($V650),'All Security Controls'!$A:$I, 4, FALSE),"---")</f>
        <v>---</v>
      </c>
      <c r="Y650" s="14" t="str">
        <f>IFERROR(VLOOKUP(CLEAN($V650),'All Security Controls'!$A:$I,5, FALSE),"---")</f>
        <v>---</v>
      </c>
      <c r="Z650" s="14" t="str">
        <f>IFERROR(VLOOKUP(CLEAN($V650),'All Security Controls'!$A:$I,6, FALSE),"---")</f>
        <v>---</v>
      </c>
      <c r="AA650" s="14" t="str">
        <f>IFERROR(VLOOKUP(CLEAN($V650),'All Security Controls'!$A:$I,7, FALSE),"---")</f>
        <v>---</v>
      </c>
      <c r="AB650" s="14" t="str">
        <f>IFERROR(VLOOKUP(CLEAN($V650),'All Security Controls'!$A:$I,8, FALSE),"---")</f>
        <v>---</v>
      </c>
      <c r="AC650" s="14" t="str">
        <f>IFERROR(VLOOKUP(CLEAN($V650),'All Security Controls'!$A:$I,9, FALSE),"---")</f>
        <v>---</v>
      </c>
      <c r="AD650" s="26">
        <v>649</v>
      </c>
    </row>
    <row r="651" spans="22:30" ht="15" customHeight="1" thickBot="1">
      <c r="V651" s="24"/>
      <c r="W651" s="16" t="str">
        <f>IFERROR(VLOOKUP(CLEAN($V651),'All Security Controls'!A:I, 2, FALSE),"---")</f>
        <v>---</v>
      </c>
      <c r="X651" s="14" t="str">
        <f>IFERROR(VLOOKUP(CLEAN($V651),'All Security Controls'!$A:$I, 4, FALSE),"---")</f>
        <v>---</v>
      </c>
      <c r="Y651" s="14" t="str">
        <f>IFERROR(VLOOKUP(CLEAN($V651),'All Security Controls'!$A:$I,5, FALSE),"---")</f>
        <v>---</v>
      </c>
      <c r="Z651" s="14" t="str">
        <f>IFERROR(VLOOKUP(CLEAN($V651),'All Security Controls'!$A:$I,6, FALSE),"---")</f>
        <v>---</v>
      </c>
      <c r="AA651" s="14" t="str">
        <f>IFERROR(VLOOKUP(CLEAN($V651),'All Security Controls'!$A:$I,7, FALSE),"---")</f>
        <v>---</v>
      </c>
      <c r="AB651" s="14" t="str">
        <f>IFERROR(VLOOKUP(CLEAN($V651),'All Security Controls'!$A:$I,8, FALSE),"---")</f>
        <v>---</v>
      </c>
      <c r="AC651" s="14" t="str">
        <f>IFERROR(VLOOKUP(CLEAN($V651),'All Security Controls'!$A:$I,9, FALSE),"---")</f>
        <v>---</v>
      </c>
      <c r="AD651" s="26">
        <v>650</v>
      </c>
    </row>
    <row r="652" spans="22:30" ht="15" customHeight="1" thickBot="1">
      <c r="V652" s="24"/>
      <c r="W652" s="16" t="str">
        <f>IFERROR(VLOOKUP(CLEAN($V652),'All Security Controls'!A:I, 2, FALSE),"---")</f>
        <v>---</v>
      </c>
      <c r="X652" s="14" t="str">
        <f>IFERROR(VLOOKUP(CLEAN($V652),'All Security Controls'!$A:$I, 4, FALSE),"---")</f>
        <v>---</v>
      </c>
      <c r="Y652" s="14" t="str">
        <f>IFERROR(VLOOKUP(CLEAN($V652),'All Security Controls'!$A:$I,5, FALSE),"---")</f>
        <v>---</v>
      </c>
      <c r="Z652" s="14" t="str">
        <f>IFERROR(VLOOKUP(CLEAN($V652),'All Security Controls'!$A:$I,6, FALSE),"---")</f>
        <v>---</v>
      </c>
      <c r="AA652" s="14" t="str">
        <f>IFERROR(VLOOKUP(CLEAN($V652),'All Security Controls'!$A:$I,7, FALSE),"---")</f>
        <v>---</v>
      </c>
      <c r="AB652" s="14" t="str">
        <f>IFERROR(VLOOKUP(CLEAN($V652),'All Security Controls'!$A:$I,8, FALSE),"---")</f>
        <v>---</v>
      </c>
      <c r="AC652" s="14" t="str">
        <f>IFERROR(VLOOKUP(CLEAN($V652),'All Security Controls'!$A:$I,9, FALSE),"---")</f>
        <v>---</v>
      </c>
      <c r="AD652" s="26">
        <v>651</v>
      </c>
    </row>
    <row r="653" spans="22:30" ht="15" customHeight="1" thickBot="1">
      <c r="V653" s="24"/>
      <c r="W653" s="16" t="str">
        <f>IFERROR(VLOOKUP(CLEAN($V653),'All Security Controls'!A:I, 2, FALSE),"---")</f>
        <v>---</v>
      </c>
      <c r="X653" s="14" t="str">
        <f>IFERROR(VLOOKUP(CLEAN($V653),'All Security Controls'!$A:$I, 4, FALSE),"---")</f>
        <v>---</v>
      </c>
      <c r="Y653" s="14" t="str">
        <f>IFERROR(VLOOKUP(CLEAN($V653),'All Security Controls'!$A:$I,5, FALSE),"---")</f>
        <v>---</v>
      </c>
      <c r="Z653" s="14" t="str">
        <f>IFERROR(VLOOKUP(CLEAN($V653),'All Security Controls'!$A:$I,6, FALSE),"---")</f>
        <v>---</v>
      </c>
      <c r="AA653" s="14" t="str">
        <f>IFERROR(VLOOKUP(CLEAN($V653),'All Security Controls'!$A:$I,7, FALSE),"---")</f>
        <v>---</v>
      </c>
      <c r="AB653" s="14" t="str">
        <f>IFERROR(VLOOKUP(CLEAN($V653),'All Security Controls'!$A:$I,8, FALSE),"---")</f>
        <v>---</v>
      </c>
      <c r="AC653" s="14" t="str">
        <f>IFERROR(VLOOKUP(CLEAN($V653),'All Security Controls'!$A:$I,9, FALSE),"---")</f>
        <v>---</v>
      </c>
      <c r="AD653" s="26">
        <v>652</v>
      </c>
    </row>
    <row r="654" spans="22:30" ht="15" customHeight="1" thickBot="1">
      <c r="V654" s="24"/>
      <c r="W654" s="16" t="str">
        <f>IFERROR(VLOOKUP(CLEAN($V654),'All Security Controls'!A:I, 2, FALSE),"---")</f>
        <v>---</v>
      </c>
      <c r="X654" s="14" t="str">
        <f>IFERROR(VLOOKUP(CLEAN($V654),'All Security Controls'!$A:$I, 4, FALSE),"---")</f>
        <v>---</v>
      </c>
      <c r="Y654" s="14" t="str">
        <f>IFERROR(VLOOKUP(CLEAN($V654),'All Security Controls'!$A:$I,5, FALSE),"---")</f>
        <v>---</v>
      </c>
      <c r="Z654" s="14" t="str">
        <f>IFERROR(VLOOKUP(CLEAN($V654),'All Security Controls'!$A:$I,6, FALSE),"---")</f>
        <v>---</v>
      </c>
      <c r="AA654" s="14" t="str">
        <f>IFERROR(VLOOKUP(CLEAN($V654),'All Security Controls'!$A:$I,7, FALSE),"---")</f>
        <v>---</v>
      </c>
      <c r="AB654" s="14" t="str">
        <f>IFERROR(VLOOKUP(CLEAN($V654),'All Security Controls'!$A:$I,8, FALSE),"---")</f>
        <v>---</v>
      </c>
      <c r="AC654" s="14" t="str">
        <f>IFERROR(VLOOKUP(CLEAN($V654),'All Security Controls'!$A:$I,9, FALSE),"---")</f>
        <v>---</v>
      </c>
      <c r="AD654" s="26">
        <v>653</v>
      </c>
    </row>
    <row r="655" spans="22:30" ht="15" customHeight="1" thickBot="1">
      <c r="V655" s="24"/>
      <c r="W655" s="16" t="str">
        <f>IFERROR(VLOOKUP(CLEAN($V655),'All Security Controls'!A:I, 2, FALSE),"---")</f>
        <v>---</v>
      </c>
      <c r="X655" s="14" t="str">
        <f>IFERROR(VLOOKUP(CLEAN($V655),'All Security Controls'!$A:$I, 4, FALSE),"---")</f>
        <v>---</v>
      </c>
      <c r="Y655" s="14" t="str">
        <f>IFERROR(VLOOKUP(CLEAN($V655),'All Security Controls'!$A:$I,5, FALSE),"---")</f>
        <v>---</v>
      </c>
      <c r="Z655" s="14" t="str">
        <f>IFERROR(VLOOKUP(CLEAN($V655),'All Security Controls'!$A:$I,6, FALSE),"---")</f>
        <v>---</v>
      </c>
      <c r="AA655" s="14" t="str">
        <f>IFERROR(VLOOKUP(CLEAN($V655),'All Security Controls'!$A:$I,7, FALSE),"---")</f>
        <v>---</v>
      </c>
      <c r="AB655" s="14" t="str">
        <f>IFERROR(VLOOKUP(CLEAN($V655),'All Security Controls'!$A:$I,8, FALSE),"---")</f>
        <v>---</v>
      </c>
      <c r="AC655" s="14" t="str">
        <f>IFERROR(VLOOKUP(CLEAN($V655),'All Security Controls'!$A:$I,9, FALSE),"---")</f>
        <v>---</v>
      </c>
      <c r="AD655" s="26">
        <v>654</v>
      </c>
    </row>
    <row r="656" spans="22:30" ht="15" customHeight="1" thickBot="1">
      <c r="V656" s="24"/>
      <c r="W656" s="16" t="str">
        <f>IFERROR(VLOOKUP(CLEAN($V656),'All Security Controls'!A:I, 2, FALSE),"---")</f>
        <v>---</v>
      </c>
      <c r="X656" s="14" t="str">
        <f>IFERROR(VLOOKUP(CLEAN($V656),'All Security Controls'!$A:$I, 4, FALSE),"---")</f>
        <v>---</v>
      </c>
      <c r="Y656" s="14" t="str">
        <f>IFERROR(VLOOKUP(CLEAN($V656),'All Security Controls'!$A:$I,5, FALSE),"---")</f>
        <v>---</v>
      </c>
      <c r="Z656" s="14" t="str">
        <f>IFERROR(VLOOKUP(CLEAN($V656),'All Security Controls'!$A:$I,6, FALSE),"---")</f>
        <v>---</v>
      </c>
      <c r="AA656" s="14" t="str">
        <f>IFERROR(VLOOKUP(CLEAN($V656),'All Security Controls'!$A:$I,7, FALSE),"---")</f>
        <v>---</v>
      </c>
      <c r="AB656" s="14" t="str">
        <f>IFERROR(VLOOKUP(CLEAN($V656),'All Security Controls'!$A:$I,8, FALSE),"---")</f>
        <v>---</v>
      </c>
      <c r="AC656" s="14" t="str">
        <f>IFERROR(VLOOKUP(CLEAN($V656),'All Security Controls'!$A:$I,9, FALSE),"---")</f>
        <v>---</v>
      </c>
      <c r="AD656" s="26">
        <v>655</v>
      </c>
    </row>
    <row r="657" spans="22:30" ht="15" customHeight="1" thickBot="1">
      <c r="V657" s="24"/>
      <c r="W657" s="16" t="str">
        <f>IFERROR(VLOOKUP(CLEAN($V657),'All Security Controls'!A:I, 2, FALSE),"---")</f>
        <v>---</v>
      </c>
      <c r="X657" s="14" t="str">
        <f>IFERROR(VLOOKUP(CLEAN($V657),'All Security Controls'!$A:$I, 4, FALSE),"---")</f>
        <v>---</v>
      </c>
      <c r="Y657" s="14" t="str">
        <f>IFERROR(VLOOKUP(CLEAN($V657),'All Security Controls'!$A:$I,5, FALSE),"---")</f>
        <v>---</v>
      </c>
      <c r="Z657" s="14" t="str">
        <f>IFERROR(VLOOKUP(CLEAN($V657),'All Security Controls'!$A:$I,6, FALSE),"---")</f>
        <v>---</v>
      </c>
      <c r="AA657" s="14" t="str">
        <f>IFERROR(VLOOKUP(CLEAN($V657),'All Security Controls'!$A:$I,7, FALSE),"---")</f>
        <v>---</v>
      </c>
      <c r="AB657" s="14" t="str">
        <f>IFERROR(VLOOKUP(CLEAN($V657),'All Security Controls'!$A:$I,8, FALSE),"---")</f>
        <v>---</v>
      </c>
      <c r="AC657" s="14" t="str">
        <f>IFERROR(VLOOKUP(CLEAN($V657),'All Security Controls'!$A:$I,9, FALSE),"---")</f>
        <v>---</v>
      </c>
      <c r="AD657" s="26">
        <v>656</v>
      </c>
    </row>
    <row r="658" spans="22:30" ht="15" customHeight="1" thickBot="1">
      <c r="V658" s="24"/>
      <c r="W658" s="16" t="str">
        <f>IFERROR(VLOOKUP(CLEAN($V658),'All Security Controls'!A:I, 2, FALSE),"---")</f>
        <v>---</v>
      </c>
      <c r="X658" s="14" t="str">
        <f>IFERROR(VLOOKUP(CLEAN($V658),'All Security Controls'!$A:$I, 4, FALSE),"---")</f>
        <v>---</v>
      </c>
      <c r="Y658" s="14" t="str">
        <f>IFERROR(VLOOKUP(CLEAN($V658),'All Security Controls'!$A:$I,5, FALSE),"---")</f>
        <v>---</v>
      </c>
      <c r="Z658" s="14" t="str">
        <f>IFERROR(VLOOKUP(CLEAN($V658),'All Security Controls'!$A:$I,6, FALSE),"---")</f>
        <v>---</v>
      </c>
      <c r="AA658" s="14" t="str">
        <f>IFERROR(VLOOKUP(CLEAN($V658),'All Security Controls'!$A:$I,7, FALSE),"---")</f>
        <v>---</v>
      </c>
      <c r="AB658" s="14" t="str">
        <f>IFERROR(VLOOKUP(CLEAN($V658),'All Security Controls'!$A:$I,8, FALSE),"---")</f>
        <v>---</v>
      </c>
      <c r="AC658" s="14" t="str">
        <f>IFERROR(VLOOKUP(CLEAN($V658),'All Security Controls'!$A:$I,9, FALSE),"---")</f>
        <v>---</v>
      </c>
      <c r="AD658" s="26">
        <v>657</v>
      </c>
    </row>
    <row r="659" spans="22:30" ht="15" customHeight="1" thickBot="1">
      <c r="V659" s="24"/>
      <c r="W659" s="16" t="str">
        <f>IFERROR(VLOOKUP(CLEAN($V659),'All Security Controls'!A:I, 2, FALSE),"---")</f>
        <v>---</v>
      </c>
      <c r="X659" s="14" t="str">
        <f>IFERROR(VLOOKUP(CLEAN($V659),'All Security Controls'!$A:$I, 4, FALSE),"---")</f>
        <v>---</v>
      </c>
      <c r="Y659" s="14" t="str">
        <f>IFERROR(VLOOKUP(CLEAN($V659),'All Security Controls'!$A:$I,5, FALSE),"---")</f>
        <v>---</v>
      </c>
      <c r="Z659" s="14" t="str">
        <f>IFERROR(VLOOKUP(CLEAN($V659),'All Security Controls'!$A:$I,6, FALSE),"---")</f>
        <v>---</v>
      </c>
      <c r="AA659" s="14" t="str">
        <f>IFERROR(VLOOKUP(CLEAN($V659),'All Security Controls'!$A:$I,7, FALSE),"---")</f>
        <v>---</v>
      </c>
      <c r="AB659" s="14" t="str">
        <f>IFERROR(VLOOKUP(CLEAN($V659),'All Security Controls'!$A:$I,8, FALSE),"---")</f>
        <v>---</v>
      </c>
      <c r="AC659" s="14" t="str">
        <f>IFERROR(VLOOKUP(CLEAN($V659),'All Security Controls'!$A:$I,9, FALSE),"---")</f>
        <v>---</v>
      </c>
      <c r="AD659" s="26">
        <v>658</v>
      </c>
    </row>
    <row r="660" spans="22:30" ht="15" customHeight="1" thickBot="1">
      <c r="V660" s="24"/>
      <c r="W660" s="16" t="str">
        <f>IFERROR(VLOOKUP(CLEAN($V660),'All Security Controls'!A:I, 2, FALSE),"---")</f>
        <v>---</v>
      </c>
      <c r="X660" s="14" t="str">
        <f>IFERROR(VLOOKUP(CLEAN($V660),'All Security Controls'!$A:$I, 4, FALSE),"---")</f>
        <v>---</v>
      </c>
      <c r="Y660" s="14" t="str">
        <f>IFERROR(VLOOKUP(CLEAN($V660),'All Security Controls'!$A:$I,5, FALSE),"---")</f>
        <v>---</v>
      </c>
      <c r="Z660" s="14" t="str">
        <f>IFERROR(VLOOKUP(CLEAN($V660),'All Security Controls'!$A:$I,6, FALSE),"---")</f>
        <v>---</v>
      </c>
      <c r="AA660" s="14" t="str">
        <f>IFERROR(VLOOKUP(CLEAN($V660),'All Security Controls'!$A:$I,7, FALSE),"---")</f>
        <v>---</v>
      </c>
      <c r="AB660" s="14" t="str">
        <f>IFERROR(VLOOKUP(CLEAN($V660),'All Security Controls'!$A:$I,8, FALSE),"---")</f>
        <v>---</v>
      </c>
      <c r="AC660" s="14" t="str">
        <f>IFERROR(VLOOKUP(CLEAN($V660),'All Security Controls'!$A:$I,9, FALSE),"---")</f>
        <v>---</v>
      </c>
      <c r="AD660" s="26">
        <v>659</v>
      </c>
    </row>
    <row r="661" spans="22:30" ht="15" customHeight="1" thickBot="1">
      <c r="V661" s="24"/>
      <c r="W661" s="16" t="str">
        <f>IFERROR(VLOOKUP(CLEAN($V661),'All Security Controls'!A:I, 2, FALSE),"---")</f>
        <v>---</v>
      </c>
      <c r="X661" s="14" t="str">
        <f>IFERROR(VLOOKUP(CLEAN($V661),'All Security Controls'!$A:$I, 4, FALSE),"---")</f>
        <v>---</v>
      </c>
      <c r="Y661" s="14" t="str">
        <f>IFERROR(VLOOKUP(CLEAN($V661),'All Security Controls'!$A:$I,5, FALSE),"---")</f>
        <v>---</v>
      </c>
      <c r="Z661" s="14" t="str">
        <f>IFERROR(VLOOKUP(CLEAN($V661),'All Security Controls'!$A:$I,6, FALSE),"---")</f>
        <v>---</v>
      </c>
      <c r="AA661" s="14" t="str">
        <f>IFERROR(VLOOKUP(CLEAN($V661),'All Security Controls'!$A:$I,7, FALSE),"---")</f>
        <v>---</v>
      </c>
      <c r="AB661" s="14" t="str">
        <f>IFERROR(VLOOKUP(CLEAN($V661),'All Security Controls'!$A:$I,8, FALSE),"---")</f>
        <v>---</v>
      </c>
      <c r="AC661" s="14" t="str">
        <f>IFERROR(VLOOKUP(CLEAN($V661),'All Security Controls'!$A:$I,9, FALSE),"---")</f>
        <v>---</v>
      </c>
      <c r="AD661" s="26">
        <v>660</v>
      </c>
    </row>
    <row r="662" spans="22:30" ht="15" customHeight="1" thickBot="1">
      <c r="V662" s="24"/>
      <c r="W662" s="16" t="str">
        <f>IFERROR(VLOOKUP(CLEAN($V662),'All Security Controls'!A:I, 2, FALSE),"---")</f>
        <v>---</v>
      </c>
      <c r="X662" s="14" t="str">
        <f>IFERROR(VLOOKUP(CLEAN($V662),'All Security Controls'!$A:$I, 4, FALSE),"---")</f>
        <v>---</v>
      </c>
      <c r="Y662" s="14" t="str">
        <f>IFERROR(VLOOKUP(CLEAN($V662),'All Security Controls'!$A:$I,5, FALSE),"---")</f>
        <v>---</v>
      </c>
      <c r="Z662" s="14" t="str">
        <f>IFERROR(VLOOKUP(CLEAN($V662),'All Security Controls'!$A:$I,6, FALSE),"---")</f>
        <v>---</v>
      </c>
      <c r="AA662" s="14" t="str">
        <f>IFERROR(VLOOKUP(CLEAN($V662),'All Security Controls'!$A:$I,7, FALSE),"---")</f>
        <v>---</v>
      </c>
      <c r="AB662" s="14" t="str">
        <f>IFERROR(VLOOKUP(CLEAN($V662),'All Security Controls'!$A:$I,8, FALSE),"---")</f>
        <v>---</v>
      </c>
      <c r="AC662" s="14" t="str">
        <f>IFERROR(VLOOKUP(CLEAN($V662),'All Security Controls'!$A:$I,9, FALSE),"---")</f>
        <v>---</v>
      </c>
      <c r="AD662" s="26">
        <v>661</v>
      </c>
    </row>
    <row r="663" spans="22:30" ht="15" customHeight="1" thickBot="1">
      <c r="V663" s="24"/>
      <c r="W663" s="16" t="str">
        <f>IFERROR(VLOOKUP(CLEAN($V663),'All Security Controls'!A:I, 2, FALSE),"---")</f>
        <v>---</v>
      </c>
      <c r="X663" s="14" t="str">
        <f>IFERROR(VLOOKUP(CLEAN($V663),'All Security Controls'!$A:$I, 4, FALSE),"---")</f>
        <v>---</v>
      </c>
      <c r="Y663" s="14" t="str">
        <f>IFERROR(VLOOKUP(CLEAN($V663),'All Security Controls'!$A:$I,5, FALSE),"---")</f>
        <v>---</v>
      </c>
      <c r="Z663" s="14" t="str">
        <f>IFERROR(VLOOKUP(CLEAN($V663),'All Security Controls'!$A:$I,6, FALSE),"---")</f>
        <v>---</v>
      </c>
      <c r="AA663" s="14" t="str">
        <f>IFERROR(VLOOKUP(CLEAN($V663),'All Security Controls'!$A:$I,7, FALSE),"---")</f>
        <v>---</v>
      </c>
      <c r="AB663" s="14" t="str">
        <f>IFERROR(VLOOKUP(CLEAN($V663),'All Security Controls'!$A:$I,8, FALSE),"---")</f>
        <v>---</v>
      </c>
      <c r="AC663" s="14" t="str">
        <f>IFERROR(VLOOKUP(CLEAN($V663),'All Security Controls'!$A:$I,9, FALSE),"---")</f>
        <v>---</v>
      </c>
      <c r="AD663" s="26">
        <v>662</v>
      </c>
    </row>
    <row r="664" spans="22:30" ht="15" customHeight="1" thickBot="1">
      <c r="V664" s="24"/>
      <c r="W664" s="16" t="str">
        <f>IFERROR(VLOOKUP(CLEAN($V664),'All Security Controls'!A:I, 2, FALSE),"---")</f>
        <v>---</v>
      </c>
      <c r="X664" s="14" t="str">
        <f>IFERROR(VLOOKUP(CLEAN($V664),'All Security Controls'!$A:$I, 4, FALSE),"---")</f>
        <v>---</v>
      </c>
      <c r="Y664" s="14" t="str">
        <f>IFERROR(VLOOKUP(CLEAN($V664),'All Security Controls'!$A:$I,5, FALSE),"---")</f>
        <v>---</v>
      </c>
      <c r="Z664" s="14" t="str">
        <f>IFERROR(VLOOKUP(CLEAN($V664),'All Security Controls'!$A:$I,6, FALSE),"---")</f>
        <v>---</v>
      </c>
      <c r="AA664" s="14" t="str">
        <f>IFERROR(VLOOKUP(CLEAN($V664),'All Security Controls'!$A:$I,7, FALSE),"---")</f>
        <v>---</v>
      </c>
      <c r="AB664" s="14" t="str">
        <f>IFERROR(VLOOKUP(CLEAN($V664),'All Security Controls'!$A:$I,8, FALSE),"---")</f>
        <v>---</v>
      </c>
      <c r="AC664" s="14" t="str">
        <f>IFERROR(VLOOKUP(CLEAN($V664),'All Security Controls'!$A:$I,9, FALSE),"---")</f>
        <v>---</v>
      </c>
      <c r="AD664" s="26">
        <v>663</v>
      </c>
    </row>
    <row r="665" spans="22:30" ht="15" customHeight="1" thickBot="1">
      <c r="V665" s="24"/>
      <c r="W665" s="16" t="str">
        <f>IFERROR(VLOOKUP(CLEAN($V665),'All Security Controls'!A:I, 2, FALSE),"---")</f>
        <v>---</v>
      </c>
      <c r="X665" s="14" t="str">
        <f>IFERROR(VLOOKUP(CLEAN($V665),'All Security Controls'!$A:$I, 4, FALSE),"---")</f>
        <v>---</v>
      </c>
      <c r="Y665" s="14" t="str">
        <f>IFERROR(VLOOKUP(CLEAN($V665),'All Security Controls'!$A:$I,5, FALSE),"---")</f>
        <v>---</v>
      </c>
      <c r="Z665" s="14" t="str">
        <f>IFERROR(VLOOKUP(CLEAN($V665),'All Security Controls'!$A:$I,6, FALSE),"---")</f>
        <v>---</v>
      </c>
      <c r="AA665" s="14" t="str">
        <f>IFERROR(VLOOKUP(CLEAN($V665),'All Security Controls'!$A:$I,7, FALSE),"---")</f>
        <v>---</v>
      </c>
      <c r="AB665" s="14" t="str">
        <f>IFERROR(VLOOKUP(CLEAN($V665),'All Security Controls'!$A:$I,8, FALSE),"---")</f>
        <v>---</v>
      </c>
      <c r="AC665" s="14" t="str">
        <f>IFERROR(VLOOKUP(CLEAN($V665),'All Security Controls'!$A:$I,9, FALSE),"---")</f>
        <v>---</v>
      </c>
      <c r="AD665" s="26">
        <v>664</v>
      </c>
    </row>
    <row r="666" spans="22:30" ht="15" customHeight="1" thickBot="1">
      <c r="V666" s="24"/>
      <c r="W666" s="16" t="str">
        <f>IFERROR(VLOOKUP(CLEAN($V666),'All Security Controls'!A:I, 2, FALSE),"---")</f>
        <v>---</v>
      </c>
      <c r="X666" s="14" t="str">
        <f>IFERROR(VLOOKUP(CLEAN($V666),'All Security Controls'!$A:$I, 4, FALSE),"---")</f>
        <v>---</v>
      </c>
      <c r="Y666" s="14" t="str">
        <f>IFERROR(VLOOKUP(CLEAN($V666),'All Security Controls'!$A:$I,5, FALSE),"---")</f>
        <v>---</v>
      </c>
      <c r="Z666" s="14" t="str">
        <f>IFERROR(VLOOKUP(CLEAN($V666),'All Security Controls'!$A:$I,6, FALSE),"---")</f>
        <v>---</v>
      </c>
      <c r="AA666" s="14" t="str">
        <f>IFERROR(VLOOKUP(CLEAN($V666),'All Security Controls'!$A:$I,7, FALSE),"---")</f>
        <v>---</v>
      </c>
      <c r="AB666" s="14" t="str">
        <f>IFERROR(VLOOKUP(CLEAN($V666),'All Security Controls'!$A:$I,8, FALSE),"---")</f>
        <v>---</v>
      </c>
      <c r="AC666" s="14" t="str">
        <f>IFERROR(VLOOKUP(CLEAN($V666),'All Security Controls'!$A:$I,9, FALSE),"---")</f>
        <v>---</v>
      </c>
      <c r="AD666" s="26">
        <v>665</v>
      </c>
    </row>
    <row r="667" spans="22:30" ht="15" customHeight="1" thickBot="1">
      <c r="V667" s="24"/>
      <c r="W667" s="16" t="str">
        <f>IFERROR(VLOOKUP(CLEAN($V667),'All Security Controls'!A:I, 2, FALSE),"---")</f>
        <v>---</v>
      </c>
      <c r="X667" s="14" t="str">
        <f>IFERROR(VLOOKUP(CLEAN($V667),'All Security Controls'!$A:$I, 4, FALSE),"---")</f>
        <v>---</v>
      </c>
      <c r="Y667" s="14" t="str">
        <f>IFERROR(VLOOKUP(CLEAN($V667),'All Security Controls'!$A:$I,5, FALSE),"---")</f>
        <v>---</v>
      </c>
      <c r="Z667" s="14" t="str">
        <f>IFERROR(VLOOKUP(CLEAN($V667),'All Security Controls'!$A:$I,6, FALSE),"---")</f>
        <v>---</v>
      </c>
      <c r="AA667" s="14" t="str">
        <f>IFERROR(VLOOKUP(CLEAN($V667),'All Security Controls'!$A:$I,7, FALSE),"---")</f>
        <v>---</v>
      </c>
      <c r="AB667" s="14" t="str">
        <f>IFERROR(VLOOKUP(CLEAN($V667),'All Security Controls'!$A:$I,8, FALSE),"---")</f>
        <v>---</v>
      </c>
      <c r="AC667" s="14" t="str">
        <f>IFERROR(VLOOKUP(CLEAN($V667),'All Security Controls'!$A:$I,9, FALSE),"---")</f>
        <v>---</v>
      </c>
      <c r="AD667" s="26">
        <v>666</v>
      </c>
    </row>
    <row r="668" spans="22:30" ht="15" customHeight="1" thickBot="1">
      <c r="V668" s="24"/>
      <c r="W668" s="16" t="str">
        <f>IFERROR(VLOOKUP(CLEAN($V668),'All Security Controls'!A:I, 2, FALSE),"---")</f>
        <v>---</v>
      </c>
      <c r="X668" s="14" t="str">
        <f>IFERROR(VLOOKUP(CLEAN($V668),'All Security Controls'!$A:$I, 4, FALSE),"---")</f>
        <v>---</v>
      </c>
      <c r="Y668" s="14" t="str">
        <f>IFERROR(VLOOKUP(CLEAN($V668),'All Security Controls'!$A:$I,5, FALSE),"---")</f>
        <v>---</v>
      </c>
      <c r="Z668" s="14" t="str">
        <f>IFERROR(VLOOKUP(CLEAN($V668),'All Security Controls'!$A:$I,6, FALSE),"---")</f>
        <v>---</v>
      </c>
      <c r="AA668" s="14" t="str">
        <f>IFERROR(VLOOKUP(CLEAN($V668),'All Security Controls'!$A:$I,7, FALSE),"---")</f>
        <v>---</v>
      </c>
      <c r="AB668" s="14" t="str">
        <f>IFERROR(VLOOKUP(CLEAN($V668),'All Security Controls'!$A:$I,8, FALSE),"---")</f>
        <v>---</v>
      </c>
      <c r="AC668" s="14" t="str">
        <f>IFERROR(VLOOKUP(CLEAN($V668),'All Security Controls'!$A:$I,9, FALSE),"---")</f>
        <v>---</v>
      </c>
      <c r="AD668" s="26">
        <v>667</v>
      </c>
    </row>
    <row r="669" spans="22:30" ht="15" customHeight="1" thickBot="1">
      <c r="V669" s="24"/>
      <c r="W669" s="16" t="str">
        <f>IFERROR(VLOOKUP(CLEAN($V669),'All Security Controls'!A:I, 2, FALSE),"---")</f>
        <v>---</v>
      </c>
      <c r="X669" s="14" t="str">
        <f>IFERROR(VLOOKUP(CLEAN($V669),'All Security Controls'!$A:$I, 4, FALSE),"---")</f>
        <v>---</v>
      </c>
      <c r="Y669" s="14" t="str">
        <f>IFERROR(VLOOKUP(CLEAN($V669),'All Security Controls'!$A:$I,5, FALSE),"---")</f>
        <v>---</v>
      </c>
      <c r="Z669" s="14" t="str">
        <f>IFERROR(VLOOKUP(CLEAN($V669),'All Security Controls'!$A:$I,6, FALSE),"---")</f>
        <v>---</v>
      </c>
      <c r="AA669" s="14" t="str">
        <f>IFERROR(VLOOKUP(CLEAN($V669),'All Security Controls'!$A:$I,7, FALSE),"---")</f>
        <v>---</v>
      </c>
      <c r="AB669" s="14" t="str">
        <f>IFERROR(VLOOKUP(CLEAN($V669),'All Security Controls'!$A:$I,8, FALSE),"---")</f>
        <v>---</v>
      </c>
      <c r="AC669" s="14" t="str">
        <f>IFERROR(VLOOKUP(CLEAN($V669),'All Security Controls'!$A:$I,9, FALSE),"---")</f>
        <v>---</v>
      </c>
      <c r="AD669" s="26">
        <v>668</v>
      </c>
    </row>
    <row r="670" spans="22:30" ht="15" customHeight="1" thickBot="1">
      <c r="V670" s="24"/>
      <c r="W670" s="16" t="str">
        <f>IFERROR(VLOOKUP(CLEAN($V670),'All Security Controls'!A:I, 2, FALSE),"---")</f>
        <v>---</v>
      </c>
      <c r="X670" s="14" t="str">
        <f>IFERROR(VLOOKUP(CLEAN($V670),'All Security Controls'!$A:$I, 4, FALSE),"---")</f>
        <v>---</v>
      </c>
      <c r="Y670" s="14" t="str">
        <f>IFERROR(VLOOKUP(CLEAN($V670),'All Security Controls'!$A:$I,5, FALSE),"---")</f>
        <v>---</v>
      </c>
      <c r="Z670" s="14" t="str">
        <f>IFERROR(VLOOKUP(CLEAN($V670),'All Security Controls'!$A:$I,6, FALSE),"---")</f>
        <v>---</v>
      </c>
      <c r="AA670" s="14" t="str">
        <f>IFERROR(VLOOKUP(CLEAN($V670),'All Security Controls'!$A:$I,7, FALSE),"---")</f>
        <v>---</v>
      </c>
      <c r="AB670" s="14" t="str">
        <f>IFERROR(VLOOKUP(CLEAN($V670),'All Security Controls'!$A:$I,8, FALSE),"---")</f>
        <v>---</v>
      </c>
      <c r="AC670" s="14" t="str">
        <f>IFERROR(VLOOKUP(CLEAN($V670),'All Security Controls'!$A:$I,9, FALSE),"---")</f>
        <v>---</v>
      </c>
      <c r="AD670" s="26">
        <v>669</v>
      </c>
    </row>
    <row r="671" spans="22:30" ht="15" customHeight="1" thickBot="1">
      <c r="V671" s="24"/>
      <c r="W671" s="16" t="str">
        <f>IFERROR(VLOOKUP(CLEAN($V671),'All Security Controls'!A:I, 2, FALSE),"---")</f>
        <v>---</v>
      </c>
      <c r="X671" s="14" t="str">
        <f>IFERROR(VLOOKUP(CLEAN($V671),'All Security Controls'!$A:$I, 4, FALSE),"---")</f>
        <v>---</v>
      </c>
      <c r="Y671" s="14" t="str">
        <f>IFERROR(VLOOKUP(CLEAN($V671),'All Security Controls'!$A:$I,5, FALSE),"---")</f>
        <v>---</v>
      </c>
      <c r="Z671" s="14" t="str">
        <f>IFERROR(VLOOKUP(CLEAN($V671),'All Security Controls'!$A:$I,6, FALSE),"---")</f>
        <v>---</v>
      </c>
      <c r="AA671" s="14" t="str">
        <f>IFERROR(VLOOKUP(CLEAN($V671),'All Security Controls'!$A:$I,7, FALSE),"---")</f>
        <v>---</v>
      </c>
      <c r="AB671" s="14" t="str">
        <f>IFERROR(VLOOKUP(CLEAN($V671),'All Security Controls'!$A:$I,8, FALSE),"---")</f>
        <v>---</v>
      </c>
      <c r="AC671" s="14" t="str">
        <f>IFERROR(VLOOKUP(CLEAN($V671),'All Security Controls'!$A:$I,9, FALSE),"---")</f>
        <v>---</v>
      </c>
      <c r="AD671" s="26">
        <v>670</v>
      </c>
    </row>
    <row r="672" spans="22:30" ht="15" customHeight="1" thickBot="1">
      <c r="V672" s="24"/>
      <c r="W672" s="16" t="str">
        <f>IFERROR(VLOOKUP(CLEAN($V672),'All Security Controls'!A:I, 2, FALSE),"---")</f>
        <v>---</v>
      </c>
      <c r="X672" s="14" t="str">
        <f>IFERROR(VLOOKUP(CLEAN($V672),'All Security Controls'!$A:$I, 4, FALSE),"---")</f>
        <v>---</v>
      </c>
      <c r="Y672" s="14" t="str">
        <f>IFERROR(VLOOKUP(CLEAN($V672),'All Security Controls'!$A:$I,5, FALSE),"---")</f>
        <v>---</v>
      </c>
      <c r="Z672" s="14" t="str">
        <f>IFERROR(VLOOKUP(CLEAN($V672),'All Security Controls'!$A:$I,6, FALSE),"---")</f>
        <v>---</v>
      </c>
      <c r="AA672" s="14" t="str">
        <f>IFERROR(VLOOKUP(CLEAN($V672),'All Security Controls'!$A:$I,7, FALSE),"---")</f>
        <v>---</v>
      </c>
      <c r="AB672" s="14" t="str">
        <f>IFERROR(VLOOKUP(CLEAN($V672),'All Security Controls'!$A:$I,8, FALSE),"---")</f>
        <v>---</v>
      </c>
      <c r="AC672" s="14" t="str">
        <f>IFERROR(VLOOKUP(CLEAN($V672),'All Security Controls'!$A:$I,9, FALSE),"---")</f>
        <v>---</v>
      </c>
      <c r="AD672" s="26">
        <v>671</v>
      </c>
    </row>
    <row r="673" spans="22:30" ht="15" customHeight="1" thickBot="1">
      <c r="V673" s="24"/>
      <c r="W673" s="16" t="str">
        <f>IFERROR(VLOOKUP(CLEAN($V673),'All Security Controls'!A:I, 2, FALSE),"---")</f>
        <v>---</v>
      </c>
      <c r="X673" s="14" t="str">
        <f>IFERROR(VLOOKUP(CLEAN($V673),'All Security Controls'!$A:$I, 4, FALSE),"---")</f>
        <v>---</v>
      </c>
      <c r="Y673" s="14" t="str">
        <f>IFERROR(VLOOKUP(CLEAN($V673),'All Security Controls'!$A:$I,5, FALSE),"---")</f>
        <v>---</v>
      </c>
      <c r="Z673" s="14" t="str">
        <f>IFERROR(VLOOKUP(CLEAN($V673),'All Security Controls'!$A:$I,6, FALSE),"---")</f>
        <v>---</v>
      </c>
      <c r="AA673" s="14" t="str">
        <f>IFERROR(VLOOKUP(CLEAN($V673),'All Security Controls'!$A:$I,7, FALSE),"---")</f>
        <v>---</v>
      </c>
      <c r="AB673" s="14" t="str">
        <f>IFERROR(VLOOKUP(CLEAN($V673),'All Security Controls'!$A:$I,8, FALSE),"---")</f>
        <v>---</v>
      </c>
      <c r="AC673" s="14" t="str">
        <f>IFERROR(VLOOKUP(CLEAN($V673),'All Security Controls'!$A:$I,9, FALSE),"---")</f>
        <v>---</v>
      </c>
      <c r="AD673" s="26">
        <v>672</v>
      </c>
    </row>
    <row r="674" spans="22:30" ht="15" customHeight="1" thickBot="1">
      <c r="V674" s="24"/>
      <c r="W674" s="16" t="str">
        <f>IFERROR(VLOOKUP(CLEAN($V674),'All Security Controls'!A:I, 2, FALSE),"---")</f>
        <v>---</v>
      </c>
      <c r="X674" s="14" t="str">
        <f>IFERROR(VLOOKUP(CLEAN($V674),'All Security Controls'!$A:$I, 4, FALSE),"---")</f>
        <v>---</v>
      </c>
      <c r="Y674" s="14" t="str">
        <f>IFERROR(VLOOKUP(CLEAN($V674),'All Security Controls'!$A:$I,5, FALSE),"---")</f>
        <v>---</v>
      </c>
      <c r="Z674" s="14" t="str">
        <f>IFERROR(VLOOKUP(CLEAN($V674),'All Security Controls'!$A:$I,6, FALSE),"---")</f>
        <v>---</v>
      </c>
      <c r="AA674" s="14" t="str">
        <f>IFERROR(VLOOKUP(CLEAN($V674),'All Security Controls'!$A:$I,7, FALSE),"---")</f>
        <v>---</v>
      </c>
      <c r="AB674" s="14" t="str">
        <f>IFERROR(VLOOKUP(CLEAN($V674),'All Security Controls'!$A:$I,8, FALSE),"---")</f>
        <v>---</v>
      </c>
      <c r="AC674" s="14" t="str">
        <f>IFERROR(VLOOKUP(CLEAN($V674),'All Security Controls'!$A:$I,9, FALSE),"---")</f>
        <v>---</v>
      </c>
      <c r="AD674" s="26">
        <v>673</v>
      </c>
    </row>
    <row r="675" spans="22:30" ht="15" customHeight="1" thickBot="1">
      <c r="V675" s="24"/>
      <c r="W675" s="16" t="str">
        <f>IFERROR(VLOOKUP(CLEAN($V675),'All Security Controls'!A:I, 2, FALSE),"---")</f>
        <v>---</v>
      </c>
      <c r="X675" s="14" t="str">
        <f>IFERROR(VLOOKUP(CLEAN($V675),'All Security Controls'!$A:$I, 4, FALSE),"---")</f>
        <v>---</v>
      </c>
      <c r="Y675" s="14" t="str">
        <f>IFERROR(VLOOKUP(CLEAN($V675),'All Security Controls'!$A:$I,5, FALSE),"---")</f>
        <v>---</v>
      </c>
      <c r="Z675" s="14" t="str">
        <f>IFERROR(VLOOKUP(CLEAN($V675),'All Security Controls'!$A:$I,6, FALSE),"---")</f>
        <v>---</v>
      </c>
      <c r="AA675" s="14" t="str">
        <f>IFERROR(VLOOKUP(CLEAN($V675),'All Security Controls'!$A:$I,7, FALSE),"---")</f>
        <v>---</v>
      </c>
      <c r="AB675" s="14" t="str">
        <f>IFERROR(VLOOKUP(CLEAN($V675),'All Security Controls'!$A:$I,8, FALSE),"---")</f>
        <v>---</v>
      </c>
      <c r="AC675" s="14" t="str">
        <f>IFERROR(VLOOKUP(CLEAN($V675),'All Security Controls'!$A:$I,9, FALSE),"---")</f>
        <v>---</v>
      </c>
      <c r="AD675" s="26">
        <v>674</v>
      </c>
    </row>
    <row r="676" spans="22:30" ht="15" customHeight="1" thickBot="1">
      <c r="V676" s="24"/>
      <c r="W676" s="16" t="str">
        <f>IFERROR(VLOOKUP(CLEAN($V676),'All Security Controls'!A:I, 2, FALSE),"---")</f>
        <v>---</v>
      </c>
      <c r="X676" s="14" t="str">
        <f>IFERROR(VLOOKUP(CLEAN($V676),'All Security Controls'!$A:$I, 4, FALSE),"---")</f>
        <v>---</v>
      </c>
      <c r="Y676" s="14" t="str">
        <f>IFERROR(VLOOKUP(CLEAN($V676),'All Security Controls'!$A:$I,5, FALSE),"---")</f>
        <v>---</v>
      </c>
      <c r="Z676" s="14" t="str">
        <f>IFERROR(VLOOKUP(CLEAN($V676),'All Security Controls'!$A:$I,6, FALSE),"---")</f>
        <v>---</v>
      </c>
      <c r="AA676" s="14" t="str">
        <f>IFERROR(VLOOKUP(CLEAN($V676),'All Security Controls'!$A:$I,7, FALSE),"---")</f>
        <v>---</v>
      </c>
      <c r="AB676" s="14" t="str">
        <f>IFERROR(VLOOKUP(CLEAN($V676),'All Security Controls'!$A:$I,8, FALSE),"---")</f>
        <v>---</v>
      </c>
      <c r="AC676" s="14" t="str">
        <f>IFERROR(VLOOKUP(CLEAN($V676),'All Security Controls'!$A:$I,9, FALSE),"---")</f>
        <v>---</v>
      </c>
      <c r="AD676" s="26">
        <v>675</v>
      </c>
    </row>
    <row r="677" spans="22:30" ht="15" customHeight="1" thickBot="1">
      <c r="V677" s="24"/>
      <c r="W677" s="16" t="str">
        <f>IFERROR(VLOOKUP(CLEAN($V677),'All Security Controls'!A:I, 2, FALSE),"---")</f>
        <v>---</v>
      </c>
      <c r="X677" s="14" t="str">
        <f>IFERROR(VLOOKUP(CLEAN($V677),'All Security Controls'!$A:$I, 4, FALSE),"---")</f>
        <v>---</v>
      </c>
      <c r="Y677" s="14" t="str">
        <f>IFERROR(VLOOKUP(CLEAN($V677),'All Security Controls'!$A:$I,5, FALSE),"---")</f>
        <v>---</v>
      </c>
      <c r="Z677" s="14" t="str">
        <f>IFERROR(VLOOKUP(CLEAN($V677),'All Security Controls'!$A:$I,6, FALSE),"---")</f>
        <v>---</v>
      </c>
      <c r="AA677" s="14" t="str">
        <f>IFERROR(VLOOKUP(CLEAN($V677),'All Security Controls'!$A:$I,7, FALSE),"---")</f>
        <v>---</v>
      </c>
      <c r="AB677" s="14" t="str">
        <f>IFERROR(VLOOKUP(CLEAN($V677),'All Security Controls'!$A:$I,8, FALSE),"---")</f>
        <v>---</v>
      </c>
      <c r="AC677" s="14" t="str">
        <f>IFERROR(VLOOKUP(CLEAN($V677),'All Security Controls'!$A:$I,9, FALSE),"---")</f>
        <v>---</v>
      </c>
      <c r="AD677" s="26">
        <v>676</v>
      </c>
    </row>
    <row r="678" spans="22:30" ht="15" customHeight="1" thickBot="1">
      <c r="V678" s="24"/>
      <c r="W678" s="16" t="str">
        <f>IFERROR(VLOOKUP(CLEAN($V678),'All Security Controls'!A:I, 2, FALSE),"---")</f>
        <v>---</v>
      </c>
      <c r="X678" s="14" t="str">
        <f>IFERROR(VLOOKUP(CLEAN($V678),'All Security Controls'!$A:$I, 4, FALSE),"---")</f>
        <v>---</v>
      </c>
      <c r="Y678" s="14" t="str">
        <f>IFERROR(VLOOKUP(CLEAN($V678),'All Security Controls'!$A:$I,5, FALSE),"---")</f>
        <v>---</v>
      </c>
      <c r="Z678" s="14" t="str">
        <f>IFERROR(VLOOKUP(CLEAN($V678),'All Security Controls'!$A:$I,6, FALSE),"---")</f>
        <v>---</v>
      </c>
      <c r="AA678" s="14" t="str">
        <f>IFERROR(VLOOKUP(CLEAN($V678),'All Security Controls'!$A:$I,7, FALSE),"---")</f>
        <v>---</v>
      </c>
      <c r="AB678" s="14" t="str">
        <f>IFERROR(VLOOKUP(CLEAN($V678),'All Security Controls'!$A:$I,8, FALSE),"---")</f>
        <v>---</v>
      </c>
      <c r="AC678" s="14" t="str">
        <f>IFERROR(VLOOKUP(CLEAN($V678),'All Security Controls'!$A:$I,9, FALSE),"---")</f>
        <v>---</v>
      </c>
      <c r="AD678" s="26">
        <v>677</v>
      </c>
    </row>
    <row r="679" spans="22:30" ht="15" customHeight="1" thickBot="1">
      <c r="V679" s="24"/>
      <c r="W679" s="16" t="str">
        <f>IFERROR(VLOOKUP(CLEAN($V679),'All Security Controls'!A:I, 2, FALSE),"---")</f>
        <v>---</v>
      </c>
      <c r="X679" s="14" t="str">
        <f>IFERROR(VLOOKUP(CLEAN($V679),'All Security Controls'!$A:$I, 4, FALSE),"---")</f>
        <v>---</v>
      </c>
      <c r="Y679" s="14" t="str">
        <f>IFERROR(VLOOKUP(CLEAN($V679),'All Security Controls'!$A:$I,5, FALSE),"---")</f>
        <v>---</v>
      </c>
      <c r="Z679" s="14" t="str">
        <f>IFERROR(VLOOKUP(CLEAN($V679),'All Security Controls'!$A:$I,6, FALSE),"---")</f>
        <v>---</v>
      </c>
      <c r="AA679" s="14" t="str">
        <f>IFERROR(VLOOKUP(CLEAN($V679),'All Security Controls'!$A:$I,7, FALSE),"---")</f>
        <v>---</v>
      </c>
      <c r="AB679" s="14" t="str">
        <f>IFERROR(VLOOKUP(CLEAN($V679),'All Security Controls'!$A:$I,8, FALSE),"---")</f>
        <v>---</v>
      </c>
      <c r="AC679" s="14" t="str">
        <f>IFERROR(VLOOKUP(CLEAN($V679),'All Security Controls'!$A:$I,9, FALSE),"---")</f>
        <v>---</v>
      </c>
      <c r="AD679" s="26">
        <v>678</v>
      </c>
    </row>
    <row r="680" spans="22:30" ht="15" customHeight="1" thickBot="1">
      <c r="V680" s="24"/>
      <c r="W680" s="16" t="str">
        <f>IFERROR(VLOOKUP(CLEAN($V680),'All Security Controls'!A:I, 2, FALSE),"---")</f>
        <v>---</v>
      </c>
      <c r="X680" s="14" t="str">
        <f>IFERROR(VLOOKUP(CLEAN($V680),'All Security Controls'!$A:$I, 4, FALSE),"---")</f>
        <v>---</v>
      </c>
      <c r="Y680" s="14" t="str">
        <f>IFERROR(VLOOKUP(CLEAN($V680),'All Security Controls'!$A:$I,5, FALSE),"---")</f>
        <v>---</v>
      </c>
      <c r="Z680" s="14" t="str">
        <f>IFERROR(VLOOKUP(CLEAN($V680),'All Security Controls'!$A:$I,6, FALSE),"---")</f>
        <v>---</v>
      </c>
      <c r="AA680" s="14" t="str">
        <f>IFERROR(VLOOKUP(CLEAN($V680),'All Security Controls'!$A:$I,7, FALSE),"---")</f>
        <v>---</v>
      </c>
      <c r="AB680" s="14" t="str">
        <f>IFERROR(VLOOKUP(CLEAN($V680),'All Security Controls'!$A:$I,8, FALSE),"---")</f>
        <v>---</v>
      </c>
      <c r="AC680" s="14" t="str">
        <f>IFERROR(VLOOKUP(CLEAN($V680),'All Security Controls'!$A:$I,9, FALSE),"---")</f>
        <v>---</v>
      </c>
      <c r="AD680" s="26">
        <v>679</v>
      </c>
    </row>
    <row r="681" spans="22:30" ht="15" customHeight="1" thickBot="1">
      <c r="V681" s="24"/>
      <c r="W681" s="16" t="str">
        <f>IFERROR(VLOOKUP(CLEAN($V681),'All Security Controls'!A:I, 2, FALSE),"---")</f>
        <v>---</v>
      </c>
      <c r="X681" s="14" t="str">
        <f>IFERROR(VLOOKUP(CLEAN($V681),'All Security Controls'!$A:$I, 4, FALSE),"---")</f>
        <v>---</v>
      </c>
      <c r="Y681" s="14" t="str">
        <f>IFERROR(VLOOKUP(CLEAN($V681),'All Security Controls'!$A:$I,5, FALSE),"---")</f>
        <v>---</v>
      </c>
      <c r="Z681" s="14" t="str">
        <f>IFERROR(VLOOKUP(CLEAN($V681),'All Security Controls'!$A:$I,6, FALSE),"---")</f>
        <v>---</v>
      </c>
      <c r="AA681" s="14" t="str">
        <f>IFERROR(VLOOKUP(CLEAN($V681),'All Security Controls'!$A:$I,7, FALSE),"---")</f>
        <v>---</v>
      </c>
      <c r="AB681" s="14" t="str">
        <f>IFERROR(VLOOKUP(CLEAN($V681),'All Security Controls'!$A:$I,8, FALSE),"---")</f>
        <v>---</v>
      </c>
      <c r="AC681" s="14" t="str">
        <f>IFERROR(VLOOKUP(CLEAN($V681),'All Security Controls'!$A:$I,9, FALSE),"---")</f>
        <v>---</v>
      </c>
      <c r="AD681" s="26">
        <v>680</v>
      </c>
    </row>
    <row r="682" spans="22:30" ht="15" customHeight="1" thickBot="1">
      <c r="V682" s="24"/>
      <c r="W682" s="16" t="str">
        <f>IFERROR(VLOOKUP(CLEAN($V682),'All Security Controls'!A:I, 2, FALSE),"---")</f>
        <v>---</v>
      </c>
      <c r="X682" s="14" t="str">
        <f>IFERROR(VLOOKUP(CLEAN($V682),'All Security Controls'!$A:$I, 4, FALSE),"---")</f>
        <v>---</v>
      </c>
      <c r="Y682" s="14" t="str">
        <f>IFERROR(VLOOKUP(CLEAN($V682),'All Security Controls'!$A:$I,5, FALSE),"---")</f>
        <v>---</v>
      </c>
      <c r="Z682" s="14" t="str">
        <f>IFERROR(VLOOKUP(CLEAN($V682),'All Security Controls'!$A:$I,6, FALSE),"---")</f>
        <v>---</v>
      </c>
      <c r="AA682" s="14" t="str">
        <f>IFERROR(VLOOKUP(CLEAN($V682),'All Security Controls'!$A:$I,7, FALSE),"---")</f>
        <v>---</v>
      </c>
      <c r="AB682" s="14" t="str">
        <f>IFERROR(VLOOKUP(CLEAN($V682),'All Security Controls'!$A:$I,8, FALSE),"---")</f>
        <v>---</v>
      </c>
      <c r="AC682" s="14" t="str">
        <f>IFERROR(VLOOKUP(CLEAN($V682),'All Security Controls'!$A:$I,9, FALSE),"---")</f>
        <v>---</v>
      </c>
      <c r="AD682" s="26">
        <v>681</v>
      </c>
    </row>
    <row r="683" spans="22:30" ht="15" customHeight="1" thickBot="1">
      <c r="V683" s="24"/>
      <c r="W683" s="16" t="str">
        <f>IFERROR(VLOOKUP(CLEAN($V683),'All Security Controls'!A:I, 2, FALSE),"---")</f>
        <v>---</v>
      </c>
      <c r="X683" s="14" t="str">
        <f>IFERROR(VLOOKUP(CLEAN($V683),'All Security Controls'!$A:$I, 4, FALSE),"---")</f>
        <v>---</v>
      </c>
      <c r="Y683" s="14" t="str">
        <f>IFERROR(VLOOKUP(CLEAN($V683),'All Security Controls'!$A:$I,5, FALSE),"---")</f>
        <v>---</v>
      </c>
      <c r="Z683" s="14" t="str">
        <f>IFERROR(VLOOKUP(CLEAN($V683),'All Security Controls'!$A:$I,6, FALSE),"---")</f>
        <v>---</v>
      </c>
      <c r="AA683" s="14" t="str">
        <f>IFERROR(VLOOKUP(CLEAN($V683),'All Security Controls'!$A:$I,7, FALSE),"---")</f>
        <v>---</v>
      </c>
      <c r="AB683" s="14" t="str">
        <f>IFERROR(VLOOKUP(CLEAN($V683),'All Security Controls'!$A:$I,8, FALSE),"---")</f>
        <v>---</v>
      </c>
      <c r="AC683" s="14" t="str">
        <f>IFERROR(VLOOKUP(CLEAN($V683),'All Security Controls'!$A:$I,9, FALSE),"---")</f>
        <v>---</v>
      </c>
      <c r="AD683" s="26">
        <v>682</v>
      </c>
    </row>
    <row r="684" spans="22:30" ht="15" customHeight="1" thickBot="1">
      <c r="V684" s="24"/>
      <c r="W684" s="16" t="str">
        <f>IFERROR(VLOOKUP(CLEAN($V684),'All Security Controls'!A:I, 2, FALSE),"---")</f>
        <v>---</v>
      </c>
      <c r="X684" s="14" t="str">
        <f>IFERROR(VLOOKUP(CLEAN($V684),'All Security Controls'!$A:$I, 4, FALSE),"---")</f>
        <v>---</v>
      </c>
      <c r="Y684" s="14" t="str">
        <f>IFERROR(VLOOKUP(CLEAN($V684),'All Security Controls'!$A:$I,5, FALSE),"---")</f>
        <v>---</v>
      </c>
      <c r="Z684" s="14" t="str">
        <f>IFERROR(VLOOKUP(CLEAN($V684),'All Security Controls'!$A:$I,6, FALSE),"---")</f>
        <v>---</v>
      </c>
      <c r="AA684" s="14" t="str">
        <f>IFERROR(VLOOKUP(CLEAN($V684),'All Security Controls'!$A:$I,7, FALSE),"---")</f>
        <v>---</v>
      </c>
      <c r="AB684" s="14" t="str">
        <f>IFERROR(VLOOKUP(CLEAN($V684),'All Security Controls'!$A:$I,8, FALSE),"---")</f>
        <v>---</v>
      </c>
      <c r="AC684" s="14" t="str">
        <f>IFERROR(VLOOKUP(CLEAN($V684),'All Security Controls'!$A:$I,9, FALSE),"---")</f>
        <v>---</v>
      </c>
      <c r="AD684" s="26">
        <v>683</v>
      </c>
    </row>
    <row r="685" spans="22:30" ht="15" customHeight="1" thickBot="1">
      <c r="V685" s="24"/>
      <c r="W685" s="16" t="str">
        <f>IFERROR(VLOOKUP(CLEAN($V685),'All Security Controls'!A:I, 2, FALSE),"---")</f>
        <v>---</v>
      </c>
      <c r="X685" s="14" t="str">
        <f>IFERROR(VLOOKUP(CLEAN($V685),'All Security Controls'!$A:$I, 4, FALSE),"---")</f>
        <v>---</v>
      </c>
      <c r="Y685" s="14" t="str">
        <f>IFERROR(VLOOKUP(CLEAN($V685),'All Security Controls'!$A:$I,5, FALSE),"---")</f>
        <v>---</v>
      </c>
      <c r="Z685" s="14" t="str">
        <f>IFERROR(VLOOKUP(CLEAN($V685),'All Security Controls'!$A:$I,6, FALSE),"---")</f>
        <v>---</v>
      </c>
      <c r="AA685" s="14" t="str">
        <f>IFERROR(VLOOKUP(CLEAN($V685),'All Security Controls'!$A:$I,7, FALSE),"---")</f>
        <v>---</v>
      </c>
      <c r="AB685" s="14" t="str">
        <f>IFERROR(VLOOKUP(CLEAN($V685),'All Security Controls'!$A:$I,8, FALSE),"---")</f>
        <v>---</v>
      </c>
      <c r="AC685" s="14" t="str">
        <f>IFERROR(VLOOKUP(CLEAN($V685),'All Security Controls'!$A:$I,9, FALSE),"---")</f>
        <v>---</v>
      </c>
      <c r="AD685" s="26">
        <v>684</v>
      </c>
    </row>
    <row r="686" spans="22:30" ht="15" customHeight="1" thickBot="1">
      <c r="V686" s="24"/>
      <c r="W686" s="16" t="str">
        <f>IFERROR(VLOOKUP(CLEAN($V686),'All Security Controls'!A:I, 2, FALSE),"---")</f>
        <v>---</v>
      </c>
      <c r="X686" s="14" t="str">
        <f>IFERROR(VLOOKUP(CLEAN($V686),'All Security Controls'!$A:$I, 4, FALSE),"---")</f>
        <v>---</v>
      </c>
      <c r="Y686" s="14" t="str">
        <f>IFERROR(VLOOKUP(CLEAN($V686),'All Security Controls'!$A:$I,5, FALSE),"---")</f>
        <v>---</v>
      </c>
      <c r="Z686" s="14" t="str">
        <f>IFERROR(VLOOKUP(CLEAN($V686),'All Security Controls'!$A:$I,6, FALSE),"---")</f>
        <v>---</v>
      </c>
      <c r="AA686" s="14" t="str">
        <f>IFERROR(VLOOKUP(CLEAN($V686),'All Security Controls'!$A:$I,7, FALSE),"---")</f>
        <v>---</v>
      </c>
      <c r="AB686" s="14" t="str">
        <f>IFERROR(VLOOKUP(CLEAN($V686),'All Security Controls'!$A:$I,8, FALSE),"---")</f>
        <v>---</v>
      </c>
      <c r="AC686" s="14" t="str">
        <f>IFERROR(VLOOKUP(CLEAN($V686),'All Security Controls'!$A:$I,9, FALSE),"---")</f>
        <v>---</v>
      </c>
      <c r="AD686" s="26">
        <v>685</v>
      </c>
    </row>
    <row r="687" spans="22:30" ht="15" customHeight="1" thickBot="1">
      <c r="V687" s="24"/>
      <c r="W687" s="16" t="str">
        <f>IFERROR(VLOOKUP(CLEAN($V687),'All Security Controls'!A:I, 2, FALSE),"---")</f>
        <v>---</v>
      </c>
      <c r="X687" s="14" t="str">
        <f>IFERROR(VLOOKUP(CLEAN($V687),'All Security Controls'!$A:$I, 4, FALSE),"---")</f>
        <v>---</v>
      </c>
      <c r="Y687" s="14" t="str">
        <f>IFERROR(VLOOKUP(CLEAN($V687),'All Security Controls'!$A:$I,5, FALSE),"---")</f>
        <v>---</v>
      </c>
      <c r="Z687" s="14" t="str">
        <f>IFERROR(VLOOKUP(CLEAN($V687),'All Security Controls'!$A:$I,6, FALSE),"---")</f>
        <v>---</v>
      </c>
      <c r="AA687" s="14" t="str">
        <f>IFERROR(VLOOKUP(CLEAN($V687),'All Security Controls'!$A:$I,7, FALSE),"---")</f>
        <v>---</v>
      </c>
      <c r="AB687" s="14" t="str">
        <f>IFERROR(VLOOKUP(CLEAN($V687),'All Security Controls'!$A:$I,8, FALSE),"---")</f>
        <v>---</v>
      </c>
      <c r="AC687" s="14" t="str">
        <f>IFERROR(VLOOKUP(CLEAN($V687),'All Security Controls'!$A:$I,9, FALSE),"---")</f>
        <v>---</v>
      </c>
      <c r="AD687" s="26">
        <v>686</v>
      </c>
    </row>
    <row r="688" spans="22:30" ht="15" customHeight="1" thickBot="1">
      <c r="V688" s="24"/>
      <c r="W688" s="16" t="str">
        <f>IFERROR(VLOOKUP(CLEAN($V688),'All Security Controls'!A:I, 2, FALSE),"---")</f>
        <v>---</v>
      </c>
      <c r="X688" s="14" t="str">
        <f>IFERROR(VLOOKUP(CLEAN($V688),'All Security Controls'!$A:$I, 4, FALSE),"---")</f>
        <v>---</v>
      </c>
      <c r="Y688" s="14" t="str">
        <f>IFERROR(VLOOKUP(CLEAN($V688),'All Security Controls'!$A:$I,5, FALSE),"---")</f>
        <v>---</v>
      </c>
      <c r="Z688" s="14" t="str">
        <f>IFERROR(VLOOKUP(CLEAN($V688),'All Security Controls'!$A:$I,6, FALSE),"---")</f>
        <v>---</v>
      </c>
      <c r="AA688" s="14" t="str">
        <f>IFERROR(VLOOKUP(CLEAN($V688),'All Security Controls'!$A:$I,7, FALSE),"---")</f>
        <v>---</v>
      </c>
      <c r="AB688" s="14" t="str">
        <f>IFERROR(VLOOKUP(CLEAN($V688),'All Security Controls'!$A:$I,8, FALSE),"---")</f>
        <v>---</v>
      </c>
      <c r="AC688" s="14" t="str">
        <f>IFERROR(VLOOKUP(CLEAN($V688),'All Security Controls'!$A:$I,9, FALSE),"---")</f>
        <v>---</v>
      </c>
      <c r="AD688" s="26">
        <v>687</v>
      </c>
    </row>
    <row r="689" spans="22:30" ht="15" customHeight="1" thickBot="1">
      <c r="V689" s="24"/>
      <c r="W689" s="16" t="str">
        <f>IFERROR(VLOOKUP(CLEAN($V689),'All Security Controls'!A:I, 2, FALSE),"---")</f>
        <v>---</v>
      </c>
      <c r="X689" s="14" t="str">
        <f>IFERROR(VLOOKUP(CLEAN($V689),'All Security Controls'!$A:$I, 4, FALSE),"---")</f>
        <v>---</v>
      </c>
      <c r="Y689" s="14" t="str">
        <f>IFERROR(VLOOKUP(CLEAN($V689),'All Security Controls'!$A:$I,5, FALSE),"---")</f>
        <v>---</v>
      </c>
      <c r="Z689" s="14" t="str">
        <f>IFERROR(VLOOKUP(CLEAN($V689),'All Security Controls'!$A:$I,6, FALSE),"---")</f>
        <v>---</v>
      </c>
      <c r="AA689" s="14" t="str">
        <f>IFERROR(VLOOKUP(CLEAN($V689),'All Security Controls'!$A:$I,7, FALSE),"---")</f>
        <v>---</v>
      </c>
      <c r="AB689" s="14" t="str">
        <f>IFERROR(VLOOKUP(CLEAN($V689),'All Security Controls'!$A:$I,8, FALSE),"---")</f>
        <v>---</v>
      </c>
      <c r="AC689" s="14" t="str">
        <f>IFERROR(VLOOKUP(CLEAN($V689),'All Security Controls'!$A:$I,9, FALSE),"---")</f>
        <v>---</v>
      </c>
      <c r="AD689" s="26">
        <v>688</v>
      </c>
    </row>
    <row r="690" spans="22:30" ht="15" customHeight="1" thickBot="1">
      <c r="V690" s="24"/>
      <c r="W690" s="16" t="str">
        <f>IFERROR(VLOOKUP(CLEAN($V690),'All Security Controls'!A:I, 2, FALSE),"---")</f>
        <v>---</v>
      </c>
      <c r="X690" s="14" t="str">
        <f>IFERROR(VLOOKUP(CLEAN($V690),'All Security Controls'!$A:$I, 4, FALSE),"---")</f>
        <v>---</v>
      </c>
      <c r="Y690" s="14" t="str">
        <f>IFERROR(VLOOKUP(CLEAN($V690),'All Security Controls'!$A:$I,5, FALSE),"---")</f>
        <v>---</v>
      </c>
      <c r="Z690" s="14" t="str">
        <f>IFERROR(VLOOKUP(CLEAN($V690),'All Security Controls'!$A:$I,6, FALSE),"---")</f>
        <v>---</v>
      </c>
      <c r="AA690" s="14" t="str">
        <f>IFERROR(VLOOKUP(CLEAN($V690),'All Security Controls'!$A:$I,7, FALSE),"---")</f>
        <v>---</v>
      </c>
      <c r="AB690" s="14" t="str">
        <f>IFERROR(VLOOKUP(CLEAN($V690),'All Security Controls'!$A:$I,8, FALSE),"---")</f>
        <v>---</v>
      </c>
      <c r="AC690" s="14" t="str">
        <f>IFERROR(VLOOKUP(CLEAN($V690),'All Security Controls'!$A:$I,9, FALSE),"---")</f>
        <v>---</v>
      </c>
      <c r="AD690" s="26">
        <v>689</v>
      </c>
    </row>
    <row r="691" spans="22:30" ht="15" customHeight="1" thickBot="1">
      <c r="V691" s="24"/>
      <c r="W691" s="16" t="str">
        <f>IFERROR(VLOOKUP(CLEAN($V691),'All Security Controls'!A:I, 2, FALSE),"---")</f>
        <v>---</v>
      </c>
      <c r="X691" s="14" t="str">
        <f>IFERROR(VLOOKUP(CLEAN($V691),'All Security Controls'!$A:$I, 4, FALSE),"---")</f>
        <v>---</v>
      </c>
      <c r="Y691" s="14" t="str">
        <f>IFERROR(VLOOKUP(CLEAN($V691),'All Security Controls'!$A:$I,5, FALSE),"---")</f>
        <v>---</v>
      </c>
      <c r="Z691" s="14" t="str">
        <f>IFERROR(VLOOKUP(CLEAN($V691),'All Security Controls'!$A:$I,6, FALSE),"---")</f>
        <v>---</v>
      </c>
      <c r="AA691" s="14" t="str">
        <f>IFERROR(VLOOKUP(CLEAN($V691),'All Security Controls'!$A:$I,7, FALSE),"---")</f>
        <v>---</v>
      </c>
      <c r="AB691" s="14" t="str">
        <f>IFERROR(VLOOKUP(CLEAN($V691),'All Security Controls'!$A:$I,8, FALSE),"---")</f>
        <v>---</v>
      </c>
      <c r="AC691" s="14" t="str">
        <f>IFERROR(VLOOKUP(CLEAN($V691),'All Security Controls'!$A:$I,9, FALSE),"---")</f>
        <v>---</v>
      </c>
      <c r="AD691" s="26">
        <v>690</v>
      </c>
    </row>
    <row r="692" spans="22:30" ht="15" customHeight="1" thickBot="1">
      <c r="V692" s="24"/>
      <c r="W692" s="16" t="str">
        <f>IFERROR(VLOOKUP(CLEAN($V692),'All Security Controls'!A:I, 2, FALSE),"---")</f>
        <v>---</v>
      </c>
      <c r="X692" s="14" t="str">
        <f>IFERROR(VLOOKUP(CLEAN($V692),'All Security Controls'!$A:$I, 4, FALSE),"---")</f>
        <v>---</v>
      </c>
      <c r="Y692" s="14" t="str">
        <f>IFERROR(VLOOKUP(CLEAN($V692),'All Security Controls'!$A:$I,5, FALSE),"---")</f>
        <v>---</v>
      </c>
      <c r="Z692" s="14" t="str">
        <f>IFERROR(VLOOKUP(CLEAN($V692),'All Security Controls'!$A:$I,6, FALSE),"---")</f>
        <v>---</v>
      </c>
      <c r="AA692" s="14" t="str">
        <f>IFERROR(VLOOKUP(CLEAN($V692),'All Security Controls'!$A:$I,7, FALSE),"---")</f>
        <v>---</v>
      </c>
      <c r="AB692" s="14" t="str">
        <f>IFERROR(VLOOKUP(CLEAN($V692),'All Security Controls'!$A:$I,8, FALSE),"---")</f>
        <v>---</v>
      </c>
      <c r="AC692" s="14" t="str">
        <f>IFERROR(VLOOKUP(CLEAN($V692),'All Security Controls'!$A:$I,9, FALSE),"---")</f>
        <v>---</v>
      </c>
      <c r="AD692" s="26">
        <v>691</v>
      </c>
    </row>
    <row r="693" spans="22:30" ht="15" customHeight="1" thickBot="1">
      <c r="V693" s="24"/>
      <c r="W693" s="16" t="str">
        <f>IFERROR(VLOOKUP(CLEAN($V693),'All Security Controls'!A:I, 2, FALSE),"---")</f>
        <v>---</v>
      </c>
      <c r="X693" s="14" t="str">
        <f>IFERROR(VLOOKUP(CLEAN($V693),'All Security Controls'!$A:$I, 4, FALSE),"---")</f>
        <v>---</v>
      </c>
      <c r="Y693" s="14" t="str">
        <f>IFERROR(VLOOKUP(CLEAN($V693),'All Security Controls'!$A:$I,5, FALSE),"---")</f>
        <v>---</v>
      </c>
      <c r="Z693" s="14" t="str">
        <f>IFERROR(VLOOKUP(CLEAN($V693),'All Security Controls'!$A:$I,6, FALSE),"---")</f>
        <v>---</v>
      </c>
      <c r="AA693" s="14" t="str">
        <f>IFERROR(VLOOKUP(CLEAN($V693),'All Security Controls'!$A:$I,7, FALSE),"---")</f>
        <v>---</v>
      </c>
      <c r="AB693" s="14" t="str">
        <f>IFERROR(VLOOKUP(CLEAN($V693),'All Security Controls'!$A:$I,8, FALSE),"---")</f>
        <v>---</v>
      </c>
      <c r="AC693" s="14" t="str">
        <f>IFERROR(VLOOKUP(CLEAN($V693),'All Security Controls'!$A:$I,9, FALSE),"---")</f>
        <v>---</v>
      </c>
      <c r="AD693" s="26">
        <v>692</v>
      </c>
    </row>
    <row r="694" spans="22:30" ht="15" customHeight="1" thickBot="1">
      <c r="V694" s="24"/>
      <c r="W694" s="16" t="str">
        <f>IFERROR(VLOOKUP(CLEAN($V694),'All Security Controls'!A:I, 2, FALSE),"---")</f>
        <v>---</v>
      </c>
      <c r="X694" s="14" t="str">
        <f>IFERROR(VLOOKUP(CLEAN($V694),'All Security Controls'!$A:$I, 4, FALSE),"---")</f>
        <v>---</v>
      </c>
      <c r="Y694" s="14" t="str">
        <f>IFERROR(VLOOKUP(CLEAN($V694),'All Security Controls'!$A:$I,5, FALSE),"---")</f>
        <v>---</v>
      </c>
      <c r="Z694" s="14" t="str">
        <f>IFERROR(VLOOKUP(CLEAN($V694),'All Security Controls'!$A:$I,6, FALSE),"---")</f>
        <v>---</v>
      </c>
      <c r="AA694" s="14" t="str">
        <f>IFERROR(VLOOKUP(CLEAN($V694),'All Security Controls'!$A:$I,7, FALSE),"---")</f>
        <v>---</v>
      </c>
      <c r="AB694" s="14" t="str">
        <f>IFERROR(VLOOKUP(CLEAN($V694),'All Security Controls'!$A:$I,8, FALSE),"---")</f>
        <v>---</v>
      </c>
      <c r="AC694" s="14" t="str">
        <f>IFERROR(VLOOKUP(CLEAN($V694),'All Security Controls'!$A:$I,9, FALSE),"---")</f>
        <v>---</v>
      </c>
      <c r="AD694" s="26">
        <v>693</v>
      </c>
    </row>
    <row r="695" spans="22:30" ht="15" customHeight="1" thickBot="1">
      <c r="V695" s="24"/>
      <c r="W695" s="16" t="str">
        <f>IFERROR(VLOOKUP(CLEAN($V695),'All Security Controls'!A:I, 2, FALSE),"---")</f>
        <v>---</v>
      </c>
      <c r="X695" s="14" t="str">
        <f>IFERROR(VLOOKUP(CLEAN($V695),'All Security Controls'!$A:$I, 4, FALSE),"---")</f>
        <v>---</v>
      </c>
      <c r="Y695" s="14" t="str">
        <f>IFERROR(VLOOKUP(CLEAN($V695),'All Security Controls'!$A:$I,5, FALSE),"---")</f>
        <v>---</v>
      </c>
      <c r="Z695" s="14" t="str">
        <f>IFERROR(VLOOKUP(CLEAN($V695),'All Security Controls'!$A:$I,6, FALSE),"---")</f>
        <v>---</v>
      </c>
      <c r="AA695" s="14" t="str">
        <f>IFERROR(VLOOKUP(CLEAN($V695),'All Security Controls'!$A:$I,7, FALSE),"---")</f>
        <v>---</v>
      </c>
      <c r="AB695" s="14" t="str">
        <f>IFERROR(VLOOKUP(CLEAN($V695),'All Security Controls'!$A:$I,8, FALSE),"---")</f>
        <v>---</v>
      </c>
      <c r="AC695" s="14" t="str">
        <f>IFERROR(VLOOKUP(CLEAN($V695),'All Security Controls'!$A:$I,9, FALSE),"---")</f>
        <v>---</v>
      </c>
      <c r="AD695" s="26">
        <v>694</v>
      </c>
    </row>
    <row r="696" spans="22:30" ht="15" customHeight="1" thickBot="1">
      <c r="V696" s="24"/>
      <c r="W696" s="16" t="str">
        <f>IFERROR(VLOOKUP(CLEAN($V696),'All Security Controls'!A:I, 2, FALSE),"---")</f>
        <v>---</v>
      </c>
      <c r="X696" s="14" t="str">
        <f>IFERROR(VLOOKUP(CLEAN($V696),'All Security Controls'!$A:$I, 4, FALSE),"---")</f>
        <v>---</v>
      </c>
      <c r="Y696" s="14" t="str">
        <f>IFERROR(VLOOKUP(CLEAN($V696),'All Security Controls'!$A:$I,5, FALSE),"---")</f>
        <v>---</v>
      </c>
      <c r="Z696" s="14" t="str">
        <f>IFERROR(VLOOKUP(CLEAN($V696),'All Security Controls'!$A:$I,6, FALSE),"---")</f>
        <v>---</v>
      </c>
      <c r="AA696" s="14" t="str">
        <f>IFERROR(VLOOKUP(CLEAN($V696),'All Security Controls'!$A:$I,7, FALSE),"---")</f>
        <v>---</v>
      </c>
      <c r="AB696" s="14" t="str">
        <f>IFERROR(VLOOKUP(CLEAN($V696),'All Security Controls'!$A:$I,8, FALSE),"---")</f>
        <v>---</v>
      </c>
      <c r="AC696" s="14" t="str">
        <f>IFERROR(VLOOKUP(CLEAN($V696),'All Security Controls'!$A:$I,9, FALSE),"---")</f>
        <v>---</v>
      </c>
      <c r="AD696" s="26">
        <v>695</v>
      </c>
    </row>
    <row r="697" spans="22:30" ht="15" customHeight="1" thickBot="1">
      <c r="V697" s="24"/>
      <c r="W697" s="16" t="str">
        <f>IFERROR(VLOOKUP(CLEAN($V697),'All Security Controls'!A:I, 2, FALSE),"---")</f>
        <v>---</v>
      </c>
      <c r="X697" s="14" t="str">
        <f>IFERROR(VLOOKUP(CLEAN($V697),'All Security Controls'!$A:$I, 4, FALSE),"---")</f>
        <v>---</v>
      </c>
      <c r="Y697" s="14" t="str">
        <f>IFERROR(VLOOKUP(CLEAN($V697),'All Security Controls'!$A:$I,5, FALSE),"---")</f>
        <v>---</v>
      </c>
      <c r="Z697" s="14" t="str">
        <f>IFERROR(VLOOKUP(CLEAN($V697),'All Security Controls'!$A:$I,6, FALSE),"---")</f>
        <v>---</v>
      </c>
      <c r="AA697" s="14" t="str">
        <f>IFERROR(VLOOKUP(CLEAN($V697),'All Security Controls'!$A:$I,7, FALSE),"---")</f>
        <v>---</v>
      </c>
      <c r="AB697" s="14" t="str">
        <f>IFERROR(VLOOKUP(CLEAN($V697),'All Security Controls'!$A:$I,8, FALSE),"---")</f>
        <v>---</v>
      </c>
      <c r="AC697" s="14" t="str">
        <f>IFERROR(VLOOKUP(CLEAN($V697),'All Security Controls'!$A:$I,9, FALSE),"---")</f>
        <v>---</v>
      </c>
      <c r="AD697" s="26">
        <v>696</v>
      </c>
    </row>
    <row r="698" spans="22:30" ht="15" customHeight="1" thickBot="1">
      <c r="V698" s="24"/>
      <c r="W698" s="16" t="str">
        <f>IFERROR(VLOOKUP(CLEAN($V698),'All Security Controls'!A:I, 2, FALSE),"---")</f>
        <v>---</v>
      </c>
      <c r="X698" s="14" t="str">
        <f>IFERROR(VLOOKUP(CLEAN($V698),'All Security Controls'!$A:$I, 4, FALSE),"---")</f>
        <v>---</v>
      </c>
      <c r="Y698" s="14" t="str">
        <f>IFERROR(VLOOKUP(CLEAN($V698),'All Security Controls'!$A:$I,5, FALSE),"---")</f>
        <v>---</v>
      </c>
      <c r="Z698" s="14" t="str">
        <f>IFERROR(VLOOKUP(CLEAN($V698),'All Security Controls'!$A:$I,6, FALSE),"---")</f>
        <v>---</v>
      </c>
      <c r="AA698" s="14" t="str">
        <f>IFERROR(VLOOKUP(CLEAN($V698),'All Security Controls'!$A:$I,7, FALSE),"---")</f>
        <v>---</v>
      </c>
      <c r="AB698" s="14" t="str">
        <f>IFERROR(VLOOKUP(CLEAN($V698),'All Security Controls'!$A:$I,8, FALSE),"---")</f>
        <v>---</v>
      </c>
      <c r="AC698" s="14" t="str">
        <f>IFERROR(VLOOKUP(CLEAN($V698),'All Security Controls'!$A:$I,9, FALSE),"---")</f>
        <v>---</v>
      </c>
      <c r="AD698" s="26">
        <v>697</v>
      </c>
    </row>
    <row r="699" spans="22:30" ht="15" customHeight="1" thickBot="1">
      <c r="V699" s="24"/>
      <c r="W699" s="16" t="str">
        <f>IFERROR(VLOOKUP(CLEAN($V699),'All Security Controls'!A:I, 2, FALSE),"---")</f>
        <v>---</v>
      </c>
      <c r="X699" s="14" t="str">
        <f>IFERROR(VLOOKUP(CLEAN($V699),'All Security Controls'!$A:$I, 4, FALSE),"---")</f>
        <v>---</v>
      </c>
      <c r="Y699" s="14" t="str">
        <f>IFERROR(VLOOKUP(CLEAN($V699),'All Security Controls'!$A:$I,5, FALSE),"---")</f>
        <v>---</v>
      </c>
      <c r="Z699" s="14" t="str">
        <f>IFERROR(VLOOKUP(CLEAN($V699),'All Security Controls'!$A:$I,6, FALSE),"---")</f>
        <v>---</v>
      </c>
      <c r="AA699" s="14" t="str">
        <f>IFERROR(VLOOKUP(CLEAN($V699),'All Security Controls'!$A:$I,7, FALSE),"---")</f>
        <v>---</v>
      </c>
      <c r="AB699" s="14" t="str">
        <f>IFERROR(VLOOKUP(CLEAN($V699),'All Security Controls'!$A:$I,8, FALSE),"---")</f>
        <v>---</v>
      </c>
      <c r="AC699" s="14" t="str">
        <f>IFERROR(VLOOKUP(CLEAN($V699),'All Security Controls'!$A:$I,9, FALSE),"---")</f>
        <v>---</v>
      </c>
      <c r="AD699" s="26">
        <v>698</v>
      </c>
    </row>
    <row r="700" spans="22:30" ht="15" customHeight="1" thickBot="1">
      <c r="V700" s="24"/>
      <c r="W700" s="16" t="str">
        <f>IFERROR(VLOOKUP(CLEAN($V700),'All Security Controls'!A:I, 2, FALSE),"---")</f>
        <v>---</v>
      </c>
      <c r="X700" s="14" t="str">
        <f>IFERROR(VLOOKUP(CLEAN($V700),'All Security Controls'!$A:$I, 4, FALSE),"---")</f>
        <v>---</v>
      </c>
      <c r="Y700" s="14" t="str">
        <f>IFERROR(VLOOKUP(CLEAN($V700),'All Security Controls'!$A:$I,5, FALSE),"---")</f>
        <v>---</v>
      </c>
      <c r="Z700" s="14" t="str">
        <f>IFERROR(VLOOKUP(CLEAN($V700),'All Security Controls'!$A:$I,6, FALSE),"---")</f>
        <v>---</v>
      </c>
      <c r="AA700" s="14" t="str">
        <f>IFERROR(VLOOKUP(CLEAN($V700),'All Security Controls'!$A:$I,7, FALSE),"---")</f>
        <v>---</v>
      </c>
      <c r="AB700" s="14" t="str">
        <f>IFERROR(VLOOKUP(CLEAN($V700),'All Security Controls'!$A:$I,8, FALSE),"---")</f>
        <v>---</v>
      </c>
      <c r="AC700" s="14" t="str">
        <f>IFERROR(VLOOKUP(CLEAN($V700),'All Security Controls'!$A:$I,9, FALSE),"---")</f>
        <v>---</v>
      </c>
      <c r="AD700" s="26">
        <v>699</v>
      </c>
    </row>
    <row r="701" spans="22:30" ht="15" customHeight="1" thickBot="1">
      <c r="V701" s="24"/>
      <c r="W701" s="16" t="str">
        <f>IFERROR(VLOOKUP(CLEAN($V701),'All Security Controls'!A:I, 2, FALSE),"---")</f>
        <v>---</v>
      </c>
      <c r="X701" s="14" t="str">
        <f>IFERROR(VLOOKUP(CLEAN($V701),'All Security Controls'!$A:$I, 4, FALSE),"---")</f>
        <v>---</v>
      </c>
      <c r="Y701" s="14" t="str">
        <f>IFERROR(VLOOKUP(CLEAN($V701),'All Security Controls'!$A:$I,5, FALSE),"---")</f>
        <v>---</v>
      </c>
      <c r="Z701" s="14" t="str">
        <f>IFERROR(VLOOKUP(CLEAN($V701),'All Security Controls'!$A:$I,6, FALSE),"---")</f>
        <v>---</v>
      </c>
      <c r="AA701" s="14" t="str">
        <f>IFERROR(VLOOKUP(CLEAN($V701),'All Security Controls'!$A:$I,7, FALSE),"---")</f>
        <v>---</v>
      </c>
      <c r="AB701" s="14" t="str">
        <f>IFERROR(VLOOKUP(CLEAN($V701),'All Security Controls'!$A:$I,8, FALSE),"---")</f>
        <v>---</v>
      </c>
      <c r="AC701" s="14" t="str">
        <f>IFERROR(VLOOKUP(CLEAN($V701),'All Security Controls'!$A:$I,9, FALSE),"---")</f>
        <v>---</v>
      </c>
      <c r="AD701" s="26">
        <v>700</v>
      </c>
    </row>
    <row r="702" spans="22:30" ht="15" customHeight="1" thickBot="1">
      <c r="V702" s="24"/>
      <c r="W702" s="16" t="str">
        <f>IFERROR(VLOOKUP(CLEAN($V702),'All Security Controls'!A:I, 2, FALSE),"---")</f>
        <v>---</v>
      </c>
      <c r="X702" s="14" t="str">
        <f>IFERROR(VLOOKUP(CLEAN($V702),'All Security Controls'!$A:$I, 4, FALSE),"---")</f>
        <v>---</v>
      </c>
      <c r="Y702" s="14" t="str">
        <f>IFERROR(VLOOKUP(CLEAN($V702),'All Security Controls'!$A:$I,5, FALSE),"---")</f>
        <v>---</v>
      </c>
      <c r="Z702" s="14" t="str">
        <f>IFERROR(VLOOKUP(CLEAN($V702),'All Security Controls'!$A:$I,6, FALSE),"---")</f>
        <v>---</v>
      </c>
      <c r="AA702" s="14" t="str">
        <f>IFERROR(VLOOKUP(CLEAN($V702),'All Security Controls'!$A:$I,7, FALSE),"---")</f>
        <v>---</v>
      </c>
      <c r="AB702" s="14" t="str">
        <f>IFERROR(VLOOKUP(CLEAN($V702),'All Security Controls'!$A:$I,8, FALSE),"---")</f>
        <v>---</v>
      </c>
      <c r="AC702" s="14" t="str">
        <f>IFERROR(VLOOKUP(CLEAN($V702),'All Security Controls'!$A:$I,9, FALSE),"---")</f>
        <v>---</v>
      </c>
      <c r="AD702" s="26">
        <v>701</v>
      </c>
    </row>
    <row r="703" spans="22:30" ht="15" customHeight="1" thickBot="1">
      <c r="V703" s="24"/>
      <c r="W703" s="16" t="str">
        <f>IFERROR(VLOOKUP(CLEAN($V703),'All Security Controls'!A:I, 2, FALSE),"---")</f>
        <v>---</v>
      </c>
      <c r="X703" s="14" t="str">
        <f>IFERROR(VLOOKUP(CLEAN($V703),'All Security Controls'!$A:$I, 4, FALSE),"---")</f>
        <v>---</v>
      </c>
      <c r="Y703" s="14" t="str">
        <f>IFERROR(VLOOKUP(CLEAN($V703),'All Security Controls'!$A:$I,5, FALSE),"---")</f>
        <v>---</v>
      </c>
      <c r="Z703" s="14" t="str">
        <f>IFERROR(VLOOKUP(CLEAN($V703),'All Security Controls'!$A:$I,6, FALSE),"---")</f>
        <v>---</v>
      </c>
      <c r="AA703" s="14" t="str">
        <f>IFERROR(VLOOKUP(CLEAN($V703),'All Security Controls'!$A:$I,7, FALSE),"---")</f>
        <v>---</v>
      </c>
      <c r="AB703" s="14" t="str">
        <f>IFERROR(VLOOKUP(CLEAN($V703),'All Security Controls'!$A:$I,8, FALSE),"---")</f>
        <v>---</v>
      </c>
      <c r="AC703" s="14" t="str">
        <f>IFERROR(VLOOKUP(CLEAN($V703),'All Security Controls'!$A:$I,9, FALSE),"---")</f>
        <v>---</v>
      </c>
      <c r="AD703" s="26">
        <v>702</v>
      </c>
    </row>
    <row r="704" spans="22:30" ht="15" customHeight="1" thickBot="1">
      <c r="V704" s="24"/>
      <c r="W704" s="16" t="str">
        <f>IFERROR(VLOOKUP(CLEAN($V704),'All Security Controls'!A:I, 2, FALSE),"---")</f>
        <v>---</v>
      </c>
      <c r="X704" s="14" t="str">
        <f>IFERROR(VLOOKUP(CLEAN($V704),'All Security Controls'!$A:$I, 4, FALSE),"---")</f>
        <v>---</v>
      </c>
      <c r="Y704" s="14" t="str">
        <f>IFERROR(VLOOKUP(CLEAN($V704),'All Security Controls'!$A:$I,5, FALSE),"---")</f>
        <v>---</v>
      </c>
      <c r="Z704" s="14" t="str">
        <f>IFERROR(VLOOKUP(CLEAN($V704),'All Security Controls'!$A:$I,6, FALSE),"---")</f>
        <v>---</v>
      </c>
      <c r="AA704" s="14" t="str">
        <f>IFERROR(VLOOKUP(CLEAN($V704),'All Security Controls'!$A:$I,7, FALSE),"---")</f>
        <v>---</v>
      </c>
      <c r="AB704" s="14" t="str">
        <f>IFERROR(VLOOKUP(CLEAN($V704),'All Security Controls'!$A:$I,8, FALSE),"---")</f>
        <v>---</v>
      </c>
      <c r="AC704" s="14" t="str">
        <f>IFERROR(VLOOKUP(CLEAN($V704),'All Security Controls'!$A:$I,9, FALSE),"---")</f>
        <v>---</v>
      </c>
      <c r="AD704" s="26">
        <v>703</v>
      </c>
    </row>
    <row r="705" spans="22:30" ht="15" customHeight="1" thickBot="1">
      <c r="V705" s="24"/>
      <c r="W705" s="16" t="str">
        <f>IFERROR(VLOOKUP(CLEAN($V705),'All Security Controls'!A:I, 2, FALSE),"---")</f>
        <v>---</v>
      </c>
      <c r="X705" s="14" t="str">
        <f>IFERROR(VLOOKUP(CLEAN($V705),'All Security Controls'!$A:$I, 4, FALSE),"---")</f>
        <v>---</v>
      </c>
      <c r="Y705" s="14" t="str">
        <f>IFERROR(VLOOKUP(CLEAN($V705),'All Security Controls'!$A:$I,5, FALSE),"---")</f>
        <v>---</v>
      </c>
      <c r="Z705" s="14" t="str">
        <f>IFERROR(VLOOKUP(CLEAN($V705),'All Security Controls'!$A:$I,6, FALSE),"---")</f>
        <v>---</v>
      </c>
      <c r="AA705" s="14" t="str">
        <f>IFERROR(VLOOKUP(CLEAN($V705),'All Security Controls'!$A:$I,7, FALSE),"---")</f>
        <v>---</v>
      </c>
      <c r="AB705" s="14" t="str">
        <f>IFERROR(VLOOKUP(CLEAN($V705),'All Security Controls'!$A:$I,8, FALSE),"---")</f>
        <v>---</v>
      </c>
      <c r="AC705" s="14" t="str">
        <f>IFERROR(VLOOKUP(CLEAN($V705),'All Security Controls'!$A:$I,9, FALSE),"---")</f>
        <v>---</v>
      </c>
      <c r="AD705" s="26">
        <v>704</v>
      </c>
    </row>
    <row r="706" spans="22:30" ht="15" customHeight="1" thickBot="1">
      <c r="V706" s="24"/>
      <c r="W706" s="16" t="str">
        <f>IFERROR(VLOOKUP(CLEAN($V706),'All Security Controls'!A:I, 2, FALSE),"---")</f>
        <v>---</v>
      </c>
      <c r="X706" s="14" t="str">
        <f>IFERROR(VLOOKUP(CLEAN($V706),'All Security Controls'!$A:$I, 4, FALSE),"---")</f>
        <v>---</v>
      </c>
      <c r="Y706" s="14" t="str">
        <f>IFERROR(VLOOKUP(CLEAN($V706),'All Security Controls'!$A:$I,5, FALSE),"---")</f>
        <v>---</v>
      </c>
      <c r="Z706" s="14" t="str">
        <f>IFERROR(VLOOKUP(CLEAN($V706),'All Security Controls'!$A:$I,6, FALSE),"---")</f>
        <v>---</v>
      </c>
      <c r="AA706" s="14" t="str">
        <f>IFERROR(VLOOKUP(CLEAN($V706),'All Security Controls'!$A:$I,7, FALSE),"---")</f>
        <v>---</v>
      </c>
      <c r="AB706" s="14" t="str">
        <f>IFERROR(VLOOKUP(CLEAN($V706),'All Security Controls'!$A:$I,8, FALSE),"---")</f>
        <v>---</v>
      </c>
      <c r="AC706" s="14" t="str">
        <f>IFERROR(VLOOKUP(CLEAN($V706),'All Security Controls'!$A:$I,9, FALSE),"---")</f>
        <v>---</v>
      </c>
      <c r="AD706" s="26">
        <v>705</v>
      </c>
    </row>
    <row r="707" spans="22:30" ht="15" customHeight="1" thickBot="1">
      <c r="V707" s="24"/>
      <c r="W707" s="16" t="str">
        <f>IFERROR(VLOOKUP(CLEAN($V707),'All Security Controls'!A:I, 2, FALSE),"---")</f>
        <v>---</v>
      </c>
      <c r="X707" s="14" t="str">
        <f>IFERROR(VLOOKUP(CLEAN($V707),'All Security Controls'!$A:$I, 4, FALSE),"---")</f>
        <v>---</v>
      </c>
      <c r="Y707" s="14" t="str">
        <f>IFERROR(VLOOKUP(CLEAN($V707),'All Security Controls'!$A:$I,5, FALSE),"---")</f>
        <v>---</v>
      </c>
      <c r="Z707" s="14" t="str">
        <f>IFERROR(VLOOKUP(CLEAN($V707),'All Security Controls'!$A:$I,6, FALSE),"---")</f>
        <v>---</v>
      </c>
      <c r="AA707" s="14" t="str">
        <f>IFERROR(VLOOKUP(CLEAN($V707),'All Security Controls'!$A:$I,7, FALSE),"---")</f>
        <v>---</v>
      </c>
      <c r="AB707" s="14" t="str">
        <f>IFERROR(VLOOKUP(CLEAN($V707),'All Security Controls'!$A:$I,8, FALSE),"---")</f>
        <v>---</v>
      </c>
      <c r="AC707" s="14" t="str">
        <f>IFERROR(VLOOKUP(CLEAN($V707),'All Security Controls'!$A:$I,9, FALSE),"---")</f>
        <v>---</v>
      </c>
      <c r="AD707" s="26">
        <v>706</v>
      </c>
    </row>
    <row r="708" spans="22:30" ht="15" customHeight="1" thickBot="1">
      <c r="V708" s="24"/>
      <c r="W708" s="16" t="str">
        <f>IFERROR(VLOOKUP(CLEAN($V708),'All Security Controls'!A:I, 2, FALSE),"---")</f>
        <v>---</v>
      </c>
      <c r="X708" s="14" t="str">
        <f>IFERROR(VLOOKUP(CLEAN($V708),'All Security Controls'!$A:$I, 4, FALSE),"---")</f>
        <v>---</v>
      </c>
      <c r="Y708" s="14" t="str">
        <f>IFERROR(VLOOKUP(CLEAN($V708),'All Security Controls'!$A:$I,5, FALSE),"---")</f>
        <v>---</v>
      </c>
      <c r="Z708" s="14" t="str">
        <f>IFERROR(VLOOKUP(CLEAN($V708),'All Security Controls'!$A:$I,6, FALSE),"---")</f>
        <v>---</v>
      </c>
      <c r="AA708" s="14" t="str">
        <f>IFERROR(VLOOKUP(CLEAN($V708),'All Security Controls'!$A:$I,7, FALSE),"---")</f>
        <v>---</v>
      </c>
      <c r="AB708" s="14" t="str">
        <f>IFERROR(VLOOKUP(CLEAN($V708),'All Security Controls'!$A:$I,8, FALSE),"---")</f>
        <v>---</v>
      </c>
      <c r="AC708" s="14" t="str">
        <f>IFERROR(VLOOKUP(CLEAN($V708),'All Security Controls'!$A:$I,9, FALSE),"---")</f>
        <v>---</v>
      </c>
      <c r="AD708" s="26">
        <v>707</v>
      </c>
    </row>
    <row r="709" spans="22:30" ht="15" customHeight="1" thickBot="1">
      <c r="V709" s="24"/>
      <c r="W709" s="16" t="str">
        <f>IFERROR(VLOOKUP(CLEAN($V709),'All Security Controls'!A:I, 2, FALSE),"---")</f>
        <v>---</v>
      </c>
      <c r="X709" s="14" t="str">
        <f>IFERROR(VLOOKUP(CLEAN($V709),'All Security Controls'!$A:$I, 4, FALSE),"---")</f>
        <v>---</v>
      </c>
      <c r="Y709" s="14" t="str">
        <f>IFERROR(VLOOKUP(CLEAN($V709),'All Security Controls'!$A:$I,5, FALSE),"---")</f>
        <v>---</v>
      </c>
      <c r="Z709" s="14" t="str">
        <f>IFERROR(VLOOKUP(CLEAN($V709),'All Security Controls'!$A:$I,6, FALSE),"---")</f>
        <v>---</v>
      </c>
      <c r="AA709" s="14" t="str">
        <f>IFERROR(VLOOKUP(CLEAN($V709),'All Security Controls'!$A:$I,7, FALSE),"---")</f>
        <v>---</v>
      </c>
      <c r="AB709" s="14" t="str">
        <f>IFERROR(VLOOKUP(CLEAN($V709),'All Security Controls'!$A:$I,8, FALSE),"---")</f>
        <v>---</v>
      </c>
      <c r="AC709" s="14" t="str">
        <f>IFERROR(VLOOKUP(CLEAN($V709),'All Security Controls'!$A:$I,9, FALSE),"---")</f>
        <v>---</v>
      </c>
      <c r="AD709" s="26">
        <v>708</v>
      </c>
    </row>
    <row r="710" spans="22:30" ht="15" customHeight="1" thickBot="1">
      <c r="V710" s="24"/>
      <c r="W710" s="16" t="str">
        <f>IFERROR(VLOOKUP(CLEAN($V710),'All Security Controls'!A:I, 2, FALSE),"---")</f>
        <v>---</v>
      </c>
      <c r="X710" s="14" t="str">
        <f>IFERROR(VLOOKUP(CLEAN($V710),'All Security Controls'!$A:$I, 4, FALSE),"---")</f>
        <v>---</v>
      </c>
      <c r="Y710" s="14" t="str">
        <f>IFERROR(VLOOKUP(CLEAN($V710),'All Security Controls'!$A:$I,5, FALSE),"---")</f>
        <v>---</v>
      </c>
      <c r="Z710" s="14" t="str">
        <f>IFERROR(VLOOKUP(CLEAN($V710),'All Security Controls'!$A:$I,6, FALSE),"---")</f>
        <v>---</v>
      </c>
      <c r="AA710" s="14" t="str">
        <f>IFERROR(VLOOKUP(CLEAN($V710),'All Security Controls'!$A:$I,7, FALSE),"---")</f>
        <v>---</v>
      </c>
      <c r="AB710" s="14" t="str">
        <f>IFERROR(VLOOKUP(CLEAN($V710),'All Security Controls'!$A:$I,8, FALSE),"---")</f>
        <v>---</v>
      </c>
      <c r="AC710" s="14" t="str">
        <f>IFERROR(VLOOKUP(CLEAN($V710),'All Security Controls'!$A:$I,9, FALSE),"---")</f>
        <v>---</v>
      </c>
      <c r="AD710" s="26">
        <v>709</v>
      </c>
    </row>
    <row r="711" spans="22:30" ht="15" customHeight="1" thickBot="1">
      <c r="V711" s="24"/>
      <c r="W711" s="16" t="str">
        <f>IFERROR(VLOOKUP(CLEAN($V711),'All Security Controls'!A:I, 2, FALSE),"---")</f>
        <v>---</v>
      </c>
      <c r="X711" s="14" t="str">
        <f>IFERROR(VLOOKUP(CLEAN($V711),'All Security Controls'!$A:$I, 4, FALSE),"---")</f>
        <v>---</v>
      </c>
      <c r="Y711" s="14" t="str">
        <f>IFERROR(VLOOKUP(CLEAN($V711),'All Security Controls'!$A:$I,5, FALSE),"---")</f>
        <v>---</v>
      </c>
      <c r="Z711" s="14" t="str">
        <f>IFERROR(VLOOKUP(CLEAN($V711),'All Security Controls'!$A:$I,6, FALSE),"---")</f>
        <v>---</v>
      </c>
      <c r="AA711" s="14" t="str">
        <f>IFERROR(VLOOKUP(CLEAN($V711),'All Security Controls'!$A:$I,7, FALSE),"---")</f>
        <v>---</v>
      </c>
      <c r="AB711" s="14" t="str">
        <f>IFERROR(VLOOKUP(CLEAN($V711),'All Security Controls'!$A:$I,8, FALSE),"---")</f>
        <v>---</v>
      </c>
      <c r="AC711" s="14" t="str">
        <f>IFERROR(VLOOKUP(CLEAN($V711),'All Security Controls'!$A:$I,9, FALSE),"---")</f>
        <v>---</v>
      </c>
      <c r="AD711" s="26">
        <v>710</v>
      </c>
    </row>
    <row r="712" spans="22:30" ht="15" customHeight="1" thickBot="1">
      <c r="V712" s="24"/>
      <c r="W712" s="16" t="str">
        <f>IFERROR(VLOOKUP(CLEAN($V712),'All Security Controls'!A:I, 2, FALSE),"---")</f>
        <v>---</v>
      </c>
      <c r="X712" s="14" t="str">
        <f>IFERROR(VLOOKUP(CLEAN($V712),'All Security Controls'!$A:$I, 4, FALSE),"---")</f>
        <v>---</v>
      </c>
      <c r="Y712" s="14" t="str">
        <f>IFERROR(VLOOKUP(CLEAN($V712),'All Security Controls'!$A:$I,5, FALSE),"---")</f>
        <v>---</v>
      </c>
      <c r="Z712" s="14" t="str">
        <f>IFERROR(VLOOKUP(CLEAN($V712),'All Security Controls'!$A:$I,6, FALSE),"---")</f>
        <v>---</v>
      </c>
      <c r="AA712" s="14" t="str">
        <f>IFERROR(VLOOKUP(CLEAN($V712),'All Security Controls'!$A:$I,7, FALSE),"---")</f>
        <v>---</v>
      </c>
      <c r="AB712" s="14" t="str">
        <f>IFERROR(VLOOKUP(CLEAN($V712),'All Security Controls'!$A:$I,8, FALSE),"---")</f>
        <v>---</v>
      </c>
      <c r="AC712" s="14" t="str">
        <f>IFERROR(VLOOKUP(CLEAN($V712),'All Security Controls'!$A:$I,9, FALSE),"---")</f>
        <v>---</v>
      </c>
      <c r="AD712" s="26">
        <v>711</v>
      </c>
    </row>
    <row r="713" spans="22:30" ht="15" customHeight="1" thickBot="1">
      <c r="V713" s="24"/>
      <c r="W713" s="16" t="str">
        <f>IFERROR(VLOOKUP(CLEAN($V713),'All Security Controls'!A:I, 2, FALSE),"---")</f>
        <v>---</v>
      </c>
      <c r="X713" s="14" t="str">
        <f>IFERROR(VLOOKUP(CLEAN($V713),'All Security Controls'!$A:$I, 4, FALSE),"---")</f>
        <v>---</v>
      </c>
      <c r="Y713" s="14" t="str">
        <f>IFERROR(VLOOKUP(CLEAN($V713),'All Security Controls'!$A:$I,5, FALSE),"---")</f>
        <v>---</v>
      </c>
      <c r="Z713" s="14" t="str">
        <f>IFERROR(VLOOKUP(CLEAN($V713),'All Security Controls'!$A:$I,6, FALSE),"---")</f>
        <v>---</v>
      </c>
      <c r="AA713" s="14" t="str">
        <f>IFERROR(VLOOKUP(CLEAN($V713),'All Security Controls'!$A:$I,7, FALSE),"---")</f>
        <v>---</v>
      </c>
      <c r="AB713" s="14" t="str">
        <f>IFERROR(VLOOKUP(CLEAN($V713),'All Security Controls'!$A:$I,8, FALSE),"---")</f>
        <v>---</v>
      </c>
      <c r="AC713" s="14" t="str">
        <f>IFERROR(VLOOKUP(CLEAN($V713),'All Security Controls'!$A:$I,9, FALSE),"---")</f>
        <v>---</v>
      </c>
      <c r="AD713" s="26">
        <v>712</v>
      </c>
    </row>
    <row r="714" spans="22:30" ht="15" customHeight="1" thickBot="1">
      <c r="V714" s="24"/>
      <c r="W714" s="16" t="str">
        <f>IFERROR(VLOOKUP(CLEAN($V714),'All Security Controls'!A:I, 2, FALSE),"---")</f>
        <v>---</v>
      </c>
      <c r="X714" s="14" t="str">
        <f>IFERROR(VLOOKUP(CLEAN($V714),'All Security Controls'!$A:$I, 4, FALSE),"---")</f>
        <v>---</v>
      </c>
      <c r="Y714" s="14" t="str">
        <f>IFERROR(VLOOKUP(CLEAN($V714),'All Security Controls'!$A:$I,5, FALSE),"---")</f>
        <v>---</v>
      </c>
      <c r="Z714" s="14" t="str">
        <f>IFERROR(VLOOKUP(CLEAN($V714),'All Security Controls'!$A:$I,6, FALSE),"---")</f>
        <v>---</v>
      </c>
      <c r="AA714" s="14" t="str">
        <f>IFERROR(VLOOKUP(CLEAN($V714),'All Security Controls'!$A:$I,7, FALSE),"---")</f>
        <v>---</v>
      </c>
      <c r="AB714" s="14" t="str">
        <f>IFERROR(VLOOKUP(CLEAN($V714),'All Security Controls'!$A:$I,8, FALSE),"---")</f>
        <v>---</v>
      </c>
      <c r="AC714" s="14" t="str">
        <f>IFERROR(VLOOKUP(CLEAN($V714),'All Security Controls'!$A:$I,9, FALSE),"---")</f>
        <v>---</v>
      </c>
      <c r="AD714" s="26">
        <v>713</v>
      </c>
    </row>
    <row r="715" spans="22:30" ht="15" customHeight="1" thickBot="1">
      <c r="V715" s="24"/>
      <c r="W715" s="16" t="str">
        <f>IFERROR(VLOOKUP(CLEAN($V715),'All Security Controls'!A:I, 2, FALSE),"---")</f>
        <v>---</v>
      </c>
      <c r="X715" s="14" t="str">
        <f>IFERROR(VLOOKUP(CLEAN($V715),'All Security Controls'!$A:$I, 4, FALSE),"---")</f>
        <v>---</v>
      </c>
      <c r="Y715" s="14" t="str">
        <f>IFERROR(VLOOKUP(CLEAN($V715),'All Security Controls'!$A:$I,5, FALSE),"---")</f>
        <v>---</v>
      </c>
      <c r="Z715" s="14" t="str">
        <f>IFERROR(VLOOKUP(CLEAN($V715),'All Security Controls'!$A:$I,6, FALSE),"---")</f>
        <v>---</v>
      </c>
      <c r="AA715" s="14" t="str">
        <f>IFERROR(VLOOKUP(CLEAN($V715),'All Security Controls'!$A:$I,7, FALSE),"---")</f>
        <v>---</v>
      </c>
      <c r="AB715" s="14" t="str">
        <f>IFERROR(VLOOKUP(CLEAN($V715),'All Security Controls'!$A:$I,8, FALSE),"---")</f>
        <v>---</v>
      </c>
      <c r="AC715" s="14" t="str">
        <f>IFERROR(VLOOKUP(CLEAN($V715),'All Security Controls'!$A:$I,9, FALSE),"---")</f>
        <v>---</v>
      </c>
      <c r="AD715" s="26">
        <v>714</v>
      </c>
    </row>
    <row r="716" spans="22:30" ht="15" customHeight="1" thickBot="1">
      <c r="V716" s="24"/>
      <c r="W716" s="16" t="str">
        <f>IFERROR(VLOOKUP(CLEAN($V716),'All Security Controls'!A:I, 2, FALSE),"---")</f>
        <v>---</v>
      </c>
      <c r="X716" s="14" t="str">
        <f>IFERROR(VLOOKUP(CLEAN($V716),'All Security Controls'!$A:$I, 4, FALSE),"---")</f>
        <v>---</v>
      </c>
      <c r="Y716" s="14" t="str">
        <f>IFERROR(VLOOKUP(CLEAN($V716),'All Security Controls'!$A:$I,5, FALSE),"---")</f>
        <v>---</v>
      </c>
      <c r="Z716" s="14" t="str">
        <f>IFERROR(VLOOKUP(CLEAN($V716),'All Security Controls'!$A:$I,6, FALSE),"---")</f>
        <v>---</v>
      </c>
      <c r="AA716" s="14" t="str">
        <f>IFERROR(VLOOKUP(CLEAN($V716),'All Security Controls'!$A:$I,7, FALSE),"---")</f>
        <v>---</v>
      </c>
      <c r="AB716" s="14" t="str">
        <f>IFERROR(VLOOKUP(CLEAN($V716),'All Security Controls'!$A:$I,8, FALSE),"---")</f>
        <v>---</v>
      </c>
      <c r="AC716" s="14" t="str">
        <f>IFERROR(VLOOKUP(CLEAN($V716),'All Security Controls'!$A:$I,9, FALSE),"---")</f>
        <v>---</v>
      </c>
      <c r="AD716" s="26">
        <v>715</v>
      </c>
    </row>
    <row r="717" spans="22:30" ht="15" customHeight="1" thickBot="1">
      <c r="V717" s="24"/>
      <c r="W717" s="16" t="str">
        <f>IFERROR(VLOOKUP(CLEAN($V717),'All Security Controls'!A:I, 2, FALSE),"---")</f>
        <v>---</v>
      </c>
      <c r="X717" s="14" t="str">
        <f>IFERROR(VLOOKUP(CLEAN($V717),'All Security Controls'!$A:$I, 4, FALSE),"---")</f>
        <v>---</v>
      </c>
      <c r="Y717" s="14" t="str">
        <f>IFERROR(VLOOKUP(CLEAN($V717),'All Security Controls'!$A:$I,5, FALSE),"---")</f>
        <v>---</v>
      </c>
      <c r="Z717" s="14" t="str">
        <f>IFERROR(VLOOKUP(CLEAN($V717),'All Security Controls'!$A:$I,6, FALSE),"---")</f>
        <v>---</v>
      </c>
      <c r="AA717" s="14" t="str">
        <f>IFERROR(VLOOKUP(CLEAN($V717),'All Security Controls'!$A:$I,7, FALSE),"---")</f>
        <v>---</v>
      </c>
      <c r="AB717" s="14" t="str">
        <f>IFERROR(VLOOKUP(CLEAN($V717),'All Security Controls'!$A:$I,8, FALSE),"---")</f>
        <v>---</v>
      </c>
      <c r="AC717" s="14" t="str">
        <f>IFERROR(VLOOKUP(CLEAN($V717),'All Security Controls'!$A:$I,9, FALSE),"---")</f>
        <v>---</v>
      </c>
      <c r="AD717" s="26">
        <v>716</v>
      </c>
    </row>
    <row r="718" spans="22:30" ht="15" customHeight="1" thickBot="1">
      <c r="V718" s="24"/>
      <c r="W718" s="16" t="str">
        <f>IFERROR(VLOOKUP(CLEAN($V718),'All Security Controls'!A:I, 2, FALSE),"---")</f>
        <v>---</v>
      </c>
      <c r="X718" s="14" t="str">
        <f>IFERROR(VLOOKUP(CLEAN($V718),'All Security Controls'!$A:$I, 4, FALSE),"---")</f>
        <v>---</v>
      </c>
      <c r="Y718" s="14" t="str">
        <f>IFERROR(VLOOKUP(CLEAN($V718),'All Security Controls'!$A:$I,5, FALSE),"---")</f>
        <v>---</v>
      </c>
      <c r="Z718" s="14" t="str">
        <f>IFERROR(VLOOKUP(CLEAN($V718),'All Security Controls'!$A:$I,6, FALSE),"---")</f>
        <v>---</v>
      </c>
      <c r="AA718" s="14" t="str">
        <f>IFERROR(VLOOKUP(CLEAN($V718),'All Security Controls'!$A:$I,7, FALSE),"---")</f>
        <v>---</v>
      </c>
      <c r="AB718" s="14" t="str">
        <f>IFERROR(VLOOKUP(CLEAN($V718),'All Security Controls'!$A:$I,8, FALSE),"---")</f>
        <v>---</v>
      </c>
      <c r="AC718" s="14" t="str">
        <f>IFERROR(VLOOKUP(CLEAN($V718),'All Security Controls'!$A:$I,9, FALSE),"---")</f>
        <v>---</v>
      </c>
      <c r="AD718" s="26">
        <v>717</v>
      </c>
    </row>
    <row r="719" spans="22:30" ht="15" customHeight="1" thickBot="1">
      <c r="V719" s="24"/>
      <c r="W719" s="16" t="str">
        <f>IFERROR(VLOOKUP(CLEAN($V719),'All Security Controls'!A:I, 2, FALSE),"---")</f>
        <v>---</v>
      </c>
      <c r="X719" s="14" t="str">
        <f>IFERROR(VLOOKUP(CLEAN($V719),'All Security Controls'!$A:$I, 4, FALSE),"---")</f>
        <v>---</v>
      </c>
      <c r="Y719" s="14" t="str">
        <f>IFERROR(VLOOKUP(CLEAN($V719),'All Security Controls'!$A:$I,5, FALSE),"---")</f>
        <v>---</v>
      </c>
      <c r="Z719" s="14" t="str">
        <f>IFERROR(VLOOKUP(CLEAN($V719),'All Security Controls'!$A:$I,6, FALSE),"---")</f>
        <v>---</v>
      </c>
      <c r="AA719" s="14" t="str">
        <f>IFERROR(VLOOKUP(CLEAN($V719),'All Security Controls'!$A:$I,7, FALSE),"---")</f>
        <v>---</v>
      </c>
      <c r="AB719" s="14" t="str">
        <f>IFERROR(VLOOKUP(CLEAN($V719),'All Security Controls'!$A:$I,8, FALSE),"---")</f>
        <v>---</v>
      </c>
      <c r="AC719" s="14" t="str">
        <f>IFERROR(VLOOKUP(CLEAN($V719),'All Security Controls'!$A:$I,9, FALSE),"---")</f>
        <v>---</v>
      </c>
      <c r="AD719" s="26">
        <v>718</v>
      </c>
    </row>
    <row r="720" spans="22:30" ht="15" customHeight="1" thickBot="1">
      <c r="V720" s="24"/>
      <c r="W720" s="16" t="str">
        <f>IFERROR(VLOOKUP(CLEAN($V720),'All Security Controls'!A:I, 2, FALSE),"---")</f>
        <v>---</v>
      </c>
      <c r="X720" s="14" t="str">
        <f>IFERROR(VLOOKUP(CLEAN($V720),'All Security Controls'!$A:$I, 4, FALSE),"---")</f>
        <v>---</v>
      </c>
      <c r="Y720" s="14" t="str">
        <f>IFERROR(VLOOKUP(CLEAN($V720),'All Security Controls'!$A:$I,5, FALSE),"---")</f>
        <v>---</v>
      </c>
      <c r="Z720" s="14" t="str">
        <f>IFERROR(VLOOKUP(CLEAN($V720),'All Security Controls'!$A:$I,6, FALSE),"---")</f>
        <v>---</v>
      </c>
      <c r="AA720" s="14" t="str">
        <f>IFERROR(VLOOKUP(CLEAN($V720),'All Security Controls'!$A:$I,7, FALSE),"---")</f>
        <v>---</v>
      </c>
      <c r="AB720" s="14" t="str">
        <f>IFERROR(VLOOKUP(CLEAN($V720),'All Security Controls'!$A:$I,8, FALSE),"---")</f>
        <v>---</v>
      </c>
      <c r="AC720" s="14" t="str">
        <f>IFERROR(VLOOKUP(CLEAN($V720),'All Security Controls'!$A:$I,9, FALSE),"---")</f>
        <v>---</v>
      </c>
      <c r="AD720" s="26">
        <v>719</v>
      </c>
    </row>
    <row r="721" spans="22:30" ht="15" customHeight="1" thickBot="1">
      <c r="V721" s="24"/>
      <c r="W721" s="16" t="str">
        <f>IFERROR(VLOOKUP(CLEAN($V721),'All Security Controls'!A:I, 2, FALSE),"---")</f>
        <v>---</v>
      </c>
      <c r="X721" s="14" t="str">
        <f>IFERROR(VLOOKUP(CLEAN($V721),'All Security Controls'!$A:$I, 4, FALSE),"---")</f>
        <v>---</v>
      </c>
      <c r="Y721" s="14" t="str">
        <f>IFERROR(VLOOKUP(CLEAN($V721),'All Security Controls'!$A:$I,5, FALSE),"---")</f>
        <v>---</v>
      </c>
      <c r="Z721" s="14" t="str">
        <f>IFERROR(VLOOKUP(CLEAN($V721),'All Security Controls'!$A:$I,6, FALSE),"---")</f>
        <v>---</v>
      </c>
      <c r="AA721" s="14" t="str">
        <f>IFERROR(VLOOKUP(CLEAN($V721),'All Security Controls'!$A:$I,7, FALSE),"---")</f>
        <v>---</v>
      </c>
      <c r="AB721" s="14" t="str">
        <f>IFERROR(VLOOKUP(CLEAN($V721),'All Security Controls'!$A:$I,8, FALSE),"---")</f>
        <v>---</v>
      </c>
      <c r="AC721" s="14" t="str">
        <f>IFERROR(VLOOKUP(CLEAN($V721),'All Security Controls'!$A:$I,9, FALSE),"---")</f>
        <v>---</v>
      </c>
      <c r="AD721" s="26">
        <v>720</v>
      </c>
    </row>
    <row r="722" spans="22:30" ht="15" customHeight="1" thickBot="1">
      <c r="V722" s="24"/>
      <c r="W722" s="16" t="str">
        <f>IFERROR(VLOOKUP(CLEAN($V722),'All Security Controls'!A:I, 2, FALSE),"---")</f>
        <v>---</v>
      </c>
      <c r="X722" s="14" t="str">
        <f>IFERROR(VLOOKUP(CLEAN($V722),'All Security Controls'!$A:$I, 4, FALSE),"---")</f>
        <v>---</v>
      </c>
      <c r="Y722" s="14" t="str">
        <f>IFERROR(VLOOKUP(CLEAN($V722),'All Security Controls'!$A:$I,5, FALSE),"---")</f>
        <v>---</v>
      </c>
      <c r="Z722" s="14" t="str">
        <f>IFERROR(VLOOKUP(CLEAN($V722),'All Security Controls'!$A:$I,6, FALSE),"---")</f>
        <v>---</v>
      </c>
      <c r="AA722" s="14" t="str">
        <f>IFERROR(VLOOKUP(CLEAN($V722),'All Security Controls'!$A:$I,7, FALSE),"---")</f>
        <v>---</v>
      </c>
      <c r="AB722" s="14" t="str">
        <f>IFERROR(VLOOKUP(CLEAN($V722),'All Security Controls'!$A:$I,8, FALSE),"---")</f>
        <v>---</v>
      </c>
      <c r="AC722" s="14" t="str">
        <f>IFERROR(VLOOKUP(CLEAN($V722),'All Security Controls'!$A:$I,9, FALSE),"---")</f>
        <v>---</v>
      </c>
      <c r="AD722" s="26">
        <v>721</v>
      </c>
    </row>
    <row r="723" spans="22:30" ht="15" customHeight="1" thickBot="1">
      <c r="V723" s="24"/>
      <c r="W723" s="16" t="str">
        <f>IFERROR(VLOOKUP(CLEAN($V723),'All Security Controls'!A:I, 2, FALSE),"---")</f>
        <v>---</v>
      </c>
      <c r="X723" s="14" t="str">
        <f>IFERROR(VLOOKUP(CLEAN($V723),'All Security Controls'!$A:$I, 4, FALSE),"---")</f>
        <v>---</v>
      </c>
      <c r="Y723" s="14" t="str">
        <f>IFERROR(VLOOKUP(CLEAN($V723),'All Security Controls'!$A:$I,5, FALSE),"---")</f>
        <v>---</v>
      </c>
      <c r="Z723" s="14" t="str">
        <f>IFERROR(VLOOKUP(CLEAN($V723),'All Security Controls'!$A:$I,6, FALSE),"---")</f>
        <v>---</v>
      </c>
      <c r="AA723" s="14" t="str">
        <f>IFERROR(VLOOKUP(CLEAN($V723),'All Security Controls'!$A:$I,7, FALSE),"---")</f>
        <v>---</v>
      </c>
      <c r="AB723" s="14" t="str">
        <f>IFERROR(VLOOKUP(CLEAN($V723),'All Security Controls'!$A:$I,8, FALSE),"---")</f>
        <v>---</v>
      </c>
      <c r="AC723" s="14" t="str">
        <f>IFERROR(VLOOKUP(CLEAN($V723),'All Security Controls'!$A:$I,9, FALSE),"---")</f>
        <v>---</v>
      </c>
      <c r="AD723" s="26">
        <v>722</v>
      </c>
    </row>
    <row r="724" spans="22:30" ht="15" customHeight="1" thickBot="1">
      <c r="V724" s="24"/>
      <c r="W724" s="16" t="str">
        <f>IFERROR(VLOOKUP(CLEAN($V724),'All Security Controls'!A:I, 2, FALSE),"---")</f>
        <v>---</v>
      </c>
      <c r="X724" s="14" t="str">
        <f>IFERROR(VLOOKUP(CLEAN($V724),'All Security Controls'!$A:$I, 4, FALSE),"---")</f>
        <v>---</v>
      </c>
      <c r="Y724" s="14" t="str">
        <f>IFERROR(VLOOKUP(CLEAN($V724),'All Security Controls'!$A:$I,5, FALSE),"---")</f>
        <v>---</v>
      </c>
      <c r="Z724" s="14" t="str">
        <f>IFERROR(VLOOKUP(CLEAN($V724),'All Security Controls'!$A:$I,6, FALSE),"---")</f>
        <v>---</v>
      </c>
      <c r="AA724" s="14" t="str">
        <f>IFERROR(VLOOKUP(CLEAN($V724),'All Security Controls'!$A:$I,7, FALSE),"---")</f>
        <v>---</v>
      </c>
      <c r="AB724" s="14" t="str">
        <f>IFERROR(VLOOKUP(CLEAN($V724),'All Security Controls'!$A:$I,8, FALSE),"---")</f>
        <v>---</v>
      </c>
      <c r="AC724" s="14" t="str">
        <f>IFERROR(VLOOKUP(CLEAN($V724),'All Security Controls'!$A:$I,9, FALSE),"---")</f>
        <v>---</v>
      </c>
      <c r="AD724" s="26">
        <v>723</v>
      </c>
    </row>
    <row r="725" spans="22:30" ht="15" customHeight="1" thickBot="1">
      <c r="V725" s="24"/>
      <c r="W725" s="16" t="str">
        <f>IFERROR(VLOOKUP(CLEAN($V725),'All Security Controls'!A:I, 2, FALSE),"---")</f>
        <v>---</v>
      </c>
      <c r="X725" s="14" t="str">
        <f>IFERROR(VLOOKUP(CLEAN($V725),'All Security Controls'!$A:$I, 4, FALSE),"---")</f>
        <v>---</v>
      </c>
      <c r="Y725" s="14" t="str">
        <f>IFERROR(VLOOKUP(CLEAN($V725),'All Security Controls'!$A:$I,5, FALSE),"---")</f>
        <v>---</v>
      </c>
      <c r="Z725" s="14" t="str">
        <f>IFERROR(VLOOKUP(CLEAN($V725),'All Security Controls'!$A:$I,6, FALSE),"---")</f>
        <v>---</v>
      </c>
      <c r="AA725" s="14" t="str">
        <f>IFERROR(VLOOKUP(CLEAN($V725),'All Security Controls'!$A:$I,7, FALSE),"---")</f>
        <v>---</v>
      </c>
      <c r="AB725" s="14" t="str">
        <f>IFERROR(VLOOKUP(CLEAN($V725),'All Security Controls'!$A:$I,8, FALSE),"---")</f>
        <v>---</v>
      </c>
      <c r="AC725" s="14" t="str">
        <f>IFERROR(VLOOKUP(CLEAN($V725),'All Security Controls'!$A:$I,9, FALSE),"---")</f>
        <v>---</v>
      </c>
      <c r="AD725" s="26">
        <v>724</v>
      </c>
    </row>
    <row r="726" spans="22:30" ht="15" customHeight="1" thickBot="1">
      <c r="V726" s="24"/>
      <c r="W726" s="16" t="str">
        <f>IFERROR(VLOOKUP(CLEAN($V726),'All Security Controls'!A:I, 2, FALSE),"---")</f>
        <v>---</v>
      </c>
      <c r="X726" s="14" t="str">
        <f>IFERROR(VLOOKUP(CLEAN($V726),'All Security Controls'!$A:$I, 4, FALSE),"---")</f>
        <v>---</v>
      </c>
      <c r="Y726" s="14" t="str">
        <f>IFERROR(VLOOKUP(CLEAN($V726),'All Security Controls'!$A:$I,5, FALSE),"---")</f>
        <v>---</v>
      </c>
      <c r="Z726" s="14" t="str">
        <f>IFERROR(VLOOKUP(CLEAN($V726),'All Security Controls'!$A:$I,6, FALSE),"---")</f>
        <v>---</v>
      </c>
      <c r="AA726" s="14" t="str">
        <f>IFERROR(VLOOKUP(CLEAN($V726),'All Security Controls'!$A:$I,7, FALSE),"---")</f>
        <v>---</v>
      </c>
      <c r="AB726" s="14" t="str">
        <f>IFERROR(VLOOKUP(CLEAN($V726),'All Security Controls'!$A:$I,8, FALSE),"---")</f>
        <v>---</v>
      </c>
      <c r="AC726" s="14" t="str">
        <f>IFERROR(VLOOKUP(CLEAN($V726),'All Security Controls'!$A:$I,9, FALSE),"---")</f>
        <v>---</v>
      </c>
      <c r="AD726" s="26">
        <v>725</v>
      </c>
    </row>
    <row r="727" spans="22:30" ht="15" customHeight="1" thickBot="1">
      <c r="V727" s="24"/>
      <c r="W727" s="16" t="str">
        <f>IFERROR(VLOOKUP(CLEAN($V727),'All Security Controls'!A:I, 2, FALSE),"---")</f>
        <v>---</v>
      </c>
      <c r="X727" s="14" t="str">
        <f>IFERROR(VLOOKUP(CLEAN($V727),'All Security Controls'!$A:$I, 4, FALSE),"---")</f>
        <v>---</v>
      </c>
      <c r="Y727" s="14" t="str">
        <f>IFERROR(VLOOKUP(CLEAN($V727),'All Security Controls'!$A:$I,5, FALSE),"---")</f>
        <v>---</v>
      </c>
      <c r="Z727" s="14" t="str">
        <f>IFERROR(VLOOKUP(CLEAN($V727),'All Security Controls'!$A:$I,6, FALSE),"---")</f>
        <v>---</v>
      </c>
      <c r="AA727" s="14" t="str">
        <f>IFERROR(VLOOKUP(CLEAN($V727),'All Security Controls'!$A:$I,7, FALSE),"---")</f>
        <v>---</v>
      </c>
      <c r="AB727" s="14" t="str">
        <f>IFERROR(VLOOKUP(CLEAN($V727),'All Security Controls'!$A:$I,8, FALSE),"---")</f>
        <v>---</v>
      </c>
      <c r="AC727" s="14" t="str">
        <f>IFERROR(VLOOKUP(CLEAN($V727),'All Security Controls'!$A:$I,9, FALSE),"---")</f>
        <v>---</v>
      </c>
      <c r="AD727" s="26">
        <v>726</v>
      </c>
    </row>
    <row r="728" spans="22:30" ht="15" customHeight="1" thickBot="1">
      <c r="V728" s="24"/>
      <c r="W728" s="16" t="str">
        <f>IFERROR(VLOOKUP(CLEAN($V728),'All Security Controls'!A:I, 2, FALSE),"---")</f>
        <v>---</v>
      </c>
      <c r="X728" s="14" t="str">
        <f>IFERROR(VLOOKUP(CLEAN($V728),'All Security Controls'!$A:$I, 4, FALSE),"---")</f>
        <v>---</v>
      </c>
      <c r="Y728" s="14" t="str">
        <f>IFERROR(VLOOKUP(CLEAN($V728),'All Security Controls'!$A:$I,5, FALSE),"---")</f>
        <v>---</v>
      </c>
      <c r="Z728" s="14" t="str">
        <f>IFERROR(VLOOKUP(CLEAN($V728),'All Security Controls'!$A:$I,6, FALSE),"---")</f>
        <v>---</v>
      </c>
      <c r="AA728" s="14" t="str">
        <f>IFERROR(VLOOKUP(CLEAN($V728),'All Security Controls'!$A:$I,7, FALSE),"---")</f>
        <v>---</v>
      </c>
      <c r="AB728" s="14" t="str">
        <f>IFERROR(VLOOKUP(CLEAN($V728),'All Security Controls'!$A:$I,8, FALSE),"---")</f>
        <v>---</v>
      </c>
      <c r="AC728" s="14" t="str">
        <f>IFERROR(VLOOKUP(CLEAN($V728),'All Security Controls'!$A:$I,9, FALSE),"---")</f>
        <v>---</v>
      </c>
      <c r="AD728" s="26">
        <v>727</v>
      </c>
    </row>
    <row r="729" spans="22:30" ht="15" customHeight="1" thickBot="1">
      <c r="V729" s="24"/>
      <c r="W729" s="16" t="str">
        <f>IFERROR(VLOOKUP(CLEAN($V729),'All Security Controls'!A:I, 2, FALSE),"---")</f>
        <v>---</v>
      </c>
      <c r="X729" s="14" t="str">
        <f>IFERROR(VLOOKUP(CLEAN($V729),'All Security Controls'!$A:$I, 4, FALSE),"---")</f>
        <v>---</v>
      </c>
      <c r="Y729" s="14" t="str">
        <f>IFERROR(VLOOKUP(CLEAN($V729),'All Security Controls'!$A:$I,5, FALSE),"---")</f>
        <v>---</v>
      </c>
      <c r="Z729" s="14" t="str">
        <f>IFERROR(VLOOKUP(CLEAN($V729),'All Security Controls'!$A:$I,6, FALSE),"---")</f>
        <v>---</v>
      </c>
      <c r="AA729" s="14" t="str">
        <f>IFERROR(VLOOKUP(CLEAN($V729),'All Security Controls'!$A:$I,7, FALSE),"---")</f>
        <v>---</v>
      </c>
      <c r="AB729" s="14" t="str">
        <f>IFERROR(VLOOKUP(CLEAN($V729),'All Security Controls'!$A:$I,8, FALSE),"---")</f>
        <v>---</v>
      </c>
      <c r="AC729" s="14" t="str">
        <f>IFERROR(VLOOKUP(CLEAN($V729),'All Security Controls'!$A:$I,9, FALSE),"---")</f>
        <v>---</v>
      </c>
      <c r="AD729" s="26">
        <v>728</v>
      </c>
    </row>
    <row r="730" spans="22:30" ht="15" customHeight="1" thickBot="1">
      <c r="V730" s="24"/>
      <c r="W730" s="16" t="str">
        <f>IFERROR(VLOOKUP(CLEAN($V730),'All Security Controls'!A:I, 2, FALSE),"---")</f>
        <v>---</v>
      </c>
      <c r="X730" s="14" t="str">
        <f>IFERROR(VLOOKUP(CLEAN($V730),'All Security Controls'!$A:$I, 4, FALSE),"---")</f>
        <v>---</v>
      </c>
      <c r="Y730" s="14" t="str">
        <f>IFERROR(VLOOKUP(CLEAN($V730),'All Security Controls'!$A:$I,5, FALSE),"---")</f>
        <v>---</v>
      </c>
      <c r="Z730" s="14" t="str">
        <f>IFERROR(VLOOKUP(CLEAN($V730),'All Security Controls'!$A:$I,6, FALSE),"---")</f>
        <v>---</v>
      </c>
      <c r="AA730" s="14" t="str">
        <f>IFERROR(VLOOKUP(CLEAN($V730),'All Security Controls'!$A:$I,7, FALSE),"---")</f>
        <v>---</v>
      </c>
      <c r="AB730" s="14" t="str">
        <f>IFERROR(VLOOKUP(CLEAN($V730),'All Security Controls'!$A:$I,8, FALSE),"---")</f>
        <v>---</v>
      </c>
      <c r="AC730" s="14" t="str">
        <f>IFERROR(VLOOKUP(CLEAN($V730),'All Security Controls'!$A:$I,9, FALSE),"---")</f>
        <v>---</v>
      </c>
      <c r="AD730" s="26">
        <v>729</v>
      </c>
    </row>
    <row r="731" spans="22:30" ht="15" customHeight="1" thickBot="1">
      <c r="V731" s="24"/>
      <c r="W731" s="16" t="str">
        <f>IFERROR(VLOOKUP(CLEAN($V731),'All Security Controls'!A:I, 2, FALSE),"---")</f>
        <v>---</v>
      </c>
      <c r="X731" s="14" t="str">
        <f>IFERROR(VLOOKUP(CLEAN($V731),'All Security Controls'!$A:$I, 4, FALSE),"---")</f>
        <v>---</v>
      </c>
      <c r="Y731" s="14" t="str">
        <f>IFERROR(VLOOKUP(CLEAN($V731),'All Security Controls'!$A:$I,5, FALSE),"---")</f>
        <v>---</v>
      </c>
      <c r="Z731" s="14" t="str">
        <f>IFERROR(VLOOKUP(CLEAN($V731),'All Security Controls'!$A:$I,6, FALSE),"---")</f>
        <v>---</v>
      </c>
      <c r="AA731" s="14" t="str">
        <f>IFERROR(VLOOKUP(CLEAN($V731),'All Security Controls'!$A:$I,7, FALSE),"---")</f>
        <v>---</v>
      </c>
      <c r="AB731" s="14" t="str">
        <f>IFERROR(VLOOKUP(CLEAN($V731),'All Security Controls'!$A:$I,8, FALSE),"---")</f>
        <v>---</v>
      </c>
      <c r="AC731" s="14" t="str">
        <f>IFERROR(VLOOKUP(CLEAN($V731),'All Security Controls'!$A:$I,9, FALSE),"---")</f>
        <v>---</v>
      </c>
      <c r="AD731" s="26">
        <v>730</v>
      </c>
    </row>
    <row r="732" spans="22:30" ht="15" customHeight="1" thickBot="1">
      <c r="V732" s="24"/>
      <c r="W732" s="16" t="str">
        <f>IFERROR(VLOOKUP(CLEAN($V732),'All Security Controls'!A:I, 2, FALSE),"---")</f>
        <v>---</v>
      </c>
      <c r="X732" s="14" t="str">
        <f>IFERROR(VLOOKUP(CLEAN($V732),'All Security Controls'!$A:$I, 4, FALSE),"---")</f>
        <v>---</v>
      </c>
      <c r="Y732" s="14" t="str">
        <f>IFERROR(VLOOKUP(CLEAN($V732),'All Security Controls'!$A:$I,5, FALSE),"---")</f>
        <v>---</v>
      </c>
      <c r="Z732" s="14" t="str">
        <f>IFERROR(VLOOKUP(CLEAN($V732),'All Security Controls'!$A:$I,6, FALSE),"---")</f>
        <v>---</v>
      </c>
      <c r="AA732" s="14" t="str">
        <f>IFERROR(VLOOKUP(CLEAN($V732),'All Security Controls'!$A:$I,7, FALSE),"---")</f>
        <v>---</v>
      </c>
      <c r="AB732" s="14" t="str">
        <f>IFERROR(VLOOKUP(CLEAN($V732),'All Security Controls'!$A:$I,8, FALSE),"---")</f>
        <v>---</v>
      </c>
      <c r="AC732" s="14" t="str">
        <f>IFERROR(VLOOKUP(CLEAN($V732),'All Security Controls'!$A:$I,9, FALSE),"---")</f>
        <v>---</v>
      </c>
      <c r="AD732" s="26">
        <v>731</v>
      </c>
    </row>
    <row r="733" spans="22:30" ht="15" customHeight="1" thickBot="1">
      <c r="V733" s="24"/>
      <c r="W733" s="16" t="str">
        <f>IFERROR(VLOOKUP(CLEAN($V733),'All Security Controls'!A:I, 2, FALSE),"---")</f>
        <v>---</v>
      </c>
      <c r="X733" s="14" t="str">
        <f>IFERROR(VLOOKUP(CLEAN($V733),'All Security Controls'!$A:$I, 4, FALSE),"---")</f>
        <v>---</v>
      </c>
      <c r="Y733" s="14" t="str">
        <f>IFERROR(VLOOKUP(CLEAN($V733),'All Security Controls'!$A:$I,5, FALSE),"---")</f>
        <v>---</v>
      </c>
      <c r="Z733" s="14" t="str">
        <f>IFERROR(VLOOKUP(CLEAN($V733),'All Security Controls'!$A:$I,6, FALSE),"---")</f>
        <v>---</v>
      </c>
      <c r="AA733" s="14" t="str">
        <f>IFERROR(VLOOKUP(CLEAN($V733),'All Security Controls'!$A:$I,7, FALSE),"---")</f>
        <v>---</v>
      </c>
      <c r="AB733" s="14" t="str">
        <f>IFERROR(VLOOKUP(CLEAN($V733),'All Security Controls'!$A:$I,8, FALSE),"---")</f>
        <v>---</v>
      </c>
      <c r="AC733" s="14" t="str">
        <f>IFERROR(VLOOKUP(CLEAN($V733),'All Security Controls'!$A:$I,9, FALSE),"---")</f>
        <v>---</v>
      </c>
      <c r="AD733" s="26">
        <v>732</v>
      </c>
    </row>
    <row r="734" spans="22:30" ht="15" customHeight="1" thickBot="1">
      <c r="V734" s="24"/>
      <c r="W734" s="16" t="str">
        <f>IFERROR(VLOOKUP(CLEAN($V734),'All Security Controls'!A:I, 2, FALSE),"---")</f>
        <v>---</v>
      </c>
      <c r="X734" s="14" t="str">
        <f>IFERROR(VLOOKUP(CLEAN($V734),'All Security Controls'!$A:$I, 4, FALSE),"---")</f>
        <v>---</v>
      </c>
      <c r="Y734" s="14" t="str">
        <f>IFERROR(VLOOKUP(CLEAN($V734),'All Security Controls'!$A:$I,5, FALSE),"---")</f>
        <v>---</v>
      </c>
      <c r="Z734" s="14" t="str">
        <f>IFERROR(VLOOKUP(CLEAN($V734),'All Security Controls'!$A:$I,6, FALSE),"---")</f>
        <v>---</v>
      </c>
      <c r="AA734" s="14" t="str">
        <f>IFERROR(VLOOKUP(CLEAN($V734),'All Security Controls'!$A:$I,7, FALSE),"---")</f>
        <v>---</v>
      </c>
      <c r="AB734" s="14" t="str">
        <f>IFERROR(VLOOKUP(CLEAN($V734),'All Security Controls'!$A:$I,8, FALSE),"---")</f>
        <v>---</v>
      </c>
      <c r="AC734" s="14" t="str">
        <f>IFERROR(VLOOKUP(CLEAN($V734),'All Security Controls'!$A:$I,9, FALSE),"---")</f>
        <v>---</v>
      </c>
      <c r="AD734" s="26">
        <v>733</v>
      </c>
    </row>
    <row r="735" spans="22:30" ht="15" customHeight="1" thickBot="1">
      <c r="V735" s="24"/>
      <c r="W735" s="16" t="str">
        <f>IFERROR(VLOOKUP(CLEAN($V735),'All Security Controls'!A:I, 2, FALSE),"---")</f>
        <v>---</v>
      </c>
      <c r="X735" s="14" t="str">
        <f>IFERROR(VLOOKUP(CLEAN($V735),'All Security Controls'!$A:$I, 4, FALSE),"---")</f>
        <v>---</v>
      </c>
      <c r="Y735" s="14" t="str">
        <f>IFERROR(VLOOKUP(CLEAN($V735),'All Security Controls'!$A:$I,5, FALSE),"---")</f>
        <v>---</v>
      </c>
      <c r="Z735" s="14" t="str">
        <f>IFERROR(VLOOKUP(CLEAN($V735),'All Security Controls'!$A:$I,6, FALSE),"---")</f>
        <v>---</v>
      </c>
      <c r="AA735" s="14" t="str">
        <f>IFERROR(VLOOKUP(CLEAN($V735),'All Security Controls'!$A:$I,7, FALSE),"---")</f>
        <v>---</v>
      </c>
      <c r="AB735" s="14" t="str">
        <f>IFERROR(VLOOKUP(CLEAN($V735),'All Security Controls'!$A:$I,8, FALSE),"---")</f>
        <v>---</v>
      </c>
      <c r="AC735" s="14" t="str">
        <f>IFERROR(VLOOKUP(CLEAN($V735),'All Security Controls'!$A:$I,9, FALSE),"---")</f>
        <v>---</v>
      </c>
      <c r="AD735" s="26">
        <v>734</v>
      </c>
    </row>
    <row r="736" spans="22:30" ht="15" customHeight="1" thickBot="1">
      <c r="V736" s="24"/>
      <c r="W736" s="16" t="str">
        <f>IFERROR(VLOOKUP(CLEAN($V736),'All Security Controls'!A:I, 2, FALSE),"---")</f>
        <v>---</v>
      </c>
      <c r="X736" s="14" t="str">
        <f>IFERROR(VLOOKUP(CLEAN($V736),'All Security Controls'!$A:$I, 4, FALSE),"---")</f>
        <v>---</v>
      </c>
      <c r="Y736" s="14" t="str">
        <f>IFERROR(VLOOKUP(CLEAN($V736),'All Security Controls'!$A:$I,5, FALSE),"---")</f>
        <v>---</v>
      </c>
      <c r="Z736" s="14" t="str">
        <f>IFERROR(VLOOKUP(CLEAN($V736),'All Security Controls'!$A:$I,6, FALSE),"---")</f>
        <v>---</v>
      </c>
      <c r="AA736" s="14" t="str">
        <f>IFERROR(VLOOKUP(CLEAN($V736),'All Security Controls'!$A:$I,7, FALSE),"---")</f>
        <v>---</v>
      </c>
      <c r="AB736" s="14" t="str">
        <f>IFERROR(VLOOKUP(CLEAN($V736),'All Security Controls'!$A:$I,8, FALSE),"---")</f>
        <v>---</v>
      </c>
      <c r="AC736" s="14" t="str">
        <f>IFERROR(VLOOKUP(CLEAN($V736),'All Security Controls'!$A:$I,9, FALSE),"---")</f>
        <v>---</v>
      </c>
      <c r="AD736" s="26">
        <v>735</v>
      </c>
    </row>
    <row r="737" spans="22:30" ht="15" customHeight="1" thickBot="1">
      <c r="V737" s="24"/>
      <c r="W737" s="16" t="str">
        <f>IFERROR(VLOOKUP(CLEAN($V737),'All Security Controls'!A:I, 2, FALSE),"---")</f>
        <v>---</v>
      </c>
      <c r="X737" s="14" t="str">
        <f>IFERROR(VLOOKUP(CLEAN($V737),'All Security Controls'!$A:$I, 4, FALSE),"---")</f>
        <v>---</v>
      </c>
      <c r="Y737" s="14" t="str">
        <f>IFERROR(VLOOKUP(CLEAN($V737),'All Security Controls'!$A:$I,5, FALSE),"---")</f>
        <v>---</v>
      </c>
      <c r="Z737" s="14" t="str">
        <f>IFERROR(VLOOKUP(CLEAN($V737),'All Security Controls'!$A:$I,6, FALSE),"---")</f>
        <v>---</v>
      </c>
      <c r="AA737" s="14" t="str">
        <f>IFERROR(VLOOKUP(CLEAN($V737),'All Security Controls'!$A:$I,7, FALSE),"---")</f>
        <v>---</v>
      </c>
      <c r="AB737" s="14" t="str">
        <f>IFERROR(VLOOKUP(CLEAN($V737),'All Security Controls'!$A:$I,8, FALSE),"---")</f>
        <v>---</v>
      </c>
      <c r="AC737" s="14" t="str">
        <f>IFERROR(VLOOKUP(CLEAN($V737),'All Security Controls'!$A:$I,9, FALSE),"---")</f>
        <v>---</v>
      </c>
      <c r="AD737" s="26">
        <v>736</v>
      </c>
    </row>
    <row r="738" spans="22:30" ht="15" customHeight="1" thickBot="1">
      <c r="V738" s="24"/>
      <c r="W738" s="16" t="str">
        <f>IFERROR(VLOOKUP(CLEAN($V738),'All Security Controls'!A:I, 2, FALSE),"---")</f>
        <v>---</v>
      </c>
      <c r="X738" s="14" t="str">
        <f>IFERROR(VLOOKUP(CLEAN($V738),'All Security Controls'!$A:$I, 4, FALSE),"---")</f>
        <v>---</v>
      </c>
      <c r="Y738" s="14" t="str">
        <f>IFERROR(VLOOKUP(CLEAN($V738),'All Security Controls'!$A:$I,5, FALSE),"---")</f>
        <v>---</v>
      </c>
      <c r="Z738" s="14" t="str">
        <f>IFERROR(VLOOKUP(CLEAN($V738),'All Security Controls'!$A:$I,6, FALSE),"---")</f>
        <v>---</v>
      </c>
      <c r="AA738" s="14" t="str">
        <f>IFERROR(VLOOKUP(CLEAN($V738),'All Security Controls'!$A:$I,7, FALSE),"---")</f>
        <v>---</v>
      </c>
      <c r="AB738" s="14" t="str">
        <f>IFERROR(VLOOKUP(CLEAN($V738),'All Security Controls'!$A:$I,8, FALSE),"---")</f>
        <v>---</v>
      </c>
      <c r="AC738" s="14" t="str">
        <f>IFERROR(VLOOKUP(CLEAN($V738),'All Security Controls'!$A:$I,9, FALSE),"---")</f>
        <v>---</v>
      </c>
      <c r="AD738" s="26">
        <v>737</v>
      </c>
    </row>
    <row r="739" spans="22:30" ht="15" customHeight="1" thickBot="1">
      <c r="V739" s="24"/>
      <c r="W739" s="16" t="str">
        <f>IFERROR(VLOOKUP(CLEAN($V739),'All Security Controls'!A:I, 2, FALSE),"---")</f>
        <v>---</v>
      </c>
      <c r="X739" s="14" t="str">
        <f>IFERROR(VLOOKUP(CLEAN($V739),'All Security Controls'!$A:$I, 4, FALSE),"---")</f>
        <v>---</v>
      </c>
      <c r="Y739" s="14" t="str">
        <f>IFERROR(VLOOKUP(CLEAN($V739),'All Security Controls'!$A:$I,5, FALSE),"---")</f>
        <v>---</v>
      </c>
      <c r="Z739" s="14" t="str">
        <f>IFERROR(VLOOKUP(CLEAN($V739),'All Security Controls'!$A:$I,6, FALSE),"---")</f>
        <v>---</v>
      </c>
      <c r="AA739" s="14" t="str">
        <f>IFERROR(VLOOKUP(CLEAN($V739),'All Security Controls'!$A:$I,7, FALSE),"---")</f>
        <v>---</v>
      </c>
      <c r="AB739" s="14" t="str">
        <f>IFERROR(VLOOKUP(CLEAN($V739),'All Security Controls'!$A:$I,8, FALSE),"---")</f>
        <v>---</v>
      </c>
      <c r="AC739" s="14" t="str">
        <f>IFERROR(VLOOKUP(CLEAN($V739),'All Security Controls'!$A:$I,9, FALSE),"---")</f>
        <v>---</v>
      </c>
      <c r="AD739" s="26">
        <v>738</v>
      </c>
    </row>
    <row r="740" spans="22:30" ht="15" customHeight="1" thickBot="1">
      <c r="V740" s="24"/>
      <c r="W740" s="16" t="str">
        <f>IFERROR(VLOOKUP(CLEAN($V740),'All Security Controls'!A:I, 2, FALSE),"---")</f>
        <v>---</v>
      </c>
      <c r="X740" s="14" t="str">
        <f>IFERROR(VLOOKUP(CLEAN($V740),'All Security Controls'!$A:$I, 4, FALSE),"---")</f>
        <v>---</v>
      </c>
      <c r="Y740" s="14" t="str">
        <f>IFERROR(VLOOKUP(CLEAN($V740),'All Security Controls'!$A:$I,5, FALSE),"---")</f>
        <v>---</v>
      </c>
      <c r="Z740" s="14" t="str">
        <f>IFERROR(VLOOKUP(CLEAN($V740),'All Security Controls'!$A:$I,6, FALSE),"---")</f>
        <v>---</v>
      </c>
      <c r="AA740" s="14" t="str">
        <f>IFERROR(VLOOKUP(CLEAN($V740),'All Security Controls'!$A:$I,7, FALSE),"---")</f>
        <v>---</v>
      </c>
      <c r="AB740" s="14" t="str">
        <f>IFERROR(VLOOKUP(CLEAN($V740),'All Security Controls'!$A:$I,8, FALSE),"---")</f>
        <v>---</v>
      </c>
      <c r="AC740" s="14" t="str">
        <f>IFERROR(VLOOKUP(CLEAN($V740),'All Security Controls'!$A:$I,9, FALSE),"---")</f>
        <v>---</v>
      </c>
      <c r="AD740" s="26">
        <v>739</v>
      </c>
    </row>
    <row r="741" spans="22:30" ht="15" customHeight="1" thickBot="1">
      <c r="V741" s="24"/>
      <c r="W741" s="16" t="str">
        <f>IFERROR(VLOOKUP(CLEAN($V741),'All Security Controls'!A:I, 2, FALSE),"---")</f>
        <v>---</v>
      </c>
      <c r="X741" s="14" t="str">
        <f>IFERROR(VLOOKUP(CLEAN($V741),'All Security Controls'!$A:$I, 4, FALSE),"---")</f>
        <v>---</v>
      </c>
      <c r="Y741" s="14" t="str">
        <f>IFERROR(VLOOKUP(CLEAN($V741),'All Security Controls'!$A:$I,5, FALSE),"---")</f>
        <v>---</v>
      </c>
      <c r="Z741" s="14" t="str">
        <f>IFERROR(VLOOKUP(CLEAN($V741),'All Security Controls'!$A:$I,6, FALSE),"---")</f>
        <v>---</v>
      </c>
      <c r="AA741" s="14" t="str">
        <f>IFERROR(VLOOKUP(CLEAN($V741),'All Security Controls'!$A:$I,7, FALSE),"---")</f>
        <v>---</v>
      </c>
      <c r="AB741" s="14" t="str">
        <f>IFERROR(VLOOKUP(CLEAN($V741),'All Security Controls'!$A:$I,8, FALSE),"---")</f>
        <v>---</v>
      </c>
      <c r="AC741" s="14" t="str">
        <f>IFERROR(VLOOKUP(CLEAN($V741),'All Security Controls'!$A:$I,9, FALSE),"---")</f>
        <v>---</v>
      </c>
      <c r="AD741" s="26">
        <v>740</v>
      </c>
    </row>
    <row r="742" spans="22:30" ht="15" customHeight="1" thickBot="1">
      <c r="V742" s="24"/>
      <c r="W742" s="16" t="str">
        <f>IFERROR(VLOOKUP(CLEAN($V742),'All Security Controls'!A:I, 2, FALSE),"---")</f>
        <v>---</v>
      </c>
      <c r="X742" s="14" t="str">
        <f>IFERROR(VLOOKUP(CLEAN($V742),'All Security Controls'!$A:$I, 4, FALSE),"---")</f>
        <v>---</v>
      </c>
      <c r="Y742" s="14" t="str">
        <f>IFERROR(VLOOKUP(CLEAN($V742),'All Security Controls'!$A:$I,5, FALSE),"---")</f>
        <v>---</v>
      </c>
      <c r="Z742" s="14" t="str">
        <f>IFERROR(VLOOKUP(CLEAN($V742),'All Security Controls'!$A:$I,6, FALSE),"---")</f>
        <v>---</v>
      </c>
      <c r="AA742" s="14" t="str">
        <f>IFERROR(VLOOKUP(CLEAN($V742),'All Security Controls'!$A:$I,7, FALSE),"---")</f>
        <v>---</v>
      </c>
      <c r="AB742" s="14" t="str">
        <f>IFERROR(VLOOKUP(CLEAN($V742),'All Security Controls'!$A:$I,8, FALSE),"---")</f>
        <v>---</v>
      </c>
      <c r="AC742" s="14" t="str">
        <f>IFERROR(VLOOKUP(CLEAN($V742),'All Security Controls'!$A:$I,9, FALSE),"---")</f>
        <v>---</v>
      </c>
      <c r="AD742" s="26">
        <v>741</v>
      </c>
    </row>
    <row r="743" spans="22:30" ht="15" customHeight="1" thickBot="1">
      <c r="V743" s="24"/>
      <c r="W743" s="16" t="str">
        <f>IFERROR(VLOOKUP(CLEAN($V743),'All Security Controls'!A:I, 2, FALSE),"---")</f>
        <v>---</v>
      </c>
      <c r="X743" s="14" t="str">
        <f>IFERROR(VLOOKUP(CLEAN($V743),'All Security Controls'!$A:$I, 4, FALSE),"---")</f>
        <v>---</v>
      </c>
      <c r="Y743" s="14" t="str">
        <f>IFERROR(VLOOKUP(CLEAN($V743),'All Security Controls'!$A:$I,5, FALSE),"---")</f>
        <v>---</v>
      </c>
      <c r="Z743" s="14" t="str">
        <f>IFERROR(VLOOKUP(CLEAN($V743),'All Security Controls'!$A:$I,6, FALSE),"---")</f>
        <v>---</v>
      </c>
      <c r="AA743" s="14" t="str">
        <f>IFERROR(VLOOKUP(CLEAN($V743),'All Security Controls'!$A:$I,7, FALSE),"---")</f>
        <v>---</v>
      </c>
      <c r="AB743" s="14" t="str">
        <f>IFERROR(VLOOKUP(CLEAN($V743),'All Security Controls'!$A:$I,8, FALSE),"---")</f>
        <v>---</v>
      </c>
      <c r="AC743" s="14" t="str">
        <f>IFERROR(VLOOKUP(CLEAN($V743),'All Security Controls'!$A:$I,9, FALSE),"---")</f>
        <v>---</v>
      </c>
      <c r="AD743" s="26">
        <v>742</v>
      </c>
    </row>
    <row r="744" spans="22:30" ht="15" customHeight="1" thickBot="1">
      <c r="V744" s="24"/>
      <c r="W744" s="16" t="str">
        <f>IFERROR(VLOOKUP(CLEAN($V744),'All Security Controls'!A:I, 2, FALSE),"---")</f>
        <v>---</v>
      </c>
      <c r="X744" s="14" t="str">
        <f>IFERROR(VLOOKUP(CLEAN($V744),'All Security Controls'!$A:$I, 4, FALSE),"---")</f>
        <v>---</v>
      </c>
      <c r="Y744" s="14" t="str">
        <f>IFERROR(VLOOKUP(CLEAN($V744),'All Security Controls'!$A:$I,5, FALSE),"---")</f>
        <v>---</v>
      </c>
      <c r="Z744" s="14" t="str">
        <f>IFERROR(VLOOKUP(CLEAN($V744),'All Security Controls'!$A:$I,6, FALSE),"---")</f>
        <v>---</v>
      </c>
      <c r="AA744" s="14" t="str">
        <f>IFERROR(VLOOKUP(CLEAN($V744),'All Security Controls'!$A:$I,7, FALSE),"---")</f>
        <v>---</v>
      </c>
      <c r="AB744" s="14" t="str">
        <f>IFERROR(VLOOKUP(CLEAN($V744),'All Security Controls'!$A:$I,8, FALSE),"---")</f>
        <v>---</v>
      </c>
      <c r="AC744" s="14" t="str">
        <f>IFERROR(VLOOKUP(CLEAN($V744),'All Security Controls'!$A:$I,9, FALSE),"---")</f>
        <v>---</v>
      </c>
      <c r="AD744" s="26">
        <v>743</v>
      </c>
    </row>
    <row r="745" spans="22:30" ht="15" customHeight="1" thickBot="1">
      <c r="V745" s="24"/>
      <c r="W745" s="16" t="str">
        <f>IFERROR(VLOOKUP(CLEAN($V745),'All Security Controls'!A:I, 2, FALSE),"---")</f>
        <v>---</v>
      </c>
      <c r="X745" s="14" t="str">
        <f>IFERROR(VLOOKUP(CLEAN($V745),'All Security Controls'!$A:$I, 4, FALSE),"---")</f>
        <v>---</v>
      </c>
      <c r="Y745" s="14" t="str">
        <f>IFERROR(VLOOKUP(CLEAN($V745),'All Security Controls'!$A:$I,5, FALSE),"---")</f>
        <v>---</v>
      </c>
      <c r="Z745" s="14" t="str">
        <f>IFERROR(VLOOKUP(CLEAN($V745),'All Security Controls'!$A:$I,6, FALSE),"---")</f>
        <v>---</v>
      </c>
      <c r="AA745" s="14" t="str">
        <f>IFERROR(VLOOKUP(CLEAN($V745),'All Security Controls'!$A:$I,7, FALSE),"---")</f>
        <v>---</v>
      </c>
      <c r="AB745" s="14" t="str">
        <f>IFERROR(VLOOKUP(CLEAN($V745),'All Security Controls'!$A:$I,8, FALSE),"---")</f>
        <v>---</v>
      </c>
      <c r="AC745" s="14" t="str">
        <f>IFERROR(VLOOKUP(CLEAN($V745),'All Security Controls'!$A:$I,9, FALSE),"---")</f>
        <v>---</v>
      </c>
      <c r="AD745" s="26">
        <v>744</v>
      </c>
    </row>
    <row r="746" spans="22:30" ht="15" customHeight="1" thickBot="1">
      <c r="V746" s="24"/>
      <c r="W746" s="16" t="str">
        <f>IFERROR(VLOOKUP(CLEAN($V746),'All Security Controls'!A:I, 2, FALSE),"---")</f>
        <v>---</v>
      </c>
      <c r="X746" s="14" t="str">
        <f>IFERROR(VLOOKUP(CLEAN($V746),'All Security Controls'!$A:$I, 4, FALSE),"---")</f>
        <v>---</v>
      </c>
      <c r="Y746" s="14" t="str">
        <f>IFERROR(VLOOKUP(CLEAN($V746),'All Security Controls'!$A:$I,5, FALSE),"---")</f>
        <v>---</v>
      </c>
      <c r="Z746" s="14" t="str">
        <f>IFERROR(VLOOKUP(CLEAN($V746),'All Security Controls'!$A:$I,6, FALSE),"---")</f>
        <v>---</v>
      </c>
      <c r="AA746" s="14" t="str">
        <f>IFERROR(VLOOKUP(CLEAN($V746),'All Security Controls'!$A:$I,7, FALSE),"---")</f>
        <v>---</v>
      </c>
      <c r="AB746" s="14" t="str">
        <f>IFERROR(VLOOKUP(CLEAN($V746),'All Security Controls'!$A:$I,8, FALSE),"---")</f>
        <v>---</v>
      </c>
      <c r="AC746" s="14" t="str">
        <f>IFERROR(VLOOKUP(CLEAN($V746),'All Security Controls'!$A:$I,9, FALSE),"---")</f>
        <v>---</v>
      </c>
      <c r="AD746" s="26">
        <v>745</v>
      </c>
    </row>
    <row r="747" spans="22:30" ht="15" customHeight="1" thickBot="1">
      <c r="V747" s="24"/>
      <c r="W747" s="16" t="str">
        <f>IFERROR(VLOOKUP(CLEAN($V747),'All Security Controls'!A:I, 2, FALSE),"---")</f>
        <v>---</v>
      </c>
      <c r="X747" s="14" t="str">
        <f>IFERROR(VLOOKUP(CLEAN($V747),'All Security Controls'!$A:$I, 4, FALSE),"---")</f>
        <v>---</v>
      </c>
      <c r="Y747" s="14" t="str">
        <f>IFERROR(VLOOKUP(CLEAN($V747),'All Security Controls'!$A:$I,5, FALSE),"---")</f>
        <v>---</v>
      </c>
      <c r="Z747" s="14" t="str">
        <f>IFERROR(VLOOKUP(CLEAN($V747),'All Security Controls'!$A:$I,6, FALSE),"---")</f>
        <v>---</v>
      </c>
      <c r="AA747" s="14" t="str">
        <f>IFERROR(VLOOKUP(CLEAN($V747),'All Security Controls'!$A:$I,7, FALSE),"---")</f>
        <v>---</v>
      </c>
      <c r="AB747" s="14" t="str">
        <f>IFERROR(VLOOKUP(CLEAN($V747),'All Security Controls'!$A:$I,8, FALSE),"---")</f>
        <v>---</v>
      </c>
      <c r="AC747" s="14" t="str">
        <f>IFERROR(VLOOKUP(CLEAN($V747),'All Security Controls'!$A:$I,9, FALSE),"---")</f>
        <v>---</v>
      </c>
      <c r="AD747" s="26">
        <v>746</v>
      </c>
    </row>
    <row r="748" spans="22:30" ht="15" customHeight="1" thickBot="1">
      <c r="V748" s="24"/>
      <c r="W748" s="16" t="str">
        <f>IFERROR(VLOOKUP(CLEAN($V748),'All Security Controls'!A:I, 2, FALSE),"---")</f>
        <v>---</v>
      </c>
      <c r="X748" s="14" t="str">
        <f>IFERROR(VLOOKUP(CLEAN($V748),'All Security Controls'!$A:$I, 4, FALSE),"---")</f>
        <v>---</v>
      </c>
      <c r="Y748" s="14" t="str">
        <f>IFERROR(VLOOKUP(CLEAN($V748),'All Security Controls'!$A:$I,5, FALSE),"---")</f>
        <v>---</v>
      </c>
      <c r="Z748" s="14" t="str">
        <f>IFERROR(VLOOKUP(CLEAN($V748),'All Security Controls'!$A:$I,6, FALSE),"---")</f>
        <v>---</v>
      </c>
      <c r="AA748" s="14" t="str">
        <f>IFERROR(VLOOKUP(CLEAN($V748),'All Security Controls'!$A:$I,7, FALSE),"---")</f>
        <v>---</v>
      </c>
      <c r="AB748" s="14" t="str">
        <f>IFERROR(VLOOKUP(CLEAN($V748),'All Security Controls'!$A:$I,8, FALSE),"---")</f>
        <v>---</v>
      </c>
      <c r="AC748" s="14" t="str">
        <f>IFERROR(VLOOKUP(CLEAN($V748),'All Security Controls'!$A:$I,9, FALSE),"---")</f>
        <v>---</v>
      </c>
      <c r="AD748" s="26">
        <v>747</v>
      </c>
    </row>
    <row r="749" spans="22:30" ht="15" customHeight="1" thickBot="1">
      <c r="V749" s="24"/>
      <c r="W749" s="16" t="str">
        <f>IFERROR(VLOOKUP(CLEAN($V749),'All Security Controls'!A:I, 2, FALSE),"---")</f>
        <v>---</v>
      </c>
      <c r="X749" s="14" t="str">
        <f>IFERROR(VLOOKUP(CLEAN($V749),'All Security Controls'!$A:$I, 4, FALSE),"---")</f>
        <v>---</v>
      </c>
      <c r="Y749" s="14" t="str">
        <f>IFERROR(VLOOKUP(CLEAN($V749),'All Security Controls'!$A:$I,5, FALSE),"---")</f>
        <v>---</v>
      </c>
      <c r="Z749" s="14" t="str">
        <f>IFERROR(VLOOKUP(CLEAN($V749),'All Security Controls'!$A:$I,6, FALSE),"---")</f>
        <v>---</v>
      </c>
      <c r="AA749" s="14" t="str">
        <f>IFERROR(VLOOKUP(CLEAN($V749),'All Security Controls'!$A:$I,7, FALSE),"---")</f>
        <v>---</v>
      </c>
      <c r="AB749" s="14" t="str">
        <f>IFERROR(VLOOKUP(CLEAN($V749),'All Security Controls'!$A:$I,8, FALSE),"---")</f>
        <v>---</v>
      </c>
      <c r="AC749" s="14" t="str">
        <f>IFERROR(VLOOKUP(CLEAN($V749),'All Security Controls'!$A:$I,9, FALSE),"---")</f>
        <v>---</v>
      </c>
      <c r="AD749" s="26">
        <v>748</v>
      </c>
    </row>
    <row r="750" spans="22:30" ht="15" customHeight="1" thickBot="1">
      <c r="V750" s="24"/>
      <c r="W750" s="16" t="str">
        <f>IFERROR(VLOOKUP(CLEAN($V750),'All Security Controls'!A:I, 2, FALSE),"---")</f>
        <v>---</v>
      </c>
      <c r="X750" s="14" t="str">
        <f>IFERROR(VLOOKUP(CLEAN($V750),'All Security Controls'!$A:$I, 4, FALSE),"---")</f>
        <v>---</v>
      </c>
      <c r="Y750" s="14" t="str">
        <f>IFERROR(VLOOKUP(CLEAN($V750),'All Security Controls'!$A:$I,5, FALSE),"---")</f>
        <v>---</v>
      </c>
      <c r="Z750" s="14" t="str">
        <f>IFERROR(VLOOKUP(CLEAN($V750),'All Security Controls'!$A:$I,6, FALSE),"---")</f>
        <v>---</v>
      </c>
      <c r="AA750" s="14" t="str">
        <f>IFERROR(VLOOKUP(CLEAN($V750),'All Security Controls'!$A:$I,7, FALSE),"---")</f>
        <v>---</v>
      </c>
      <c r="AB750" s="14" t="str">
        <f>IFERROR(VLOOKUP(CLEAN($V750),'All Security Controls'!$A:$I,8, FALSE),"---")</f>
        <v>---</v>
      </c>
      <c r="AC750" s="14" t="str">
        <f>IFERROR(VLOOKUP(CLEAN($V750),'All Security Controls'!$A:$I,9, FALSE),"---")</f>
        <v>---</v>
      </c>
      <c r="AD750" s="26">
        <v>749</v>
      </c>
    </row>
    <row r="751" spans="22:30" ht="15" customHeight="1" thickBot="1">
      <c r="V751" s="24"/>
      <c r="W751" s="16" t="str">
        <f>IFERROR(VLOOKUP(CLEAN($V751),'All Security Controls'!A:I, 2, FALSE),"---")</f>
        <v>---</v>
      </c>
      <c r="X751" s="14" t="str">
        <f>IFERROR(VLOOKUP(CLEAN($V751),'All Security Controls'!$A:$I, 4, FALSE),"---")</f>
        <v>---</v>
      </c>
      <c r="Y751" s="14" t="str">
        <f>IFERROR(VLOOKUP(CLEAN($V751),'All Security Controls'!$A:$I,5, FALSE),"---")</f>
        <v>---</v>
      </c>
      <c r="Z751" s="14" t="str">
        <f>IFERROR(VLOOKUP(CLEAN($V751),'All Security Controls'!$A:$I,6, FALSE),"---")</f>
        <v>---</v>
      </c>
      <c r="AA751" s="14" t="str">
        <f>IFERROR(VLOOKUP(CLEAN($V751),'All Security Controls'!$A:$I,7, FALSE),"---")</f>
        <v>---</v>
      </c>
      <c r="AB751" s="14" t="str">
        <f>IFERROR(VLOOKUP(CLEAN($V751),'All Security Controls'!$A:$I,8, FALSE),"---")</f>
        <v>---</v>
      </c>
      <c r="AC751" s="14" t="str">
        <f>IFERROR(VLOOKUP(CLEAN($V751),'All Security Controls'!$A:$I,9, FALSE),"---")</f>
        <v>---</v>
      </c>
      <c r="AD751" s="26">
        <v>750</v>
      </c>
    </row>
    <row r="752" spans="22:30" ht="15" customHeight="1" thickBot="1">
      <c r="V752" s="24"/>
      <c r="W752" s="16" t="str">
        <f>IFERROR(VLOOKUP(CLEAN($V752),'All Security Controls'!A:I, 2, FALSE),"---")</f>
        <v>---</v>
      </c>
      <c r="X752" s="14" t="str">
        <f>IFERROR(VLOOKUP(CLEAN($V752),'All Security Controls'!$A:$I, 4, FALSE),"---")</f>
        <v>---</v>
      </c>
      <c r="Y752" s="14" t="str">
        <f>IFERROR(VLOOKUP(CLEAN($V752),'All Security Controls'!$A:$I,5, FALSE),"---")</f>
        <v>---</v>
      </c>
      <c r="Z752" s="14" t="str">
        <f>IFERROR(VLOOKUP(CLEAN($V752),'All Security Controls'!$A:$I,6, FALSE),"---")</f>
        <v>---</v>
      </c>
      <c r="AA752" s="14" t="str">
        <f>IFERROR(VLOOKUP(CLEAN($V752),'All Security Controls'!$A:$I,7, FALSE),"---")</f>
        <v>---</v>
      </c>
      <c r="AB752" s="14" t="str">
        <f>IFERROR(VLOOKUP(CLEAN($V752),'All Security Controls'!$A:$I,8, FALSE),"---")</f>
        <v>---</v>
      </c>
      <c r="AC752" s="14" t="str">
        <f>IFERROR(VLOOKUP(CLEAN($V752),'All Security Controls'!$A:$I,9, FALSE),"---")</f>
        <v>---</v>
      </c>
      <c r="AD752" s="26">
        <v>751</v>
      </c>
    </row>
    <row r="753" spans="22:30" ht="15" customHeight="1" thickBot="1">
      <c r="V753" s="24"/>
      <c r="W753" s="16" t="str">
        <f>IFERROR(VLOOKUP(CLEAN($V753),'All Security Controls'!A:I, 2, FALSE),"---")</f>
        <v>---</v>
      </c>
      <c r="X753" s="14" t="str">
        <f>IFERROR(VLOOKUP(CLEAN($V753),'All Security Controls'!$A:$I, 4, FALSE),"---")</f>
        <v>---</v>
      </c>
      <c r="Y753" s="14" t="str">
        <f>IFERROR(VLOOKUP(CLEAN($V753),'All Security Controls'!$A:$I,5, FALSE),"---")</f>
        <v>---</v>
      </c>
      <c r="Z753" s="14" t="str">
        <f>IFERROR(VLOOKUP(CLEAN($V753),'All Security Controls'!$A:$I,6, FALSE),"---")</f>
        <v>---</v>
      </c>
      <c r="AA753" s="14" t="str">
        <f>IFERROR(VLOOKUP(CLEAN($V753),'All Security Controls'!$A:$I,7, FALSE),"---")</f>
        <v>---</v>
      </c>
      <c r="AB753" s="14" t="str">
        <f>IFERROR(VLOOKUP(CLEAN($V753),'All Security Controls'!$A:$I,8, FALSE),"---")</f>
        <v>---</v>
      </c>
      <c r="AC753" s="14" t="str">
        <f>IFERROR(VLOOKUP(CLEAN($V753),'All Security Controls'!$A:$I,9, FALSE),"---")</f>
        <v>---</v>
      </c>
      <c r="AD753" s="26">
        <v>752</v>
      </c>
    </row>
    <row r="754" spans="22:30" ht="15" customHeight="1" thickBot="1">
      <c r="V754" s="24"/>
      <c r="W754" s="16" t="str">
        <f>IFERROR(VLOOKUP(CLEAN($V754),'All Security Controls'!A:I, 2, FALSE),"---")</f>
        <v>---</v>
      </c>
      <c r="X754" s="14" t="str">
        <f>IFERROR(VLOOKUP(CLEAN($V754),'All Security Controls'!$A:$I, 4, FALSE),"---")</f>
        <v>---</v>
      </c>
      <c r="Y754" s="14" t="str">
        <f>IFERROR(VLOOKUP(CLEAN($V754),'All Security Controls'!$A:$I,5, FALSE),"---")</f>
        <v>---</v>
      </c>
      <c r="Z754" s="14" t="str">
        <f>IFERROR(VLOOKUP(CLEAN($V754),'All Security Controls'!$A:$I,6, FALSE),"---")</f>
        <v>---</v>
      </c>
      <c r="AA754" s="14" t="str">
        <f>IFERROR(VLOOKUP(CLEAN($V754),'All Security Controls'!$A:$I,7, FALSE),"---")</f>
        <v>---</v>
      </c>
      <c r="AB754" s="14" t="str">
        <f>IFERROR(VLOOKUP(CLEAN($V754),'All Security Controls'!$A:$I,8, FALSE),"---")</f>
        <v>---</v>
      </c>
      <c r="AC754" s="14" t="str">
        <f>IFERROR(VLOOKUP(CLEAN($V754),'All Security Controls'!$A:$I,9, FALSE),"---")</f>
        <v>---</v>
      </c>
      <c r="AD754" s="26">
        <v>753</v>
      </c>
    </row>
    <row r="755" spans="22:30" ht="15" customHeight="1" thickBot="1">
      <c r="V755" s="24"/>
      <c r="W755" s="16" t="str">
        <f>IFERROR(VLOOKUP(CLEAN($V755),'All Security Controls'!A:I, 2, FALSE),"---")</f>
        <v>---</v>
      </c>
      <c r="X755" s="14" t="str">
        <f>IFERROR(VLOOKUP(CLEAN($V755),'All Security Controls'!$A:$I, 4, FALSE),"---")</f>
        <v>---</v>
      </c>
      <c r="Y755" s="14" t="str">
        <f>IFERROR(VLOOKUP(CLEAN($V755),'All Security Controls'!$A:$I,5, FALSE),"---")</f>
        <v>---</v>
      </c>
      <c r="Z755" s="14" t="str">
        <f>IFERROR(VLOOKUP(CLEAN($V755),'All Security Controls'!$A:$I,6, FALSE),"---")</f>
        <v>---</v>
      </c>
      <c r="AA755" s="14" t="str">
        <f>IFERROR(VLOOKUP(CLEAN($V755),'All Security Controls'!$A:$I,7, FALSE),"---")</f>
        <v>---</v>
      </c>
      <c r="AB755" s="14" t="str">
        <f>IFERROR(VLOOKUP(CLEAN($V755),'All Security Controls'!$A:$I,8, FALSE),"---")</f>
        <v>---</v>
      </c>
      <c r="AC755" s="14" t="str">
        <f>IFERROR(VLOOKUP(CLEAN($V755),'All Security Controls'!$A:$I,9, FALSE),"---")</f>
        <v>---</v>
      </c>
      <c r="AD755" s="26">
        <v>754</v>
      </c>
    </row>
    <row r="756" spans="22:30" ht="15" customHeight="1" thickBot="1">
      <c r="V756" s="24"/>
      <c r="W756" s="16" t="str">
        <f>IFERROR(VLOOKUP(CLEAN($V756),'All Security Controls'!A:I, 2, FALSE),"---")</f>
        <v>---</v>
      </c>
      <c r="X756" s="14" t="str">
        <f>IFERROR(VLOOKUP(CLEAN($V756),'All Security Controls'!$A:$I, 4, FALSE),"---")</f>
        <v>---</v>
      </c>
      <c r="Y756" s="14" t="str">
        <f>IFERROR(VLOOKUP(CLEAN($V756),'All Security Controls'!$A:$I,5, FALSE),"---")</f>
        <v>---</v>
      </c>
      <c r="Z756" s="14" t="str">
        <f>IFERROR(VLOOKUP(CLEAN($V756),'All Security Controls'!$A:$I,6, FALSE),"---")</f>
        <v>---</v>
      </c>
      <c r="AA756" s="14" t="str">
        <f>IFERROR(VLOOKUP(CLEAN($V756),'All Security Controls'!$A:$I,7, FALSE),"---")</f>
        <v>---</v>
      </c>
      <c r="AB756" s="14" t="str">
        <f>IFERROR(VLOOKUP(CLEAN($V756),'All Security Controls'!$A:$I,8, FALSE),"---")</f>
        <v>---</v>
      </c>
      <c r="AC756" s="14" t="str">
        <f>IFERROR(VLOOKUP(CLEAN($V756),'All Security Controls'!$A:$I,9, FALSE),"---")</f>
        <v>---</v>
      </c>
      <c r="AD756" s="26">
        <v>755</v>
      </c>
    </row>
    <row r="757" spans="22:30" ht="15" customHeight="1" thickBot="1">
      <c r="V757" s="24"/>
      <c r="W757" s="16" t="str">
        <f>IFERROR(VLOOKUP(CLEAN($V757),'All Security Controls'!A:I, 2, FALSE),"---")</f>
        <v>---</v>
      </c>
      <c r="X757" s="14" t="str">
        <f>IFERROR(VLOOKUP(CLEAN($V757),'All Security Controls'!$A:$I, 4, FALSE),"---")</f>
        <v>---</v>
      </c>
      <c r="Y757" s="14" t="str">
        <f>IFERROR(VLOOKUP(CLEAN($V757),'All Security Controls'!$A:$I,5, FALSE),"---")</f>
        <v>---</v>
      </c>
      <c r="Z757" s="14" t="str">
        <f>IFERROR(VLOOKUP(CLEAN($V757),'All Security Controls'!$A:$I,6, FALSE),"---")</f>
        <v>---</v>
      </c>
      <c r="AA757" s="14" t="str">
        <f>IFERROR(VLOOKUP(CLEAN($V757),'All Security Controls'!$A:$I,7, FALSE),"---")</f>
        <v>---</v>
      </c>
      <c r="AB757" s="14" t="str">
        <f>IFERROR(VLOOKUP(CLEAN($V757),'All Security Controls'!$A:$I,8, FALSE),"---")</f>
        <v>---</v>
      </c>
      <c r="AC757" s="14" t="str">
        <f>IFERROR(VLOOKUP(CLEAN($V757),'All Security Controls'!$A:$I,9, FALSE),"---")</f>
        <v>---</v>
      </c>
      <c r="AD757" s="26">
        <v>756</v>
      </c>
    </row>
    <row r="758" spans="22:30" ht="15" customHeight="1" thickBot="1">
      <c r="V758" s="24"/>
      <c r="W758" s="16" t="str">
        <f>IFERROR(VLOOKUP(CLEAN($V758),'All Security Controls'!A:I, 2, FALSE),"---")</f>
        <v>---</v>
      </c>
      <c r="X758" s="14" t="str">
        <f>IFERROR(VLOOKUP(CLEAN($V758),'All Security Controls'!$A:$I, 4, FALSE),"---")</f>
        <v>---</v>
      </c>
      <c r="Y758" s="14" t="str">
        <f>IFERROR(VLOOKUP(CLEAN($V758),'All Security Controls'!$A:$I,5, FALSE),"---")</f>
        <v>---</v>
      </c>
      <c r="Z758" s="14" t="str">
        <f>IFERROR(VLOOKUP(CLEAN($V758),'All Security Controls'!$A:$I,6, FALSE),"---")</f>
        <v>---</v>
      </c>
      <c r="AA758" s="14" t="str">
        <f>IFERROR(VLOOKUP(CLEAN($V758),'All Security Controls'!$A:$I,7, FALSE),"---")</f>
        <v>---</v>
      </c>
      <c r="AB758" s="14" t="str">
        <f>IFERROR(VLOOKUP(CLEAN($V758),'All Security Controls'!$A:$I,8, FALSE),"---")</f>
        <v>---</v>
      </c>
      <c r="AC758" s="14" t="str">
        <f>IFERROR(VLOOKUP(CLEAN($V758),'All Security Controls'!$A:$I,9, FALSE),"---")</f>
        <v>---</v>
      </c>
      <c r="AD758" s="26">
        <v>757</v>
      </c>
    </row>
    <row r="759" spans="22:30" ht="15" customHeight="1" thickBot="1">
      <c r="V759" s="24"/>
      <c r="W759" s="16" t="str">
        <f>IFERROR(VLOOKUP(CLEAN($V759),'All Security Controls'!A:I, 2, FALSE),"---")</f>
        <v>---</v>
      </c>
      <c r="X759" s="14" t="str">
        <f>IFERROR(VLOOKUP(CLEAN($V759),'All Security Controls'!$A:$I, 4, FALSE),"---")</f>
        <v>---</v>
      </c>
      <c r="Y759" s="14" t="str">
        <f>IFERROR(VLOOKUP(CLEAN($V759),'All Security Controls'!$A:$I,5, FALSE),"---")</f>
        <v>---</v>
      </c>
      <c r="Z759" s="14" t="str">
        <f>IFERROR(VLOOKUP(CLEAN($V759),'All Security Controls'!$A:$I,6, FALSE),"---")</f>
        <v>---</v>
      </c>
      <c r="AA759" s="14" t="str">
        <f>IFERROR(VLOOKUP(CLEAN($V759),'All Security Controls'!$A:$I,7, FALSE),"---")</f>
        <v>---</v>
      </c>
      <c r="AB759" s="14" t="str">
        <f>IFERROR(VLOOKUP(CLEAN($V759),'All Security Controls'!$A:$I,8, FALSE),"---")</f>
        <v>---</v>
      </c>
      <c r="AC759" s="14" t="str">
        <f>IFERROR(VLOOKUP(CLEAN($V759),'All Security Controls'!$A:$I,9, FALSE),"---")</f>
        <v>---</v>
      </c>
      <c r="AD759" s="26">
        <v>758</v>
      </c>
    </row>
    <row r="760" spans="22:30" ht="15" customHeight="1" thickBot="1">
      <c r="V760" s="24"/>
      <c r="W760" s="16" t="str">
        <f>IFERROR(VLOOKUP(CLEAN($V760),'All Security Controls'!A:I, 2, FALSE),"---")</f>
        <v>---</v>
      </c>
      <c r="X760" s="14" t="str">
        <f>IFERROR(VLOOKUP(CLEAN($V760),'All Security Controls'!$A:$I, 4, FALSE),"---")</f>
        <v>---</v>
      </c>
      <c r="Y760" s="14" t="str">
        <f>IFERROR(VLOOKUP(CLEAN($V760),'All Security Controls'!$A:$I,5, FALSE),"---")</f>
        <v>---</v>
      </c>
      <c r="Z760" s="14" t="str">
        <f>IFERROR(VLOOKUP(CLEAN($V760),'All Security Controls'!$A:$I,6, FALSE),"---")</f>
        <v>---</v>
      </c>
      <c r="AA760" s="14" t="str">
        <f>IFERROR(VLOOKUP(CLEAN($V760),'All Security Controls'!$A:$I,7, FALSE),"---")</f>
        <v>---</v>
      </c>
      <c r="AB760" s="14" t="str">
        <f>IFERROR(VLOOKUP(CLEAN($V760),'All Security Controls'!$A:$I,8, FALSE),"---")</f>
        <v>---</v>
      </c>
      <c r="AC760" s="14" t="str">
        <f>IFERROR(VLOOKUP(CLEAN($V760),'All Security Controls'!$A:$I,9, FALSE),"---")</f>
        <v>---</v>
      </c>
      <c r="AD760" s="26">
        <v>759</v>
      </c>
    </row>
    <row r="761" spans="22:30" ht="15" customHeight="1" thickBot="1">
      <c r="V761" s="24"/>
      <c r="W761" s="16" t="str">
        <f>IFERROR(VLOOKUP(CLEAN($V761),'All Security Controls'!A:I, 2, FALSE),"---")</f>
        <v>---</v>
      </c>
      <c r="X761" s="14" t="str">
        <f>IFERROR(VLOOKUP(CLEAN($V761),'All Security Controls'!$A:$I, 4, FALSE),"---")</f>
        <v>---</v>
      </c>
      <c r="Y761" s="14" t="str">
        <f>IFERROR(VLOOKUP(CLEAN($V761),'All Security Controls'!$A:$I,5, FALSE),"---")</f>
        <v>---</v>
      </c>
      <c r="Z761" s="14" t="str">
        <f>IFERROR(VLOOKUP(CLEAN($V761),'All Security Controls'!$A:$I,6, FALSE),"---")</f>
        <v>---</v>
      </c>
      <c r="AA761" s="14" t="str">
        <f>IFERROR(VLOOKUP(CLEAN($V761),'All Security Controls'!$A:$I,7, FALSE),"---")</f>
        <v>---</v>
      </c>
      <c r="AB761" s="14" t="str">
        <f>IFERROR(VLOOKUP(CLEAN($V761),'All Security Controls'!$A:$I,8, FALSE),"---")</f>
        <v>---</v>
      </c>
      <c r="AC761" s="14" t="str">
        <f>IFERROR(VLOOKUP(CLEAN($V761),'All Security Controls'!$A:$I,9, FALSE),"---")</f>
        <v>---</v>
      </c>
      <c r="AD761" s="26">
        <v>760</v>
      </c>
    </row>
    <row r="762" spans="22:30" ht="15" customHeight="1" thickBot="1">
      <c r="V762" s="24"/>
      <c r="W762" s="16" t="str">
        <f>IFERROR(VLOOKUP(CLEAN($V762),'All Security Controls'!A:I, 2, FALSE),"---")</f>
        <v>---</v>
      </c>
      <c r="X762" s="14" t="str">
        <f>IFERROR(VLOOKUP(CLEAN($V762),'All Security Controls'!$A:$I, 4, FALSE),"---")</f>
        <v>---</v>
      </c>
      <c r="Y762" s="14" t="str">
        <f>IFERROR(VLOOKUP(CLEAN($V762),'All Security Controls'!$A:$I,5, FALSE),"---")</f>
        <v>---</v>
      </c>
      <c r="Z762" s="14" t="str">
        <f>IFERROR(VLOOKUP(CLEAN($V762),'All Security Controls'!$A:$I,6, FALSE),"---")</f>
        <v>---</v>
      </c>
      <c r="AA762" s="14" t="str">
        <f>IFERROR(VLOOKUP(CLEAN($V762),'All Security Controls'!$A:$I,7, FALSE),"---")</f>
        <v>---</v>
      </c>
      <c r="AB762" s="14" t="str">
        <f>IFERROR(VLOOKUP(CLEAN($V762),'All Security Controls'!$A:$I,8, FALSE),"---")</f>
        <v>---</v>
      </c>
      <c r="AC762" s="14" t="str">
        <f>IFERROR(VLOOKUP(CLEAN($V762),'All Security Controls'!$A:$I,9, FALSE),"---")</f>
        <v>---</v>
      </c>
      <c r="AD762" s="26">
        <v>761</v>
      </c>
    </row>
    <row r="763" spans="22:30" ht="15" customHeight="1" thickBot="1">
      <c r="V763" s="24"/>
      <c r="W763" s="16" t="str">
        <f>IFERROR(VLOOKUP(CLEAN($V763),'All Security Controls'!A:I, 2, FALSE),"---")</f>
        <v>---</v>
      </c>
      <c r="X763" s="14" t="str">
        <f>IFERROR(VLOOKUP(CLEAN($V763),'All Security Controls'!$A:$I, 4, FALSE),"---")</f>
        <v>---</v>
      </c>
      <c r="Y763" s="14" t="str">
        <f>IFERROR(VLOOKUP(CLEAN($V763),'All Security Controls'!$A:$I,5, FALSE),"---")</f>
        <v>---</v>
      </c>
      <c r="Z763" s="14" t="str">
        <f>IFERROR(VLOOKUP(CLEAN($V763),'All Security Controls'!$A:$I,6, FALSE),"---")</f>
        <v>---</v>
      </c>
      <c r="AA763" s="14" t="str">
        <f>IFERROR(VLOOKUP(CLEAN($V763),'All Security Controls'!$A:$I,7, FALSE),"---")</f>
        <v>---</v>
      </c>
      <c r="AB763" s="14" t="str">
        <f>IFERROR(VLOOKUP(CLEAN($V763),'All Security Controls'!$A:$I,8, FALSE),"---")</f>
        <v>---</v>
      </c>
      <c r="AC763" s="14" t="str">
        <f>IFERROR(VLOOKUP(CLEAN($V763),'All Security Controls'!$A:$I,9, FALSE),"---")</f>
        <v>---</v>
      </c>
      <c r="AD763" s="26">
        <v>762</v>
      </c>
    </row>
    <row r="764" spans="22:30" ht="15" customHeight="1" thickBot="1">
      <c r="V764" s="24"/>
      <c r="W764" s="16" t="str">
        <f>IFERROR(VLOOKUP(CLEAN($V764),'All Security Controls'!A:I, 2, FALSE),"---")</f>
        <v>---</v>
      </c>
      <c r="X764" s="14" t="str">
        <f>IFERROR(VLOOKUP(CLEAN($V764),'All Security Controls'!$A:$I, 4, FALSE),"---")</f>
        <v>---</v>
      </c>
      <c r="Y764" s="14" t="str">
        <f>IFERROR(VLOOKUP(CLEAN($V764),'All Security Controls'!$A:$I,5, FALSE),"---")</f>
        <v>---</v>
      </c>
      <c r="Z764" s="14" t="str">
        <f>IFERROR(VLOOKUP(CLEAN($V764),'All Security Controls'!$A:$I,6, FALSE),"---")</f>
        <v>---</v>
      </c>
      <c r="AA764" s="14" t="str">
        <f>IFERROR(VLOOKUP(CLEAN($V764),'All Security Controls'!$A:$I,7, FALSE),"---")</f>
        <v>---</v>
      </c>
      <c r="AB764" s="14" t="str">
        <f>IFERROR(VLOOKUP(CLEAN($V764),'All Security Controls'!$A:$I,8, FALSE),"---")</f>
        <v>---</v>
      </c>
      <c r="AC764" s="14" t="str">
        <f>IFERROR(VLOOKUP(CLEAN($V764),'All Security Controls'!$A:$I,9, FALSE),"---")</f>
        <v>---</v>
      </c>
      <c r="AD764" s="26">
        <v>763</v>
      </c>
    </row>
    <row r="765" spans="22:30" ht="15" customHeight="1" thickBot="1">
      <c r="V765" s="24"/>
      <c r="W765" s="16" t="str">
        <f>IFERROR(VLOOKUP(CLEAN($V765),'All Security Controls'!A:I, 2, FALSE),"---")</f>
        <v>---</v>
      </c>
      <c r="X765" s="14" t="str">
        <f>IFERROR(VLOOKUP(CLEAN($V765),'All Security Controls'!$A:$I, 4, FALSE),"---")</f>
        <v>---</v>
      </c>
      <c r="Y765" s="14" t="str">
        <f>IFERROR(VLOOKUP(CLEAN($V765),'All Security Controls'!$A:$I,5, FALSE),"---")</f>
        <v>---</v>
      </c>
      <c r="Z765" s="14" t="str">
        <f>IFERROR(VLOOKUP(CLEAN($V765),'All Security Controls'!$A:$I,6, FALSE),"---")</f>
        <v>---</v>
      </c>
      <c r="AA765" s="14" t="str">
        <f>IFERROR(VLOOKUP(CLEAN($V765),'All Security Controls'!$A:$I,7, FALSE),"---")</f>
        <v>---</v>
      </c>
      <c r="AB765" s="14" t="str">
        <f>IFERROR(VLOOKUP(CLEAN($V765),'All Security Controls'!$A:$I,8, FALSE),"---")</f>
        <v>---</v>
      </c>
      <c r="AC765" s="14" t="str">
        <f>IFERROR(VLOOKUP(CLEAN($V765),'All Security Controls'!$A:$I,9, FALSE),"---")</f>
        <v>---</v>
      </c>
      <c r="AD765" s="26">
        <v>764</v>
      </c>
    </row>
    <row r="766" spans="22:30" ht="15" customHeight="1" thickBot="1">
      <c r="V766" s="24"/>
      <c r="W766" s="16" t="str">
        <f>IFERROR(VLOOKUP(CLEAN($V766),'All Security Controls'!A:I, 2, FALSE),"---")</f>
        <v>---</v>
      </c>
      <c r="X766" s="14" t="str">
        <f>IFERROR(VLOOKUP(CLEAN($V766),'All Security Controls'!$A:$I, 4, FALSE),"---")</f>
        <v>---</v>
      </c>
      <c r="Y766" s="14" t="str">
        <f>IFERROR(VLOOKUP(CLEAN($V766),'All Security Controls'!$A:$I,5, FALSE),"---")</f>
        <v>---</v>
      </c>
      <c r="Z766" s="14" t="str">
        <f>IFERROR(VLOOKUP(CLEAN($V766),'All Security Controls'!$A:$I,6, FALSE),"---")</f>
        <v>---</v>
      </c>
      <c r="AA766" s="14" t="str">
        <f>IFERROR(VLOOKUP(CLEAN($V766),'All Security Controls'!$A:$I,7, FALSE),"---")</f>
        <v>---</v>
      </c>
      <c r="AB766" s="14" t="str">
        <f>IFERROR(VLOOKUP(CLEAN($V766),'All Security Controls'!$A:$I,8, FALSE),"---")</f>
        <v>---</v>
      </c>
      <c r="AC766" s="14" t="str">
        <f>IFERROR(VLOOKUP(CLEAN($V766),'All Security Controls'!$A:$I,9, FALSE),"---")</f>
        <v>---</v>
      </c>
      <c r="AD766" s="26">
        <v>765</v>
      </c>
    </row>
    <row r="767" spans="22:30" ht="15" customHeight="1" thickBot="1">
      <c r="V767" s="24"/>
      <c r="W767" s="16" t="str">
        <f>IFERROR(VLOOKUP(CLEAN($V767),'All Security Controls'!A:I, 2, FALSE),"---")</f>
        <v>---</v>
      </c>
      <c r="X767" s="14" t="str">
        <f>IFERROR(VLOOKUP(CLEAN($V767),'All Security Controls'!$A:$I, 4, FALSE),"---")</f>
        <v>---</v>
      </c>
      <c r="Y767" s="14" t="str">
        <f>IFERROR(VLOOKUP(CLEAN($V767),'All Security Controls'!$A:$I,5, FALSE),"---")</f>
        <v>---</v>
      </c>
      <c r="Z767" s="14" t="str">
        <f>IFERROR(VLOOKUP(CLEAN($V767),'All Security Controls'!$A:$I,6, FALSE),"---")</f>
        <v>---</v>
      </c>
      <c r="AA767" s="14" t="str">
        <f>IFERROR(VLOOKUP(CLEAN($V767),'All Security Controls'!$A:$I,7, FALSE),"---")</f>
        <v>---</v>
      </c>
      <c r="AB767" s="14" t="str">
        <f>IFERROR(VLOOKUP(CLEAN($V767),'All Security Controls'!$A:$I,8, FALSE),"---")</f>
        <v>---</v>
      </c>
      <c r="AC767" s="14" t="str">
        <f>IFERROR(VLOOKUP(CLEAN($V767),'All Security Controls'!$A:$I,9, FALSE),"---")</f>
        <v>---</v>
      </c>
      <c r="AD767" s="26">
        <v>766</v>
      </c>
    </row>
    <row r="768" spans="22:30" ht="15" customHeight="1" thickBot="1">
      <c r="V768" s="24"/>
      <c r="W768" s="16" t="str">
        <f>IFERROR(VLOOKUP(CLEAN($V768),'All Security Controls'!A:I, 2, FALSE),"---")</f>
        <v>---</v>
      </c>
      <c r="X768" s="14" t="str">
        <f>IFERROR(VLOOKUP(CLEAN($V768),'All Security Controls'!$A:$I, 4, FALSE),"---")</f>
        <v>---</v>
      </c>
      <c r="Y768" s="14" t="str">
        <f>IFERROR(VLOOKUP(CLEAN($V768),'All Security Controls'!$A:$I,5, FALSE),"---")</f>
        <v>---</v>
      </c>
      <c r="Z768" s="14" t="str">
        <f>IFERROR(VLOOKUP(CLEAN($V768),'All Security Controls'!$A:$I,6, FALSE),"---")</f>
        <v>---</v>
      </c>
      <c r="AA768" s="14" t="str">
        <f>IFERROR(VLOOKUP(CLEAN($V768),'All Security Controls'!$A:$I,7, FALSE),"---")</f>
        <v>---</v>
      </c>
      <c r="AB768" s="14" t="str">
        <f>IFERROR(VLOOKUP(CLEAN($V768),'All Security Controls'!$A:$I,8, FALSE),"---")</f>
        <v>---</v>
      </c>
      <c r="AC768" s="14" t="str">
        <f>IFERROR(VLOOKUP(CLEAN($V768),'All Security Controls'!$A:$I,9, FALSE),"---")</f>
        <v>---</v>
      </c>
      <c r="AD768" s="26">
        <v>767</v>
      </c>
    </row>
    <row r="769" spans="22:30" ht="15" customHeight="1" thickBot="1">
      <c r="V769" s="24"/>
      <c r="W769" s="16" t="str">
        <f>IFERROR(VLOOKUP(CLEAN($V769),'All Security Controls'!A:I, 2, FALSE),"---")</f>
        <v>---</v>
      </c>
      <c r="X769" s="14" t="str">
        <f>IFERROR(VLOOKUP(CLEAN($V769),'All Security Controls'!$A:$I, 4, FALSE),"---")</f>
        <v>---</v>
      </c>
      <c r="Y769" s="14" t="str">
        <f>IFERROR(VLOOKUP(CLEAN($V769),'All Security Controls'!$A:$I,5, FALSE),"---")</f>
        <v>---</v>
      </c>
      <c r="Z769" s="14" t="str">
        <f>IFERROR(VLOOKUP(CLEAN($V769),'All Security Controls'!$A:$I,6, FALSE),"---")</f>
        <v>---</v>
      </c>
      <c r="AA769" s="14" t="str">
        <f>IFERROR(VLOOKUP(CLEAN($V769),'All Security Controls'!$A:$I,7, FALSE),"---")</f>
        <v>---</v>
      </c>
      <c r="AB769" s="14" t="str">
        <f>IFERROR(VLOOKUP(CLEAN($V769),'All Security Controls'!$A:$I,8, FALSE),"---")</f>
        <v>---</v>
      </c>
      <c r="AC769" s="14" t="str">
        <f>IFERROR(VLOOKUP(CLEAN($V769),'All Security Controls'!$A:$I,9, FALSE),"---")</f>
        <v>---</v>
      </c>
      <c r="AD769" s="26">
        <v>768</v>
      </c>
    </row>
    <row r="770" spans="22:30" ht="15" customHeight="1" thickBot="1">
      <c r="V770" s="24"/>
      <c r="W770" s="16" t="str">
        <f>IFERROR(VLOOKUP(CLEAN($V770),'All Security Controls'!A:I, 2, FALSE),"---")</f>
        <v>---</v>
      </c>
      <c r="X770" s="14" t="str">
        <f>IFERROR(VLOOKUP(CLEAN($V770),'All Security Controls'!$A:$I, 4, FALSE),"---")</f>
        <v>---</v>
      </c>
      <c r="Y770" s="14" t="str">
        <f>IFERROR(VLOOKUP(CLEAN($V770),'All Security Controls'!$A:$I,5, FALSE),"---")</f>
        <v>---</v>
      </c>
      <c r="Z770" s="14" t="str">
        <f>IFERROR(VLOOKUP(CLEAN($V770),'All Security Controls'!$A:$I,6, FALSE),"---")</f>
        <v>---</v>
      </c>
      <c r="AA770" s="14" t="str">
        <f>IFERROR(VLOOKUP(CLEAN($V770),'All Security Controls'!$A:$I,7, FALSE),"---")</f>
        <v>---</v>
      </c>
      <c r="AB770" s="14" t="str">
        <f>IFERROR(VLOOKUP(CLEAN($V770),'All Security Controls'!$A:$I,8, FALSE),"---")</f>
        <v>---</v>
      </c>
      <c r="AC770" s="14" t="str">
        <f>IFERROR(VLOOKUP(CLEAN($V770),'All Security Controls'!$A:$I,9, FALSE),"---")</f>
        <v>---</v>
      </c>
      <c r="AD770" s="26">
        <v>769</v>
      </c>
    </row>
    <row r="771" spans="22:30" ht="15" customHeight="1" thickBot="1">
      <c r="V771" s="24"/>
      <c r="W771" s="16" t="str">
        <f>IFERROR(VLOOKUP(CLEAN($V771),'All Security Controls'!A:I, 2, FALSE),"---")</f>
        <v>---</v>
      </c>
      <c r="X771" s="14" t="str">
        <f>IFERROR(VLOOKUP(CLEAN($V771),'All Security Controls'!$A:$I, 4, FALSE),"---")</f>
        <v>---</v>
      </c>
      <c r="Y771" s="14" t="str">
        <f>IFERROR(VLOOKUP(CLEAN($V771),'All Security Controls'!$A:$I,5, FALSE),"---")</f>
        <v>---</v>
      </c>
      <c r="Z771" s="14" t="str">
        <f>IFERROR(VLOOKUP(CLEAN($V771),'All Security Controls'!$A:$I,6, FALSE),"---")</f>
        <v>---</v>
      </c>
      <c r="AA771" s="14" t="str">
        <f>IFERROR(VLOOKUP(CLEAN($V771),'All Security Controls'!$A:$I,7, FALSE),"---")</f>
        <v>---</v>
      </c>
      <c r="AB771" s="14" t="str">
        <f>IFERROR(VLOOKUP(CLEAN($V771),'All Security Controls'!$A:$I,8, FALSE),"---")</f>
        <v>---</v>
      </c>
      <c r="AC771" s="14" t="str">
        <f>IFERROR(VLOOKUP(CLEAN($V771),'All Security Controls'!$A:$I,9, FALSE),"---")</f>
        <v>---</v>
      </c>
      <c r="AD771" s="26">
        <v>770</v>
      </c>
    </row>
    <row r="772" spans="22:30" ht="15" customHeight="1" thickBot="1">
      <c r="V772" s="24"/>
      <c r="W772" s="16" t="str">
        <f>IFERROR(VLOOKUP(CLEAN($V772),'All Security Controls'!A:I, 2, FALSE),"---")</f>
        <v>---</v>
      </c>
      <c r="X772" s="14" t="str">
        <f>IFERROR(VLOOKUP(CLEAN($V772),'All Security Controls'!$A:$I, 4, FALSE),"---")</f>
        <v>---</v>
      </c>
      <c r="Y772" s="14" t="str">
        <f>IFERROR(VLOOKUP(CLEAN($V772),'All Security Controls'!$A:$I,5, FALSE),"---")</f>
        <v>---</v>
      </c>
      <c r="Z772" s="14" t="str">
        <f>IFERROR(VLOOKUP(CLEAN($V772),'All Security Controls'!$A:$I,6, FALSE),"---")</f>
        <v>---</v>
      </c>
      <c r="AA772" s="14" t="str">
        <f>IFERROR(VLOOKUP(CLEAN($V772),'All Security Controls'!$A:$I,7, FALSE),"---")</f>
        <v>---</v>
      </c>
      <c r="AB772" s="14" t="str">
        <f>IFERROR(VLOOKUP(CLEAN($V772),'All Security Controls'!$A:$I,8, FALSE),"---")</f>
        <v>---</v>
      </c>
      <c r="AC772" s="14" t="str">
        <f>IFERROR(VLOOKUP(CLEAN($V772),'All Security Controls'!$A:$I,9, FALSE),"---")</f>
        <v>---</v>
      </c>
      <c r="AD772" s="26">
        <v>771</v>
      </c>
    </row>
    <row r="773" spans="22:30" ht="15" customHeight="1" thickBot="1">
      <c r="V773" s="24"/>
      <c r="W773" s="16" t="str">
        <f>IFERROR(VLOOKUP(CLEAN($V773),'All Security Controls'!A:I, 2, FALSE),"---")</f>
        <v>---</v>
      </c>
      <c r="X773" s="14" t="str">
        <f>IFERROR(VLOOKUP(CLEAN($V773),'All Security Controls'!$A:$I, 4, FALSE),"---")</f>
        <v>---</v>
      </c>
      <c r="Y773" s="14" t="str">
        <f>IFERROR(VLOOKUP(CLEAN($V773),'All Security Controls'!$A:$I,5, FALSE),"---")</f>
        <v>---</v>
      </c>
      <c r="Z773" s="14" t="str">
        <f>IFERROR(VLOOKUP(CLEAN($V773),'All Security Controls'!$A:$I,6, FALSE),"---")</f>
        <v>---</v>
      </c>
      <c r="AA773" s="14" t="str">
        <f>IFERROR(VLOOKUP(CLEAN($V773),'All Security Controls'!$A:$I,7, FALSE),"---")</f>
        <v>---</v>
      </c>
      <c r="AB773" s="14" t="str">
        <f>IFERROR(VLOOKUP(CLEAN($V773),'All Security Controls'!$A:$I,8, FALSE),"---")</f>
        <v>---</v>
      </c>
      <c r="AC773" s="14" t="str">
        <f>IFERROR(VLOOKUP(CLEAN($V773),'All Security Controls'!$A:$I,9, FALSE),"---")</f>
        <v>---</v>
      </c>
      <c r="AD773" s="26">
        <v>772</v>
      </c>
    </row>
    <row r="774" spans="22:30" ht="15" customHeight="1" thickBot="1">
      <c r="V774" s="24"/>
      <c r="W774" s="16" t="str">
        <f>IFERROR(VLOOKUP(CLEAN($V774),'All Security Controls'!A:I, 2, FALSE),"---")</f>
        <v>---</v>
      </c>
      <c r="X774" s="14" t="str">
        <f>IFERROR(VLOOKUP(CLEAN($V774),'All Security Controls'!$A:$I, 4, FALSE),"---")</f>
        <v>---</v>
      </c>
      <c r="Y774" s="14" t="str">
        <f>IFERROR(VLOOKUP(CLEAN($V774),'All Security Controls'!$A:$I,5, FALSE),"---")</f>
        <v>---</v>
      </c>
      <c r="Z774" s="14" t="str">
        <f>IFERROR(VLOOKUP(CLEAN($V774),'All Security Controls'!$A:$I,6, FALSE),"---")</f>
        <v>---</v>
      </c>
      <c r="AA774" s="14" t="str">
        <f>IFERROR(VLOOKUP(CLEAN($V774),'All Security Controls'!$A:$I,7, FALSE),"---")</f>
        <v>---</v>
      </c>
      <c r="AB774" s="14" t="str">
        <f>IFERROR(VLOOKUP(CLEAN($V774),'All Security Controls'!$A:$I,8, FALSE),"---")</f>
        <v>---</v>
      </c>
      <c r="AC774" s="14" t="str">
        <f>IFERROR(VLOOKUP(CLEAN($V774),'All Security Controls'!$A:$I,9, FALSE),"---")</f>
        <v>---</v>
      </c>
      <c r="AD774" s="26">
        <v>773</v>
      </c>
    </row>
    <row r="775" spans="22:30" ht="15" customHeight="1" thickBot="1">
      <c r="V775" s="24"/>
      <c r="W775" s="16" t="str">
        <f>IFERROR(VLOOKUP(CLEAN($V775),'All Security Controls'!A:I, 2, FALSE),"---")</f>
        <v>---</v>
      </c>
      <c r="X775" s="14" t="str">
        <f>IFERROR(VLOOKUP(CLEAN($V775),'All Security Controls'!$A:$I, 4, FALSE),"---")</f>
        <v>---</v>
      </c>
      <c r="Y775" s="14" t="str">
        <f>IFERROR(VLOOKUP(CLEAN($V775),'All Security Controls'!$A:$I,5, FALSE),"---")</f>
        <v>---</v>
      </c>
      <c r="Z775" s="14" t="str">
        <f>IFERROR(VLOOKUP(CLEAN($V775),'All Security Controls'!$A:$I,6, FALSE),"---")</f>
        <v>---</v>
      </c>
      <c r="AA775" s="14" t="str">
        <f>IFERROR(VLOOKUP(CLEAN($V775),'All Security Controls'!$A:$I,7, FALSE),"---")</f>
        <v>---</v>
      </c>
      <c r="AB775" s="14" t="str">
        <f>IFERROR(VLOOKUP(CLEAN($V775),'All Security Controls'!$A:$I,8, FALSE),"---")</f>
        <v>---</v>
      </c>
      <c r="AC775" s="14" t="str">
        <f>IFERROR(VLOOKUP(CLEAN($V775),'All Security Controls'!$A:$I,9, FALSE),"---")</f>
        <v>---</v>
      </c>
      <c r="AD775" s="26">
        <v>774</v>
      </c>
    </row>
    <row r="776" spans="22:30" ht="15" customHeight="1" thickBot="1">
      <c r="V776" s="24"/>
      <c r="W776" s="16" t="str">
        <f>IFERROR(VLOOKUP(CLEAN($V776),'All Security Controls'!A:I, 2, FALSE),"---")</f>
        <v>---</v>
      </c>
      <c r="X776" s="14" t="str">
        <f>IFERROR(VLOOKUP(CLEAN($V776),'All Security Controls'!$A:$I, 4, FALSE),"---")</f>
        <v>---</v>
      </c>
      <c r="Y776" s="14" t="str">
        <f>IFERROR(VLOOKUP(CLEAN($V776),'All Security Controls'!$A:$I,5, FALSE),"---")</f>
        <v>---</v>
      </c>
      <c r="Z776" s="14" t="str">
        <f>IFERROR(VLOOKUP(CLEAN($V776),'All Security Controls'!$A:$I,6, FALSE),"---")</f>
        <v>---</v>
      </c>
      <c r="AA776" s="14" t="str">
        <f>IFERROR(VLOOKUP(CLEAN($V776),'All Security Controls'!$A:$I,7, FALSE),"---")</f>
        <v>---</v>
      </c>
      <c r="AB776" s="14" t="str">
        <f>IFERROR(VLOOKUP(CLEAN($V776),'All Security Controls'!$A:$I,8, FALSE),"---")</f>
        <v>---</v>
      </c>
      <c r="AC776" s="14" t="str">
        <f>IFERROR(VLOOKUP(CLEAN($V776),'All Security Controls'!$A:$I,9, FALSE),"---")</f>
        <v>---</v>
      </c>
      <c r="AD776" s="26">
        <v>775</v>
      </c>
    </row>
    <row r="777" spans="22:30" ht="15" customHeight="1" thickBot="1">
      <c r="V777" s="24"/>
      <c r="W777" s="16" t="str">
        <f>IFERROR(VLOOKUP(CLEAN($V777),'All Security Controls'!A:I, 2, FALSE),"---")</f>
        <v>---</v>
      </c>
      <c r="X777" s="14" t="str">
        <f>IFERROR(VLOOKUP(CLEAN($V777),'All Security Controls'!$A:$I, 4, FALSE),"---")</f>
        <v>---</v>
      </c>
      <c r="Y777" s="14" t="str">
        <f>IFERROR(VLOOKUP(CLEAN($V777),'All Security Controls'!$A:$I,5, FALSE),"---")</f>
        <v>---</v>
      </c>
      <c r="Z777" s="14" t="str">
        <f>IFERROR(VLOOKUP(CLEAN($V777),'All Security Controls'!$A:$I,6, FALSE),"---")</f>
        <v>---</v>
      </c>
      <c r="AA777" s="14" t="str">
        <f>IFERROR(VLOOKUP(CLEAN($V777),'All Security Controls'!$A:$I,7, FALSE),"---")</f>
        <v>---</v>
      </c>
      <c r="AB777" s="14" t="str">
        <f>IFERROR(VLOOKUP(CLEAN($V777),'All Security Controls'!$A:$I,8, FALSE),"---")</f>
        <v>---</v>
      </c>
      <c r="AC777" s="14" t="str">
        <f>IFERROR(VLOOKUP(CLEAN($V777),'All Security Controls'!$A:$I,9, FALSE),"---")</f>
        <v>---</v>
      </c>
      <c r="AD777" s="26">
        <v>776</v>
      </c>
    </row>
    <row r="778" spans="22:30" ht="15" customHeight="1" thickBot="1">
      <c r="V778" s="24"/>
      <c r="W778" s="16" t="str">
        <f>IFERROR(VLOOKUP(CLEAN($V778),'All Security Controls'!A:I, 2, FALSE),"---")</f>
        <v>---</v>
      </c>
      <c r="X778" s="14" t="str">
        <f>IFERROR(VLOOKUP(CLEAN($V778),'All Security Controls'!$A:$I, 4, FALSE),"---")</f>
        <v>---</v>
      </c>
      <c r="Y778" s="14" t="str">
        <f>IFERROR(VLOOKUP(CLEAN($V778),'All Security Controls'!$A:$I,5, FALSE),"---")</f>
        <v>---</v>
      </c>
      <c r="Z778" s="14" t="str">
        <f>IFERROR(VLOOKUP(CLEAN($V778),'All Security Controls'!$A:$I,6, FALSE),"---")</f>
        <v>---</v>
      </c>
      <c r="AA778" s="14" t="str">
        <f>IFERROR(VLOOKUP(CLEAN($V778),'All Security Controls'!$A:$I,7, FALSE),"---")</f>
        <v>---</v>
      </c>
      <c r="AB778" s="14" t="str">
        <f>IFERROR(VLOOKUP(CLEAN($V778),'All Security Controls'!$A:$I,8, FALSE),"---")</f>
        <v>---</v>
      </c>
      <c r="AC778" s="14" t="str">
        <f>IFERROR(VLOOKUP(CLEAN($V778),'All Security Controls'!$A:$I,9, FALSE),"---")</f>
        <v>---</v>
      </c>
      <c r="AD778" s="26">
        <v>777</v>
      </c>
    </row>
    <row r="779" spans="22:30" ht="15" customHeight="1" thickBot="1">
      <c r="V779" s="24"/>
      <c r="W779" s="16" t="str">
        <f>IFERROR(VLOOKUP(CLEAN($V779),'All Security Controls'!A:I, 2, FALSE),"---")</f>
        <v>---</v>
      </c>
      <c r="X779" s="14" t="str">
        <f>IFERROR(VLOOKUP(CLEAN($V779),'All Security Controls'!$A:$I, 4, FALSE),"---")</f>
        <v>---</v>
      </c>
      <c r="Y779" s="14" t="str">
        <f>IFERROR(VLOOKUP(CLEAN($V779),'All Security Controls'!$A:$I,5, FALSE),"---")</f>
        <v>---</v>
      </c>
      <c r="Z779" s="14" t="str">
        <f>IFERROR(VLOOKUP(CLEAN($V779),'All Security Controls'!$A:$I,6, FALSE),"---")</f>
        <v>---</v>
      </c>
      <c r="AA779" s="14" t="str">
        <f>IFERROR(VLOOKUP(CLEAN($V779),'All Security Controls'!$A:$I,7, FALSE),"---")</f>
        <v>---</v>
      </c>
      <c r="AB779" s="14" t="str">
        <f>IFERROR(VLOOKUP(CLEAN($V779),'All Security Controls'!$A:$I,8, FALSE),"---")</f>
        <v>---</v>
      </c>
      <c r="AC779" s="14" t="str">
        <f>IFERROR(VLOOKUP(CLEAN($V779),'All Security Controls'!$A:$I,9, FALSE),"---")</f>
        <v>---</v>
      </c>
      <c r="AD779" s="26">
        <v>778</v>
      </c>
    </row>
    <row r="780" spans="22:30" ht="15" customHeight="1" thickBot="1">
      <c r="V780" s="24"/>
      <c r="W780" s="16" t="str">
        <f>IFERROR(VLOOKUP(CLEAN($V780),'All Security Controls'!A:I, 2, FALSE),"---")</f>
        <v>---</v>
      </c>
      <c r="X780" s="14" t="str">
        <f>IFERROR(VLOOKUP(CLEAN($V780),'All Security Controls'!$A:$I, 4, FALSE),"---")</f>
        <v>---</v>
      </c>
      <c r="Y780" s="14" t="str">
        <f>IFERROR(VLOOKUP(CLEAN($V780),'All Security Controls'!$A:$I,5, FALSE),"---")</f>
        <v>---</v>
      </c>
      <c r="Z780" s="14" t="str">
        <f>IFERROR(VLOOKUP(CLEAN($V780),'All Security Controls'!$A:$I,6, FALSE),"---")</f>
        <v>---</v>
      </c>
      <c r="AA780" s="14" t="str">
        <f>IFERROR(VLOOKUP(CLEAN($V780),'All Security Controls'!$A:$I,7, FALSE),"---")</f>
        <v>---</v>
      </c>
      <c r="AB780" s="14" t="str">
        <f>IFERROR(VLOOKUP(CLEAN($V780),'All Security Controls'!$A:$I,8, FALSE),"---")</f>
        <v>---</v>
      </c>
      <c r="AC780" s="14" t="str">
        <f>IFERROR(VLOOKUP(CLEAN($V780),'All Security Controls'!$A:$I,9, FALSE),"---")</f>
        <v>---</v>
      </c>
      <c r="AD780" s="26">
        <v>779</v>
      </c>
    </row>
    <row r="781" spans="22:30" ht="15" customHeight="1" thickBot="1">
      <c r="V781" s="24"/>
      <c r="W781" s="16" t="str">
        <f>IFERROR(VLOOKUP(CLEAN($V781),'All Security Controls'!A:I, 2, FALSE),"---")</f>
        <v>---</v>
      </c>
      <c r="X781" s="14" t="str">
        <f>IFERROR(VLOOKUP(CLEAN($V781),'All Security Controls'!$A:$I, 4, FALSE),"---")</f>
        <v>---</v>
      </c>
      <c r="Y781" s="14" t="str">
        <f>IFERROR(VLOOKUP(CLEAN($V781),'All Security Controls'!$A:$I,5, FALSE),"---")</f>
        <v>---</v>
      </c>
      <c r="Z781" s="14" t="str">
        <f>IFERROR(VLOOKUP(CLEAN($V781),'All Security Controls'!$A:$I,6, FALSE),"---")</f>
        <v>---</v>
      </c>
      <c r="AA781" s="14" t="str">
        <f>IFERROR(VLOOKUP(CLEAN($V781),'All Security Controls'!$A:$I,7, FALSE),"---")</f>
        <v>---</v>
      </c>
      <c r="AB781" s="14" t="str">
        <f>IFERROR(VLOOKUP(CLEAN($V781),'All Security Controls'!$A:$I,8, FALSE),"---")</f>
        <v>---</v>
      </c>
      <c r="AC781" s="14" t="str">
        <f>IFERROR(VLOOKUP(CLEAN($V781),'All Security Controls'!$A:$I,9, FALSE),"---")</f>
        <v>---</v>
      </c>
      <c r="AD781" s="26">
        <v>780</v>
      </c>
    </row>
    <row r="782" spans="22:30" ht="15" customHeight="1" thickBot="1">
      <c r="V782" s="24"/>
      <c r="W782" s="16" t="str">
        <f>IFERROR(VLOOKUP(CLEAN($V782),'All Security Controls'!A:I, 2, FALSE),"---")</f>
        <v>---</v>
      </c>
      <c r="X782" s="14" t="str">
        <f>IFERROR(VLOOKUP(CLEAN($V782),'All Security Controls'!$A:$I, 4, FALSE),"---")</f>
        <v>---</v>
      </c>
      <c r="Y782" s="14" t="str">
        <f>IFERROR(VLOOKUP(CLEAN($V782),'All Security Controls'!$A:$I,5, FALSE),"---")</f>
        <v>---</v>
      </c>
      <c r="Z782" s="14" t="str">
        <f>IFERROR(VLOOKUP(CLEAN($V782),'All Security Controls'!$A:$I,6, FALSE),"---")</f>
        <v>---</v>
      </c>
      <c r="AA782" s="14" t="str">
        <f>IFERROR(VLOOKUP(CLEAN($V782),'All Security Controls'!$A:$I,7, FALSE),"---")</f>
        <v>---</v>
      </c>
      <c r="AB782" s="14" t="str">
        <f>IFERROR(VLOOKUP(CLEAN($V782),'All Security Controls'!$A:$I,8, FALSE),"---")</f>
        <v>---</v>
      </c>
      <c r="AC782" s="14" t="str">
        <f>IFERROR(VLOOKUP(CLEAN($V782),'All Security Controls'!$A:$I,9, FALSE),"---")</f>
        <v>---</v>
      </c>
      <c r="AD782" s="26">
        <v>781</v>
      </c>
    </row>
    <row r="783" spans="22:30" ht="15" customHeight="1" thickBot="1">
      <c r="V783" s="24"/>
      <c r="W783" s="16" t="str">
        <f>IFERROR(VLOOKUP(CLEAN($V783),'All Security Controls'!A:I, 2, FALSE),"---")</f>
        <v>---</v>
      </c>
      <c r="X783" s="14" t="str">
        <f>IFERROR(VLOOKUP(CLEAN($V783),'All Security Controls'!$A:$I, 4, FALSE),"---")</f>
        <v>---</v>
      </c>
      <c r="Y783" s="14" t="str">
        <f>IFERROR(VLOOKUP(CLEAN($V783),'All Security Controls'!$A:$I,5, FALSE),"---")</f>
        <v>---</v>
      </c>
      <c r="Z783" s="14" t="str">
        <f>IFERROR(VLOOKUP(CLEAN($V783),'All Security Controls'!$A:$I,6, FALSE),"---")</f>
        <v>---</v>
      </c>
      <c r="AA783" s="14" t="str">
        <f>IFERROR(VLOOKUP(CLEAN($V783),'All Security Controls'!$A:$I,7, FALSE),"---")</f>
        <v>---</v>
      </c>
      <c r="AB783" s="14" t="str">
        <f>IFERROR(VLOOKUP(CLEAN($V783),'All Security Controls'!$A:$I,8, FALSE),"---")</f>
        <v>---</v>
      </c>
      <c r="AC783" s="14" t="str">
        <f>IFERROR(VLOOKUP(CLEAN($V783),'All Security Controls'!$A:$I,9, FALSE),"---")</f>
        <v>---</v>
      </c>
      <c r="AD783" s="26">
        <v>782</v>
      </c>
    </row>
    <row r="784" spans="22:30" ht="15" customHeight="1" thickBot="1">
      <c r="V784" s="24"/>
      <c r="W784" s="16" t="str">
        <f>IFERROR(VLOOKUP(CLEAN($V784),'All Security Controls'!A:I, 2, FALSE),"---")</f>
        <v>---</v>
      </c>
      <c r="X784" s="14" t="str">
        <f>IFERROR(VLOOKUP(CLEAN($V784),'All Security Controls'!$A:$I, 4, FALSE),"---")</f>
        <v>---</v>
      </c>
      <c r="Y784" s="14" t="str">
        <f>IFERROR(VLOOKUP(CLEAN($V784),'All Security Controls'!$A:$I,5, FALSE),"---")</f>
        <v>---</v>
      </c>
      <c r="Z784" s="14" t="str">
        <f>IFERROR(VLOOKUP(CLEAN($V784),'All Security Controls'!$A:$I,6, FALSE),"---")</f>
        <v>---</v>
      </c>
      <c r="AA784" s="14" t="str">
        <f>IFERROR(VLOOKUP(CLEAN($V784),'All Security Controls'!$A:$I,7, FALSE),"---")</f>
        <v>---</v>
      </c>
      <c r="AB784" s="14" t="str">
        <f>IFERROR(VLOOKUP(CLEAN($V784),'All Security Controls'!$A:$I,8, FALSE),"---")</f>
        <v>---</v>
      </c>
      <c r="AC784" s="14" t="str">
        <f>IFERROR(VLOOKUP(CLEAN($V784),'All Security Controls'!$A:$I,9, FALSE),"---")</f>
        <v>---</v>
      </c>
      <c r="AD784" s="26">
        <v>783</v>
      </c>
    </row>
    <row r="785" spans="22:30" ht="15" customHeight="1" thickBot="1">
      <c r="V785" s="24"/>
      <c r="W785" s="16" t="str">
        <f>IFERROR(VLOOKUP(CLEAN($V785),'All Security Controls'!A:I, 2, FALSE),"---")</f>
        <v>---</v>
      </c>
      <c r="X785" s="14" t="str">
        <f>IFERROR(VLOOKUP(CLEAN($V785),'All Security Controls'!$A:$I, 4, FALSE),"---")</f>
        <v>---</v>
      </c>
      <c r="Y785" s="14" t="str">
        <f>IFERROR(VLOOKUP(CLEAN($V785),'All Security Controls'!$A:$I,5, FALSE),"---")</f>
        <v>---</v>
      </c>
      <c r="Z785" s="14" t="str">
        <f>IFERROR(VLOOKUP(CLEAN($V785),'All Security Controls'!$A:$I,6, FALSE),"---")</f>
        <v>---</v>
      </c>
      <c r="AA785" s="14" t="str">
        <f>IFERROR(VLOOKUP(CLEAN($V785),'All Security Controls'!$A:$I,7, FALSE),"---")</f>
        <v>---</v>
      </c>
      <c r="AB785" s="14" t="str">
        <f>IFERROR(VLOOKUP(CLEAN($V785),'All Security Controls'!$A:$I,8, FALSE),"---")</f>
        <v>---</v>
      </c>
      <c r="AC785" s="14" t="str">
        <f>IFERROR(VLOOKUP(CLEAN($V785),'All Security Controls'!$A:$I,9, FALSE),"---")</f>
        <v>---</v>
      </c>
      <c r="AD785" s="26">
        <v>784</v>
      </c>
    </row>
    <row r="786" spans="22:30" ht="15" customHeight="1" thickBot="1">
      <c r="V786" s="24"/>
      <c r="W786" s="16" t="str">
        <f>IFERROR(VLOOKUP(CLEAN($V786),'All Security Controls'!A:I, 2, FALSE),"---")</f>
        <v>---</v>
      </c>
      <c r="X786" s="14" t="str">
        <f>IFERROR(VLOOKUP(CLEAN($V786),'All Security Controls'!$A:$I, 4, FALSE),"---")</f>
        <v>---</v>
      </c>
      <c r="Y786" s="14" t="str">
        <f>IFERROR(VLOOKUP(CLEAN($V786),'All Security Controls'!$A:$I,5, FALSE),"---")</f>
        <v>---</v>
      </c>
      <c r="Z786" s="14" t="str">
        <f>IFERROR(VLOOKUP(CLEAN($V786),'All Security Controls'!$A:$I,6, FALSE),"---")</f>
        <v>---</v>
      </c>
      <c r="AA786" s="14" t="str">
        <f>IFERROR(VLOOKUP(CLEAN($V786),'All Security Controls'!$A:$I,7, FALSE),"---")</f>
        <v>---</v>
      </c>
      <c r="AB786" s="14" t="str">
        <f>IFERROR(VLOOKUP(CLEAN($V786),'All Security Controls'!$A:$I,8, FALSE),"---")</f>
        <v>---</v>
      </c>
      <c r="AC786" s="14" t="str">
        <f>IFERROR(VLOOKUP(CLEAN($V786),'All Security Controls'!$A:$I,9, FALSE),"---")</f>
        <v>---</v>
      </c>
      <c r="AD786" s="26">
        <v>785</v>
      </c>
    </row>
    <row r="787" spans="22:30" ht="15" customHeight="1" thickBot="1">
      <c r="V787" s="24"/>
      <c r="W787" s="16" t="str">
        <f>IFERROR(VLOOKUP(CLEAN($V787),'All Security Controls'!A:I, 2, FALSE),"---")</f>
        <v>---</v>
      </c>
      <c r="X787" s="14" t="str">
        <f>IFERROR(VLOOKUP(CLEAN($V787),'All Security Controls'!$A:$I, 4, FALSE),"---")</f>
        <v>---</v>
      </c>
      <c r="Y787" s="14" t="str">
        <f>IFERROR(VLOOKUP(CLEAN($V787),'All Security Controls'!$A:$I,5, FALSE),"---")</f>
        <v>---</v>
      </c>
      <c r="Z787" s="14" t="str">
        <f>IFERROR(VLOOKUP(CLEAN($V787),'All Security Controls'!$A:$I,6, FALSE),"---")</f>
        <v>---</v>
      </c>
      <c r="AA787" s="14" t="str">
        <f>IFERROR(VLOOKUP(CLEAN($V787),'All Security Controls'!$A:$I,7, FALSE),"---")</f>
        <v>---</v>
      </c>
      <c r="AB787" s="14" t="str">
        <f>IFERROR(VLOOKUP(CLEAN($V787),'All Security Controls'!$A:$I,8, FALSE),"---")</f>
        <v>---</v>
      </c>
      <c r="AC787" s="14" t="str">
        <f>IFERROR(VLOOKUP(CLEAN($V787),'All Security Controls'!$A:$I,9, FALSE),"---")</f>
        <v>---</v>
      </c>
      <c r="AD787" s="26">
        <v>786</v>
      </c>
    </row>
    <row r="788" spans="22:30" ht="15" customHeight="1" thickBot="1">
      <c r="V788" s="24"/>
      <c r="W788" s="16" t="str">
        <f>IFERROR(VLOOKUP(CLEAN($V788),'All Security Controls'!A:I, 2, FALSE),"---")</f>
        <v>---</v>
      </c>
      <c r="X788" s="14" t="str">
        <f>IFERROR(VLOOKUP(CLEAN($V788),'All Security Controls'!$A:$I, 4, FALSE),"---")</f>
        <v>---</v>
      </c>
      <c r="Y788" s="14" t="str">
        <f>IFERROR(VLOOKUP(CLEAN($V788),'All Security Controls'!$A:$I,5, FALSE),"---")</f>
        <v>---</v>
      </c>
      <c r="Z788" s="14" t="str">
        <f>IFERROR(VLOOKUP(CLEAN($V788),'All Security Controls'!$A:$I,6, FALSE),"---")</f>
        <v>---</v>
      </c>
      <c r="AA788" s="14" t="str">
        <f>IFERROR(VLOOKUP(CLEAN($V788),'All Security Controls'!$A:$I,7, FALSE),"---")</f>
        <v>---</v>
      </c>
      <c r="AB788" s="14" t="str">
        <f>IFERROR(VLOOKUP(CLEAN($V788),'All Security Controls'!$A:$I,8, FALSE),"---")</f>
        <v>---</v>
      </c>
      <c r="AC788" s="14" t="str">
        <f>IFERROR(VLOOKUP(CLEAN($V788),'All Security Controls'!$A:$I,9, FALSE),"---")</f>
        <v>---</v>
      </c>
      <c r="AD788" s="26">
        <v>787</v>
      </c>
    </row>
    <row r="789" spans="22:30" ht="15" customHeight="1" thickBot="1">
      <c r="V789" s="24"/>
      <c r="W789" s="16" t="str">
        <f>IFERROR(VLOOKUP(CLEAN($V789),'All Security Controls'!A:I, 2, FALSE),"---")</f>
        <v>---</v>
      </c>
      <c r="X789" s="14" t="str">
        <f>IFERROR(VLOOKUP(CLEAN($V789),'All Security Controls'!$A:$I, 4, FALSE),"---")</f>
        <v>---</v>
      </c>
      <c r="Y789" s="14" t="str">
        <f>IFERROR(VLOOKUP(CLEAN($V789),'All Security Controls'!$A:$I,5, FALSE),"---")</f>
        <v>---</v>
      </c>
      <c r="Z789" s="14" t="str">
        <f>IFERROR(VLOOKUP(CLEAN($V789),'All Security Controls'!$A:$I,6, FALSE),"---")</f>
        <v>---</v>
      </c>
      <c r="AA789" s="14" t="str">
        <f>IFERROR(VLOOKUP(CLEAN($V789),'All Security Controls'!$A:$I,7, FALSE),"---")</f>
        <v>---</v>
      </c>
      <c r="AB789" s="14" t="str">
        <f>IFERROR(VLOOKUP(CLEAN($V789),'All Security Controls'!$A:$I,8, FALSE),"---")</f>
        <v>---</v>
      </c>
      <c r="AC789" s="14" t="str">
        <f>IFERROR(VLOOKUP(CLEAN($V789),'All Security Controls'!$A:$I,9, FALSE),"---")</f>
        <v>---</v>
      </c>
      <c r="AD789" s="26">
        <v>788</v>
      </c>
    </row>
    <row r="790" spans="22:30" ht="15" customHeight="1" thickBot="1">
      <c r="V790" s="24"/>
      <c r="W790" s="16" t="str">
        <f>IFERROR(VLOOKUP(CLEAN($V790),'All Security Controls'!A:I, 2, FALSE),"---")</f>
        <v>---</v>
      </c>
      <c r="X790" s="14" t="str">
        <f>IFERROR(VLOOKUP(CLEAN($V790),'All Security Controls'!$A:$I, 4, FALSE),"---")</f>
        <v>---</v>
      </c>
      <c r="Y790" s="14" t="str">
        <f>IFERROR(VLOOKUP(CLEAN($V790),'All Security Controls'!$A:$I,5, FALSE),"---")</f>
        <v>---</v>
      </c>
      <c r="Z790" s="14" t="str">
        <f>IFERROR(VLOOKUP(CLEAN($V790),'All Security Controls'!$A:$I,6, FALSE),"---")</f>
        <v>---</v>
      </c>
      <c r="AA790" s="14" t="str">
        <f>IFERROR(VLOOKUP(CLEAN($V790),'All Security Controls'!$A:$I,7, FALSE),"---")</f>
        <v>---</v>
      </c>
      <c r="AB790" s="14" t="str">
        <f>IFERROR(VLOOKUP(CLEAN($V790),'All Security Controls'!$A:$I,8, FALSE),"---")</f>
        <v>---</v>
      </c>
      <c r="AC790" s="14" t="str">
        <f>IFERROR(VLOOKUP(CLEAN($V790),'All Security Controls'!$A:$I,9, FALSE),"---")</f>
        <v>---</v>
      </c>
      <c r="AD790" s="26">
        <v>789</v>
      </c>
    </row>
    <row r="791" spans="22:30" ht="15" customHeight="1" thickBot="1">
      <c r="V791" s="24"/>
      <c r="W791" s="16" t="str">
        <f>IFERROR(VLOOKUP(CLEAN($V791),'All Security Controls'!A:I, 2, FALSE),"---")</f>
        <v>---</v>
      </c>
      <c r="X791" s="14" t="str">
        <f>IFERROR(VLOOKUP(CLEAN($V791),'All Security Controls'!$A:$I, 4, FALSE),"---")</f>
        <v>---</v>
      </c>
      <c r="Y791" s="14" t="str">
        <f>IFERROR(VLOOKUP(CLEAN($V791),'All Security Controls'!$A:$I,5, FALSE),"---")</f>
        <v>---</v>
      </c>
      <c r="Z791" s="14" t="str">
        <f>IFERROR(VLOOKUP(CLEAN($V791),'All Security Controls'!$A:$I,6, FALSE),"---")</f>
        <v>---</v>
      </c>
      <c r="AA791" s="14" t="str">
        <f>IFERROR(VLOOKUP(CLEAN($V791),'All Security Controls'!$A:$I,7, FALSE),"---")</f>
        <v>---</v>
      </c>
      <c r="AB791" s="14" t="str">
        <f>IFERROR(VLOOKUP(CLEAN($V791),'All Security Controls'!$A:$I,8, FALSE),"---")</f>
        <v>---</v>
      </c>
      <c r="AC791" s="14" t="str">
        <f>IFERROR(VLOOKUP(CLEAN($V791),'All Security Controls'!$A:$I,9, FALSE),"---")</f>
        <v>---</v>
      </c>
      <c r="AD791" s="26">
        <v>790</v>
      </c>
    </row>
    <row r="792" spans="22:30" ht="15" customHeight="1" thickBot="1">
      <c r="V792" s="24"/>
      <c r="W792" s="16" t="str">
        <f>IFERROR(VLOOKUP(CLEAN($V792),'All Security Controls'!A:I, 2, FALSE),"---")</f>
        <v>---</v>
      </c>
      <c r="X792" s="14" t="str">
        <f>IFERROR(VLOOKUP(CLEAN($V792),'All Security Controls'!$A:$I, 4, FALSE),"---")</f>
        <v>---</v>
      </c>
      <c r="Y792" s="14" t="str">
        <f>IFERROR(VLOOKUP(CLEAN($V792),'All Security Controls'!$A:$I,5, FALSE),"---")</f>
        <v>---</v>
      </c>
      <c r="Z792" s="14" t="str">
        <f>IFERROR(VLOOKUP(CLEAN($V792),'All Security Controls'!$A:$I,6, FALSE),"---")</f>
        <v>---</v>
      </c>
      <c r="AA792" s="14" t="str">
        <f>IFERROR(VLOOKUP(CLEAN($V792),'All Security Controls'!$A:$I,7, FALSE),"---")</f>
        <v>---</v>
      </c>
      <c r="AB792" s="14" t="str">
        <f>IFERROR(VLOOKUP(CLEAN($V792),'All Security Controls'!$A:$I,8, FALSE),"---")</f>
        <v>---</v>
      </c>
      <c r="AC792" s="14" t="str">
        <f>IFERROR(VLOOKUP(CLEAN($V792),'All Security Controls'!$A:$I,9, FALSE),"---")</f>
        <v>---</v>
      </c>
      <c r="AD792" s="26">
        <v>791</v>
      </c>
    </row>
    <row r="793" spans="22:30" ht="15" customHeight="1" thickBot="1">
      <c r="V793" s="24"/>
      <c r="W793" s="16" t="str">
        <f>IFERROR(VLOOKUP(CLEAN($V793),'All Security Controls'!A:I, 2, FALSE),"---")</f>
        <v>---</v>
      </c>
      <c r="X793" s="14" t="str">
        <f>IFERROR(VLOOKUP(CLEAN($V793),'All Security Controls'!$A:$I, 4, FALSE),"---")</f>
        <v>---</v>
      </c>
      <c r="Y793" s="14" t="str">
        <f>IFERROR(VLOOKUP(CLEAN($V793),'All Security Controls'!$A:$I,5, FALSE),"---")</f>
        <v>---</v>
      </c>
      <c r="Z793" s="14" t="str">
        <f>IFERROR(VLOOKUP(CLEAN($V793),'All Security Controls'!$A:$I,6, FALSE),"---")</f>
        <v>---</v>
      </c>
      <c r="AA793" s="14" t="str">
        <f>IFERROR(VLOOKUP(CLEAN($V793),'All Security Controls'!$A:$I,7, FALSE),"---")</f>
        <v>---</v>
      </c>
      <c r="AB793" s="14" t="str">
        <f>IFERROR(VLOOKUP(CLEAN($V793),'All Security Controls'!$A:$I,8, FALSE),"---")</f>
        <v>---</v>
      </c>
      <c r="AC793" s="14" t="str">
        <f>IFERROR(VLOOKUP(CLEAN($V793),'All Security Controls'!$A:$I,9, FALSE),"---")</f>
        <v>---</v>
      </c>
      <c r="AD793" s="26">
        <v>792</v>
      </c>
    </row>
    <row r="794" spans="22:30" ht="15" customHeight="1" thickBot="1">
      <c r="V794" s="24"/>
      <c r="W794" s="16" t="str">
        <f>IFERROR(VLOOKUP(CLEAN($V794),'All Security Controls'!A:I, 2, FALSE),"---")</f>
        <v>---</v>
      </c>
      <c r="X794" s="14" t="str">
        <f>IFERROR(VLOOKUP(CLEAN($V794),'All Security Controls'!$A:$I, 4, FALSE),"---")</f>
        <v>---</v>
      </c>
      <c r="Y794" s="14" t="str">
        <f>IFERROR(VLOOKUP(CLEAN($V794),'All Security Controls'!$A:$I,5, FALSE),"---")</f>
        <v>---</v>
      </c>
      <c r="Z794" s="14" t="str">
        <f>IFERROR(VLOOKUP(CLEAN($V794),'All Security Controls'!$A:$I,6, FALSE),"---")</f>
        <v>---</v>
      </c>
      <c r="AA794" s="14" t="str">
        <f>IFERROR(VLOOKUP(CLEAN($V794),'All Security Controls'!$A:$I,7, FALSE),"---")</f>
        <v>---</v>
      </c>
      <c r="AB794" s="14" t="str">
        <f>IFERROR(VLOOKUP(CLEAN($V794),'All Security Controls'!$A:$I,8, FALSE),"---")</f>
        <v>---</v>
      </c>
      <c r="AC794" s="14" t="str">
        <f>IFERROR(VLOOKUP(CLEAN($V794),'All Security Controls'!$A:$I,9, FALSE),"---")</f>
        <v>---</v>
      </c>
      <c r="AD794" s="26">
        <v>793</v>
      </c>
    </row>
    <row r="795" spans="22:30" ht="15" customHeight="1" thickBot="1">
      <c r="V795" s="24"/>
      <c r="W795" s="16" t="str">
        <f>IFERROR(VLOOKUP(CLEAN($V795),'All Security Controls'!A:I, 2, FALSE),"---")</f>
        <v>---</v>
      </c>
      <c r="X795" s="14" t="str">
        <f>IFERROR(VLOOKUP(CLEAN($V795),'All Security Controls'!$A:$I, 4, FALSE),"---")</f>
        <v>---</v>
      </c>
      <c r="Y795" s="14" t="str">
        <f>IFERROR(VLOOKUP(CLEAN($V795),'All Security Controls'!$A:$I,5, FALSE),"---")</f>
        <v>---</v>
      </c>
      <c r="Z795" s="14" t="str">
        <f>IFERROR(VLOOKUP(CLEAN($V795),'All Security Controls'!$A:$I,6, FALSE),"---")</f>
        <v>---</v>
      </c>
      <c r="AA795" s="14" t="str">
        <f>IFERROR(VLOOKUP(CLEAN($V795),'All Security Controls'!$A:$I,7, FALSE),"---")</f>
        <v>---</v>
      </c>
      <c r="AB795" s="14" t="str">
        <f>IFERROR(VLOOKUP(CLEAN($V795),'All Security Controls'!$A:$I,8, FALSE),"---")</f>
        <v>---</v>
      </c>
      <c r="AC795" s="14" t="str">
        <f>IFERROR(VLOOKUP(CLEAN($V795),'All Security Controls'!$A:$I,9, FALSE),"---")</f>
        <v>---</v>
      </c>
      <c r="AD795" s="26">
        <v>794</v>
      </c>
    </row>
    <row r="796" spans="22:30" ht="15" customHeight="1" thickBot="1">
      <c r="V796" s="24"/>
      <c r="W796" s="16" t="str">
        <f>IFERROR(VLOOKUP(CLEAN($V796),'All Security Controls'!A:I, 2, FALSE),"---")</f>
        <v>---</v>
      </c>
      <c r="X796" s="14" t="str">
        <f>IFERROR(VLOOKUP(CLEAN($V796),'All Security Controls'!$A:$I, 4, FALSE),"---")</f>
        <v>---</v>
      </c>
      <c r="Y796" s="14" t="str">
        <f>IFERROR(VLOOKUP(CLEAN($V796),'All Security Controls'!$A:$I,5, FALSE),"---")</f>
        <v>---</v>
      </c>
      <c r="Z796" s="14" t="str">
        <f>IFERROR(VLOOKUP(CLEAN($V796),'All Security Controls'!$A:$I,6, FALSE),"---")</f>
        <v>---</v>
      </c>
      <c r="AA796" s="14" t="str">
        <f>IFERROR(VLOOKUP(CLEAN($V796),'All Security Controls'!$A:$I,7, FALSE),"---")</f>
        <v>---</v>
      </c>
      <c r="AB796" s="14" t="str">
        <f>IFERROR(VLOOKUP(CLEAN($V796),'All Security Controls'!$A:$I,8, FALSE),"---")</f>
        <v>---</v>
      </c>
      <c r="AC796" s="14" t="str">
        <f>IFERROR(VLOOKUP(CLEAN($V796),'All Security Controls'!$A:$I,9, FALSE),"---")</f>
        <v>---</v>
      </c>
      <c r="AD796" s="26">
        <v>795</v>
      </c>
    </row>
    <row r="797" spans="22:30" ht="15" customHeight="1" thickBot="1">
      <c r="V797" s="24"/>
      <c r="W797" s="16" t="str">
        <f>IFERROR(VLOOKUP(CLEAN($V797),'All Security Controls'!A:I, 2, FALSE),"---")</f>
        <v>---</v>
      </c>
      <c r="X797" s="14" t="str">
        <f>IFERROR(VLOOKUP(CLEAN($V797),'All Security Controls'!$A:$I, 4, FALSE),"---")</f>
        <v>---</v>
      </c>
      <c r="Y797" s="14" t="str">
        <f>IFERROR(VLOOKUP(CLEAN($V797),'All Security Controls'!$A:$I,5, FALSE),"---")</f>
        <v>---</v>
      </c>
      <c r="Z797" s="14" t="str">
        <f>IFERROR(VLOOKUP(CLEAN($V797),'All Security Controls'!$A:$I,6, FALSE),"---")</f>
        <v>---</v>
      </c>
      <c r="AA797" s="14" t="str">
        <f>IFERROR(VLOOKUP(CLEAN($V797),'All Security Controls'!$A:$I,7, FALSE),"---")</f>
        <v>---</v>
      </c>
      <c r="AB797" s="14" t="str">
        <f>IFERROR(VLOOKUP(CLEAN($V797),'All Security Controls'!$A:$I,8, FALSE),"---")</f>
        <v>---</v>
      </c>
      <c r="AC797" s="14" t="str">
        <f>IFERROR(VLOOKUP(CLEAN($V797),'All Security Controls'!$A:$I,9, FALSE),"---")</f>
        <v>---</v>
      </c>
      <c r="AD797" s="26">
        <v>796</v>
      </c>
    </row>
    <row r="798" spans="22:30" ht="15" customHeight="1" thickBot="1">
      <c r="V798" s="24"/>
      <c r="W798" s="16" t="str">
        <f>IFERROR(VLOOKUP(CLEAN($V798),'All Security Controls'!A:I, 2, FALSE),"---")</f>
        <v>---</v>
      </c>
      <c r="X798" s="14" t="str">
        <f>IFERROR(VLOOKUP(CLEAN($V798),'All Security Controls'!$A:$I, 4, FALSE),"---")</f>
        <v>---</v>
      </c>
      <c r="Y798" s="14" t="str">
        <f>IFERROR(VLOOKUP(CLEAN($V798),'All Security Controls'!$A:$I,5, FALSE),"---")</f>
        <v>---</v>
      </c>
      <c r="Z798" s="14" t="str">
        <f>IFERROR(VLOOKUP(CLEAN($V798),'All Security Controls'!$A:$I,6, FALSE),"---")</f>
        <v>---</v>
      </c>
      <c r="AA798" s="14" t="str">
        <f>IFERROR(VLOOKUP(CLEAN($V798),'All Security Controls'!$A:$I,7, FALSE),"---")</f>
        <v>---</v>
      </c>
      <c r="AB798" s="14" t="str">
        <f>IFERROR(VLOOKUP(CLEAN($V798),'All Security Controls'!$A:$I,8, FALSE),"---")</f>
        <v>---</v>
      </c>
      <c r="AC798" s="14" t="str">
        <f>IFERROR(VLOOKUP(CLEAN($V798),'All Security Controls'!$A:$I,9, FALSE),"---")</f>
        <v>---</v>
      </c>
      <c r="AD798" s="26">
        <v>797</v>
      </c>
    </row>
    <row r="799" spans="22:30" ht="15" customHeight="1" thickBot="1">
      <c r="V799" s="24"/>
      <c r="W799" s="16" t="str">
        <f>IFERROR(VLOOKUP(CLEAN($V799),'All Security Controls'!A:I, 2, FALSE),"---")</f>
        <v>---</v>
      </c>
      <c r="X799" s="14" t="str">
        <f>IFERROR(VLOOKUP(CLEAN($V799),'All Security Controls'!$A:$I, 4, FALSE),"---")</f>
        <v>---</v>
      </c>
      <c r="Y799" s="14" t="str">
        <f>IFERROR(VLOOKUP(CLEAN($V799),'All Security Controls'!$A:$I,5, FALSE),"---")</f>
        <v>---</v>
      </c>
      <c r="Z799" s="14" t="str">
        <f>IFERROR(VLOOKUP(CLEAN($V799),'All Security Controls'!$A:$I,6, FALSE),"---")</f>
        <v>---</v>
      </c>
      <c r="AA799" s="14" t="str">
        <f>IFERROR(VLOOKUP(CLEAN($V799),'All Security Controls'!$A:$I,7, FALSE),"---")</f>
        <v>---</v>
      </c>
      <c r="AB799" s="14" t="str">
        <f>IFERROR(VLOOKUP(CLEAN($V799),'All Security Controls'!$A:$I,8, FALSE),"---")</f>
        <v>---</v>
      </c>
      <c r="AC799" s="14" t="str">
        <f>IFERROR(VLOOKUP(CLEAN($V799),'All Security Controls'!$A:$I,9, FALSE),"---")</f>
        <v>---</v>
      </c>
      <c r="AD799" s="26">
        <v>798</v>
      </c>
    </row>
    <row r="800" spans="22:30" ht="15" customHeight="1" thickBot="1">
      <c r="V800" s="24"/>
      <c r="W800" s="16" t="str">
        <f>IFERROR(VLOOKUP(CLEAN($V800),'All Security Controls'!A:I, 2, FALSE),"---")</f>
        <v>---</v>
      </c>
      <c r="X800" s="14" t="str">
        <f>IFERROR(VLOOKUP(CLEAN($V800),'All Security Controls'!$A:$I, 4, FALSE),"---")</f>
        <v>---</v>
      </c>
      <c r="Y800" s="14" t="str">
        <f>IFERROR(VLOOKUP(CLEAN($V800),'All Security Controls'!$A:$I,5, FALSE),"---")</f>
        <v>---</v>
      </c>
      <c r="Z800" s="14" t="str">
        <f>IFERROR(VLOOKUP(CLEAN($V800),'All Security Controls'!$A:$I,6, FALSE),"---")</f>
        <v>---</v>
      </c>
      <c r="AA800" s="14" t="str">
        <f>IFERROR(VLOOKUP(CLEAN($V800),'All Security Controls'!$A:$I,7, FALSE),"---")</f>
        <v>---</v>
      </c>
      <c r="AB800" s="14" t="str">
        <f>IFERROR(VLOOKUP(CLEAN($V800),'All Security Controls'!$A:$I,8, FALSE),"---")</f>
        <v>---</v>
      </c>
      <c r="AC800" s="14" t="str">
        <f>IFERROR(VLOOKUP(CLEAN($V800),'All Security Controls'!$A:$I,9, FALSE),"---")</f>
        <v>---</v>
      </c>
      <c r="AD800" s="26">
        <v>799</v>
      </c>
    </row>
    <row r="801" spans="22:30" ht="15" customHeight="1" thickBot="1">
      <c r="V801" s="24"/>
      <c r="W801" s="16" t="str">
        <f>IFERROR(VLOOKUP(CLEAN($V801),'All Security Controls'!A:I, 2, FALSE),"---")</f>
        <v>---</v>
      </c>
      <c r="X801" s="14" t="str">
        <f>IFERROR(VLOOKUP(CLEAN($V801),'All Security Controls'!$A:$I, 4, FALSE),"---")</f>
        <v>---</v>
      </c>
      <c r="Y801" s="14" t="str">
        <f>IFERROR(VLOOKUP(CLEAN($V801),'All Security Controls'!$A:$I,5, FALSE),"---")</f>
        <v>---</v>
      </c>
      <c r="Z801" s="14" t="str">
        <f>IFERROR(VLOOKUP(CLEAN($V801),'All Security Controls'!$A:$I,6, FALSE),"---")</f>
        <v>---</v>
      </c>
      <c r="AA801" s="14" t="str">
        <f>IFERROR(VLOOKUP(CLEAN($V801),'All Security Controls'!$A:$I,7, FALSE),"---")</f>
        <v>---</v>
      </c>
      <c r="AB801" s="14" t="str">
        <f>IFERROR(VLOOKUP(CLEAN($V801),'All Security Controls'!$A:$I,8, FALSE),"---")</f>
        <v>---</v>
      </c>
      <c r="AC801" s="14" t="str">
        <f>IFERROR(VLOOKUP(CLEAN($V801),'All Security Controls'!$A:$I,9, FALSE),"---")</f>
        <v>---</v>
      </c>
      <c r="AD801" s="26">
        <v>800</v>
      </c>
    </row>
    <row r="802" spans="22:30" ht="15" customHeight="1">
      <c r="V802" s="12"/>
    </row>
    <row r="803" spans="22:30" ht="15" customHeight="1">
      <c r="V803" s="12"/>
    </row>
    <row r="804" spans="22:30" ht="15" customHeight="1">
      <c r="V804" s="12"/>
    </row>
    <row r="805" spans="22:30" ht="15" customHeight="1">
      <c r="V805" s="12"/>
    </row>
    <row r="806" spans="22:30" ht="15" customHeight="1">
      <c r="V806" s="12"/>
    </row>
    <row r="807" spans="22:30" ht="15" customHeight="1">
      <c r="V807" s="12"/>
    </row>
    <row r="808" spans="22:30" ht="15" customHeight="1">
      <c r="V808" s="12"/>
    </row>
    <row r="809" spans="22:30" ht="15" customHeight="1">
      <c r="V809" s="12"/>
    </row>
    <row r="810" spans="22:30" ht="15" customHeight="1">
      <c r="V810" s="12"/>
    </row>
    <row r="811" spans="22:30" ht="15" customHeight="1">
      <c r="V811" s="12"/>
    </row>
    <row r="812" spans="22:30" ht="15" customHeight="1">
      <c r="V812" s="12"/>
    </row>
    <row r="813" spans="22:30" ht="15" customHeight="1">
      <c r="V813" s="12"/>
    </row>
    <row r="814" spans="22:30" ht="15" customHeight="1">
      <c r="V814" s="12"/>
    </row>
    <row r="815" spans="22:30" ht="15" customHeight="1">
      <c r="V815" s="12"/>
    </row>
    <row r="816" spans="22:30" ht="15" customHeight="1">
      <c r="V816" s="12"/>
    </row>
    <row r="817" spans="22:22" ht="15" customHeight="1">
      <c r="V817" s="12"/>
    </row>
    <row r="818" spans="22:22" ht="15" customHeight="1">
      <c r="V818" s="12"/>
    </row>
    <row r="819" spans="22:22" ht="15" customHeight="1">
      <c r="V819" s="12"/>
    </row>
    <row r="820" spans="22:22" ht="15" customHeight="1">
      <c r="V820" s="12"/>
    </row>
    <row r="821" spans="22:22" ht="15" customHeight="1">
      <c r="V821" s="12"/>
    </row>
    <row r="822" spans="22:22" ht="15" customHeight="1">
      <c r="V822" s="12"/>
    </row>
    <row r="823" spans="22:22" ht="15" customHeight="1">
      <c r="V823" s="12"/>
    </row>
    <row r="824" spans="22:22" ht="15" customHeight="1">
      <c r="V824" s="12"/>
    </row>
    <row r="825" spans="22:22" ht="15" customHeight="1">
      <c r="V825" s="12"/>
    </row>
    <row r="826" spans="22:22" ht="15" customHeight="1">
      <c r="V826" s="12"/>
    </row>
    <row r="827" spans="22:22" ht="15" customHeight="1">
      <c r="V827" s="12"/>
    </row>
    <row r="828" spans="22:22" ht="15" customHeight="1">
      <c r="V828" s="12"/>
    </row>
    <row r="829" spans="22:22" ht="15" customHeight="1">
      <c r="V829" s="12"/>
    </row>
    <row r="830" spans="22:22" ht="15" customHeight="1">
      <c r="V830" s="12"/>
    </row>
    <row r="831" spans="22:22" ht="15" customHeight="1">
      <c r="V831" s="12"/>
    </row>
    <row r="832" spans="22:22" ht="15" customHeight="1">
      <c r="V832" s="12"/>
    </row>
    <row r="833" spans="22:22" ht="15" customHeight="1">
      <c r="V833" s="12"/>
    </row>
    <row r="834" spans="22:22" ht="15" customHeight="1">
      <c r="V834" s="12"/>
    </row>
    <row r="835" spans="22:22" ht="15" customHeight="1">
      <c r="V835" s="12"/>
    </row>
    <row r="836" spans="22:22" ht="15" customHeight="1">
      <c r="V836" s="12"/>
    </row>
    <row r="837" spans="22:22" ht="15" customHeight="1">
      <c r="V837" s="12"/>
    </row>
    <row r="838" spans="22:22" ht="15" customHeight="1">
      <c r="V838" s="12"/>
    </row>
    <row r="839" spans="22:22" ht="15" customHeight="1">
      <c r="V839" s="12"/>
    </row>
    <row r="840" spans="22:22" ht="15" customHeight="1">
      <c r="V840" s="12"/>
    </row>
    <row r="841" spans="22:22" ht="15" customHeight="1">
      <c r="V841" s="12"/>
    </row>
    <row r="842" spans="22:22" ht="15" customHeight="1">
      <c r="V842" s="12"/>
    </row>
    <row r="843" spans="22:22" ht="15" customHeight="1">
      <c r="V843" s="12"/>
    </row>
    <row r="844" spans="22:22" ht="15" customHeight="1">
      <c r="V844" s="12"/>
    </row>
    <row r="845" spans="22:22" ht="15" customHeight="1">
      <c r="V845" s="12"/>
    </row>
    <row r="846" spans="22:22" ht="15" customHeight="1">
      <c r="V846" s="12"/>
    </row>
    <row r="847" spans="22:22" ht="15" customHeight="1">
      <c r="V847" s="12"/>
    </row>
    <row r="848" spans="22:22" ht="15" customHeight="1">
      <c r="V848" s="12"/>
    </row>
    <row r="849" spans="22:22" ht="15" customHeight="1">
      <c r="V849" s="12"/>
    </row>
    <row r="850" spans="22:22" ht="15" customHeight="1">
      <c r="V850" s="12"/>
    </row>
    <row r="851" spans="22:22" ht="15" customHeight="1">
      <c r="V851" s="12"/>
    </row>
    <row r="852" spans="22:22" ht="15" customHeight="1">
      <c r="V852" s="12"/>
    </row>
    <row r="853" spans="22:22" ht="15" customHeight="1">
      <c r="V853" s="12"/>
    </row>
    <row r="854" spans="22:22" ht="15" customHeight="1">
      <c r="V854" s="12"/>
    </row>
    <row r="855" spans="22:22" ht="15" customHeight="1">
      <c r="V855" s="12"/>
    </row>
    <row r="856" spans="22:22" ht="15" customHeight="1">
      <c r="V856" s="12"/>
    </row>
    <row r="857" spans="22:22" ht="15" customHeight="1">
      <c r="V857" s="12"/>
    </row>
    <row r="858" spans="22:22" ht="15" customHeight="1">
      <c r="V858" s="12"/>
    </row>
    <row r="859" spans="22:22" ht="15" customHeight="1">
      <c r="V859" s="12"/>
    </row>
    <row r="860" spans="22:22" ht="15" customHeight="1">
      <c r="V860" s="12"/>
    </row>
    <row r="861" spans="22:22" ht="15" customHeight="1">
      <c r="V861" s="12"/>
    </row>
    <row r="862" spans="22:22" ht="15" customHeight="1">
      <c r="V862" s="12"/>
    </row>
    <row r="863" spans="22:22" ht="15" customHeight="1">
      <c r="V863" s="12"/>
    </row>
    <row r="864" spans="22:22" ht="15" customHeight="1">
      <c r="V864" s="12"/>
    </row>
    <row r="865" spans="22:22" ht="15" customHeight="1">
      <c r="V865" s="12"/>
    </row>
    <row r="866" spans="22:22" ht="15" customHeight="1">
      <c r="V866" s="12"/>
    </row>
    <row r="867" spans="22:22" ht="15" customHeight="1">
      <c r="V867" s="12"/>
    </row>
    <row r="868" spans="22:22" ht="15" customHeight="1">
      <c r="V868" s="12"/>
    </row>
    <row r="869" spans="22:22" ht="15" customHeight="1">
      <c r="V869" s="12"/>
    </row>
    <row r="870" spans="22:22" ht="15" customHeight="1">
      <c r="V870" s="12"/>
    </row>
    <row r="871" spans="22:22" ht="15" customHeight="1">
      <c r="V871" s="12"/>
    </row>
    <row r="872" spans="22:22" ht="15" customHeight="1">
      <c r="V872" s="12"/>
    </row>
    <row r="873" spans="22:22" ht="15" customHeight="1">
      <c r="V873" s="12"/>
    </row>
    <row r="874" spans="22:22" ht="15" customHeight="1">
      <c r="V874" s="12"/>
    </row>
    <row r="875" spans="22:22" ht="15" customHeight="1">
      <c r="V875" s="12"/>
    </row>
    <row r="876" spans="22:22" ht="15" customHeight="1">
      <c r="V876" s="12"/>
    </row>
    <row r="877" spans="22:22" ht="15" customHeight="1">
      <c r="V877" s="12"/>
    </row>
    <row r="878" spans="22:22" ht="15" customHeight="1">
      <c r="V878" s="12"/>
    </row>
    <row r="879" spans="22:22" ht="15" customHeight="1">
      <c r="V879" s="12"/>
    </row>
    <row r="880" spans="22:22" ht="15" customHeight="1">
      <c r="V880" s="12"/>
    </row>
    <row r="881" spans="22:22" ht="15" customHeight="1">
      <c r="V881" s="12"/>
    </row>
    <row r="882" spans="22:22" ht="15" customHeight="1">
      <c r="V882" s="12"/>
    </row>
    <row r="883" spans="22:22" ht="15" customHeight="1">
      <c r="V883" s="12"/>
    </row>
    <row r="884" spans="22:22" ht="15" customHeight="1">
      <c r="V884" s="12"/>
    </row>
    <row r="885" spans="22:22" ht="15" customHeight="1">
      <c r="V885" s="12"/>
    </row>
    <row r="886" spans="22:22" ht="15" customHeight="1">
      <c r="V886" s="12"/>
    </row>
    <row r="887" spans="22:22" ht="15" customHeight="1">
      <c r="V887" s="12"/>
    </row>
    <row r="888" spans="22:22" ht="15" customHeight="1">
      <c r="V888" s="12"/>
    </row>
    <row r="889" spans="22:22" ht="15" customHeight="1">
      <c r="V889" s="12"/>
    </row>
    <row r="890" spans="22:22" ht="15" customHeight="1">
      <c r="V890" s="12"/>
    </row>
    <row r="891" spans="22:22" ht="15" customHeight="1">
      <c r="V891" s="12"/>
    </row>
    <row r="892" spans="22:22" ht="15" customHeight="1">
      <c r="V892" s="12"/>
    </row>
    <row r="893" spans="22:22" ht="15" customHeight="1">
      <c r="V893" s="12"/>
    </row>
    <row r="894" spans="22:22" ht="15" customHeight="1">
      <c r="V894" s="12"/>
    </row>
    <row r="895" spans="22:22" ht="15" customHeight="1">
      <c r="V895" s="12"/>
    </row>
    <row r="896" spans="22:22" ht="15" customHeight="1">
      <c r="V896" s="12"/>
    </row>
    <row r="897" spans="22:22" ht="15" customHeight="1">
      <c r="V897" s="12"/>
    </row>
    <row r="898" spans="22:22" ht="15" customHeight="1">
      <c r="V898" s="12"/>
    </row>
    <row r="899" spans="22:22" ht="15" customHeight="1">
      <c r="V899" s="12"/>
    </row>
    <row r="900" spans="22:22" ht="15" customHeight="1">
      <c r="V900" s="12"/>
    </row>
    <row r="901" spans="22:22" ht="15" customHeight="1">
      <c r="V901" s="12"/>
    </row>
    <row r="902" spans="22:22" ht="15" customHeight="1">
      <c r="V902" s="12"/>
    </row>
    <row r="903" spans="22:22" ht="15" customHeight="1">
      <c r="V903" s="12"/>
    </row>
    <row r="904" spans="22:22" ht="15" customHeight="1">
      <c r="V904" s="12"/>
    </row>
    <row r="905" spans="22:22" ht="15" customHeight="1">
      <c r="V905" s="12"/>
    </row>
    <row r="906" spans="22:22" ht="15" customHeight="1">
      <c r="V906" s="12"/>
    </row>
    <row r="907" spans="22:22" ht="15" customHeight="1">
      <c r="V907" s="12"/>
    </row>
    <row r="908" spans="22:22" ht="15" customHeight="1">
      <c r="V908" s="12"/>
    </row>
    <row r="909" spans="22:22" ht="15" customHeight="1">
      <c r="V909" s="12"/>
    </row>
    <row r="910" spans="22:22" ht="15" customHeight="1">
      <c r="V910" s="12"/>
    </row>
    <row r="911" spans="22:22" ht="15" customHeight="1">
      <c r="V911" s="12"/>
    </row>
    <row r="912" spans="22:22" ht="15" customHeight="1">
      <c r="V912" s="12"/>
    </row>
    <row r="913" spans="22:22" ht="15" customHeight="1">
      <c r="V913" s="12"/>
    </row>
    <row r="914" spans="22:22" ht="15" customHeight="1">
      <c r="V914" s="12"/>
    </row>
    <row r="915" spans="22:22" ht="15" customHeight="1">
      <c r="V915" s="12"/>
    </row>
    <row r="916" spans="22:22" ht="15" customHeight="1">
      <c r="V916" s="12"/>
    </row>
    <row r="917" spans="22:22" ht="15" customHeight="1">
      <c r="V917" s="12"/>
    </row>
    <row r="918" spans="22:22" ht="15" customHeight="1">
      <c r="V918" s="12"/>
    </row>
    <row r="919" spans="22:22" ht="15" customHeight="1">
      <c r="V919" s="12"/>
    </row>
    <row r="920" spans="22:22" ht="15" customHeight="1">
      <c r="V920" s="12"/>
    </row>
    <row r="921" spans="22:22" ht="15" customHeight="1">
      <c r="V921" s="12"/>
    </row>
    <row r="922" spans="22:22" ht="15" customHeight="1">
      <c r="V922" s="12"/>
    </row>
    <row r="923" spans="22:22" ht="15" customHeight="1">
      <c r="V923" s="12"/>
    </row>
    <row r="924" spans="22:22" ht="15" customHeight="1">
      <c r="V924" s="12"/>
    </row>
    <row r="925" spans="22:22" ht="15" customHeight="1">
      <c r="V925" s="12"/>
    </row>
    <row r="926" spans="22:22" ht="15" customHeight="1">
      <c r="V926" s="12"/>
    </row>
    <row r="927" spans="22:22" ht="15" customHeight="1">
      <c r="V927" s="12"/>
    </row>
    <row r="928" spans="22:22" ht="15" customHeight="1">
      <c r="V928" s="12"/>
    </row>
    <row r="929" spans="22:22" ht="15" customHeight="1">
      <c r="V929" s="12"/>
    </row>
    <row r="930" spans="22:22" ht="15" customHeight="1">
      <c r="V930" s="12"/>
    </row>
    <row r="931" spans="22:22" ht="15" customHeight="1">
      <c r="V931" s="12"/>
    </row>
    <row r="932" spans="22:22" ht="15" customHeight="1">
      <c r="V932" s="12"/>
    </row>
    <row r="933" spans="22:22" ht="15" customHeight="1">
      <c r="V933" s="12"/>
    </row>
    <row r="934" spans="22:22" ht="15" customHeight="1">
      <c r="V934" s="12"/>
    </row>
    <row r="935" spans="22:22" ht="15" customHeight="1">
      <c r="V935" s="12"/>
    </row>
    <row r="936" spans="22:22" ht="15" customHeight="1">
      <c r="V936" s="12"/>
    </row>
    <row r="937" spans="22:22" ht="15" customHeight="1">
      <c r="V937" s="12"/>
    </row>
    <row r="938" spans="22:22" ht="15" customHeight="1">
      <c r="V938" s="12"/>
    </row>
    <row r="939" spans="22:22" ht="15" customHeight="1">
      <c r="V939" s="12"/>
    </row>
    <row r="940" spans="22:22" ht="15" customHeight="1">
      <c r="V940" s="12"/>
    </row>
    <row r="941" spans="22:22" ht="15" customHeight="1">
      <c r="V941" s="12"/>
    </row>
    <row r="942" spans="22:22" ht="15" customHeight="1">
      <c r="V942" s="12"/>
    </row>
    <row r="943" spans="22:22" ht="15" customHeight="1">
      <c r="V943" s="12"/>
    </row>
    <row r="944" spans="22:22" ht="15" customHeight="1">
      <c r="V944" s="12"/>
    </row>
    <row r="945" spans="22:22" ht="15" customHeight="1">
      <c r="V945" s="12"/>
    </row>
    <row r="946" spans="22:22" ht="15" customHeight="1">
      <c r="V946" s="12"/>
    </row>
    <row r="947" spans="22:22" ht="15" customHeight="1">
      <c r="V947" s="12"/>
    </row>
    <row r="948" spans="22:22" ht="15" customHeight="1">
      <c r="V948" s="12"/>
    </row>
    <row r="949" spans="22:22" ht="15" customHeight="1">
      <c r="V949" s="12"/>
    </row>
    <row r="950" spans="22:22" ht="15" customHeight="1">
      <c r="V950" s="12"/>
    </row>
    <row r="951" spans="22:22" ht="15" customHeight="1">
      <c r="V951" s="12"/>
    </row>
    <row r="952" spans="22:22" ht="15" customHeight="1">
      <c r="V952" s="12"/>
    </row>
    <row r="953" spans="22:22" ht="15" customHeight="1">
      <c r="V953" s="12"/>
    </row>
    <row r="954" spans="22:22" ht="15" customHeight="1">
      <c r="V954" s="12"/>
    </row>
    <row r="955" spans="22:22" ht="15" customHeight="1">
      <c r="V955" s="12"/>
    </row>
    <row r="956" spans="22:22" ht="15" customHeight="1">
      <c r="V956" s="12"/>
    </row>
    <row r="957" spans="22:22" ht="15" customHeight="1">
      <c r="V957" s="12"/>
    </row>
    <row r="958" spans="22:22" ht="15" customHeight="1">
      <c r="V958" s="12"/>
    </row>
    <row r="959" spans="22:22" ht="15" customHeight="1">
      <c r="V959" s="12"/>
    </row>
    <row r="960" spans="22:22" ht="15" customHeight="1">
      <c r="V960" s="12"/>
    </row>
    <row r="961" spans="22:22" ht="15" customHeight="1">
      <c r="V961" s="12"/>
    </row>
    <row r="962" spans="22:22" ht="15" customHeight="1">
      <c r="V962" s="12"/>
    </row>
    <row r="963" spans="22:22" ht="15" customHeight="1">
      <c r="V963" s="12"/>
    </row>
    <row r="964" spans="22:22" ht="15" customHeight="1">
      <c r="V964" s="12"/>
    </row>
    <row r="965" spans="22:22" ht="15" customHeight="1">
      <c r="V965" s="12"/>
    </row>
    <row r="966" spans="22:22" ht="15" customHeight="1">
      <c r="V966" s="12"/>
    </row>
    <row r="967" spans="22:22" ht="15" customHeight="1">
      <c r="V967" s="12"/>
    </row>
    <row r="968" spans="22:22" ht="15" customHeight="1">
      <c r="V968" s="12"/>
    </row>
    <row r="969" spans="22:22" ht="15" customHeight="1">
      <c r="V969" s="12"/>
    </row>
    <row r="970" spans="22:22" ht="15" customHeight="1">
      <c r="V970" s="12"/>
    </row>
    <row r="971" spans="22:22" ht="15" customHeight="1">
      <c r="V971" s="12"/>
    </row>
    <row r="972" spans="22:22" ht="15" customHeight="1">
      <c r="V972" s="12"/>
    </row>
    <row r="973" spans="22:22" ht="15" customHeight="1">
      <c r="V973" s="12"/>
    </row>
    <row r="974" spans="22:22" ht="15" customHeight="1">
      <c r="V974" s="12"/>
    </row>
    <row r="975" spans="22:22" ht="15" customHeight="1">
      <c r="V975" s="12"/>
    </row>
    <row r="976" spans="22:22" ht="15" customHeight="1">
      <c r="V976" s="12"/>
    </row>
    <row r="977" spans="22:22" ht="15" customHeight="1">
      <c r="V977" s="12"/>
    </row>
    <row r="978" spans="22:22" ht="15" customHeight="1">
      <c r="V978" s="12"/>
    </row>
    <row r="979" spans="22:22" ht="15" customHeight="1">
      <c r="V979" s="12"/>
    </row>
    <row r="980" spans="22:22" ht="15" customHeight="1">
      <c r="V980" s="12"/>
    </row>
    <row r="981" spans="22:22" ht="15" customHeight="1">
      <c r="V981" s="12"/>
    </row>
    <row r="982" spans="22:22" ht="15" customHeight="1">
      <c r="V982" s="12"/>
    </row>
    <row r="983" spans="22:22" ht="15" customHeight="1">
      <c r="V983" s="12"/>
    </row>
    <row r="984" spans="22:22" ht="15" customHeight="1">
      <c r="V984" s="12"/>
    </row>
    <row r="985" spans="22:22" ht="15" customHeight="1">
      <c r="V985" s="12"/>
    </row>
    <row r="986" spans="22:22" ht="15" customHeight="1">
      <c r="V986" s="12"/>
    </row>
    <row r="987" spans="22:22" ht="15" customHeight="1">
      <c r="V987" s="12"/>
    </row>
    <row r="988" spans="22:22" ht="15" customHeight="1">
      <c r="V988" s="12"/>
    </row>
    <row r="989" spans="22:22" ht="15" customHeight="1">
      <c r="V989" s="12"/>
    </row>
    <row r="990" spans="22:22" ht="15" customHeight="1">
      <c r="V990" s="12"/>
    </row>
    <row r="991" spans="22:22" ht="15" customHeight="1">
      <c r="V991" s="12"/>
    </row>
    <row r="992" spans="22:22" ht="15" customHeight="1">
      <c r="V992" s="12"/>
    </row>
    <row r="993" spans="22:22" ht="15" customHeight="1">
      <c r="V993" s="12"/>
    </row>
    <row r="994" spans="22:22" ht="15" customHeight="1">
      <c r="V994" s="12"/>
    </row>
    <row r="995" spans="22:22" ht="15" customHeight="1">
      <c r="V995" s="12"/>
    </row>
    <row r="996" spans="22:22" ht="15" customHeight="1">
      <c r="V996" s="12"/>
    </row>
    <row r="997" spans="22:22" ht="15" customHeight="1">
      <c r="V997" s="12"/>
    </row>
    <row r="998" spans="22:22" ht="15" customHeight="1">
      <c r="V998" s="12"/>
    </row>
    <row r="999" spans="22:22" ht="15" customHeight="1">
      <c r="V999" s="12"/>
    </row>
    <row r="1000" spans="22:22" ht="15" customHeight="1">
      <c r="V1000" s="12"/>
    </row>
    <row r="1001" spans="22:22" ht="15" customHeight="1">
      <c r="V1001" s="12"/>
    </row>
    <row r="1002" spans="22:22" ht="15" customHeight="1">
      <c r="V1002" s="12"/>
    </row>
    <row r="1003" spans="22:22" ht="15" customHeight="1">
      <c r="V1003" s="12"/>
    </row>
    <row r="1004" spans="22:22" ht="15" customHeight="1">
      <c r="V1004" s="12"/>
    </row>
    <row r="1005" spans="22:22" ht="15" customHeight="1">
      <c r="V1005" s="12"/>
    </row>
    <row r="1006" spans="22:22" ht="15" customHeight="1">
      <c r="V1006" s="12"/>
    </row>
    <row r="1007" spans="22:22" ht="15" customHeight="1">
      <c r="V1007" s="12"/>
    </row>
    <row r="1008" spans="22:22" ht="15" customHeight="1">
      <c r="V1008" s="12"/>
    </row>
    <row r="1009" spans="22:22" ht="15" customHeight="1">
      <c r="V1009" s="12"/>
    </row>
    <row r="1010" spans="22:22" ht="15" customHeight="1">
      <c r="V1010" s="12"/>
    </row>
    <row r="1011" spans="22:22" ht="15" customHeight="1">
      <c r="V1011" s="12"/>
    </row>
    <row r="1012" spans="22:22" ht="15" customHeight="1">
      <c r="V1012" s="12"/>
    </row>
    <row r="1013" spans="22:22" ht="15" customHeight="1">
      <c r="V1013" s="12"/>
    </row>
    <row r="1014" spans="22:22" ht="15" customHeight="1">
      <c r="V1014" s="12"/>
    </row>
    <row r="1015" spans="22:22" ht="15" customHeight="1">
      <c r="V1015" s="12"/>
    </row>
    <row r="1016" spans="22:22" ht="15" customHeight="1">
      <c r="V1016" s="12"/>
    </row>
    <row r="1017" spans="22:22" ht="15" customHeight="1">
      <c r="V1017" s="12"/>
    </row>
    <row r="1018" spans="22:22" ht="15" customHeight="1">
      <c r="V1018" s="12"/>
    </row>
    <row r="1019" spans="22:22" ht="15" customHeight="1">
      <c r="V1019" s="12"/>
    </row>
    <row r="1020" spans="22:22" ht="15" customHeight="1">
      <c r="V1020" s="12"/>
    </row>
    <row r="1021" spans="22:22" ht="15" customHeight="1">
      <c r="V1021" s="12"/>
    </row>
    <row r="1022" spans="22:22" ht="15" customHeight="1">
      <c r="V1022" s="12"/>
    </row>
    <row r="1023" spans="22:22" ht="15" customHeight="1">
      <c r="V1023" s="12"/>
    </row>
    <row r="1024" spans="22:22" ht="15" customHeight="1">
      <c r="V1024" s="12"/>
    </row>
    <row r="1025" spans="22:22" ht="15" customHeight="1">
      <c r="V1025" s="12"/>
    </row>
    <row r="1026" spans="22:22" ht="15" customHeight="1">
      <c r="V1026" s="12"/>
    </row>
    <row r="1027" spans="22:22" ht="15" customHeight="1">
      <c r="V1027" s="12"/>
    </row>
    <row r="1028" spans="22:22" ht="15" customHeight="1">
      <c r="V1028" s="12"/>
    </row>
    <row r="1029" spans="22:22" ht="15" customHeight="1">
      <c r="V1029" s="12"/>
    </row>
    <row r="1030" spans="22:22" ht="15" customHeight="1">
      <c r="V1030" s="12"/>
    </row>
    <row r="1031" spans="22:22" ht="15" customHeight="1">
      <c r="V1031" s="12"/>
    </row>
    <row r="1032" spans="22:22" ht="15" customHeight="1">
      <c r="V1032" s="12"/>
    </row>
    <row r="1033" spans="22:22" ht="15" customHeight="1">
      <c r="V1033" s="12"/>
    </row>
    <row r="1034" spans="22:22" ht="15" customHeight="1">
      <c r="V1034" s="12"/>
    </row>
    <row r="1035" spans="22:22" ht="15" customHeight="1">
      <c r="V1035" s="12"/>
    </row>
    <row r="1036" spans="22:22" ht="15" customHeight="1">
      <c r="V1036" s="12"/>
    </row>
    <row r="1037" spans="22:22" ht="15" customHeight="1">
      <c r="V1037" s="12"/>
    </row>
    <row r="1038" spans="22:22" ht="15" customHeight="1">
      <c r="V1038" s="12"/>
    </row>
    <row r="1039" spans="22:22" ht="15" customHeight="1">
      <c r="V1039" s="12"/>
    </row>
    <row r="1040" spans="22:22" ht="15" customHeight="1">
      <c r="V1040" s="12"/>
    </row>
    <row r="1041" spans="22:22" ht="15" customHeight="1">
      <c r="V1041" s="12"/>
    </row>
    <row r="1042" spans="22:22" ht="15" customHeight="1">
      <c r="V1042" s="12"/>
    </row>
    <row r="1043" spans="22:22" ht="15" customHeight="1">
      <c r="V1043" s="12"/>
    </row>
    <row r="1044" spans="22:22" ht="15" customHeight="1">
      <c r="V1044" s="12"/>
    </row>
    <row r="1045" spans="22:22" ht="15" customHeight="1">
      <c r="V1045" s="12"/>
    </row>
    <row r="1046" spans="22:22" ht="15" customHeight="1">
      <c r="V1046" s="12"/>
    </row>
    <row r="1047" spans="22:22" ht="15" customHeight="1">
      <c r="V1047" s="12"/>
    </row>
    <row r="1048" spans="22:22" ht="15" customHeight="1">
      <c r="V1048" s="12"/>
    </row>
    <row r="1049" spans="22:22" ht="15" customHeight="1">
      <c r="V1049" s="12"/>
    </row>
    <row r="1050" spans="22:22" ht="15" customHeight="1">
      <c r="V1050" s="12"/>
    </row>
    <row r="1051" spans="22:22" ht="15" customHeight="1">
      <c r="V1051" s="12"/>
    </row>
    <row r="1052" spans="22:22" ht="15" customHeight="1">
      <c r="V1052" s="12"/>
    </row>
    <row r="1053" spans="22:22" ht="15" customHeight="1">
      <c r="V1053" s="12"/>
    </row>
    <row r="1054" spans="22:22" ht="15" customHeight="1">
      <c r="V1054" s="12"/>
    </row>
    <row r="1055" spans="22:22" ht="15" customHeight="1">
      <c r="V1055" s="12"/>
    </row>
    <row r="1056" spans="22:22" ht="15" customHeight="1">
      <c r="V1056" s="12"/>
    </row>
    <row r="1057" spans="22:22" ht="15" customHeight="1">
      <c r="V1057" s="12"/>
    </row>
    <row r="1058" spans="22:22" ht="15" customHeight="1">
      <c r="V1058" s="12"/>
    </row>
    <row r="1059" spans="22:22" ht="15" customHeight="1">
      <c r="V1059" s="12"/>
    </row>
    <row r="1060" spans="22:22" ht="15" customHeight="1">
      <c r="V1060" s="12"/>
    </row>
    <row r="1061" spans="22:22" ht="15" customHeight="1">
      <c r="V1061" s="12"/>
    </row>
    <row r="1062" spans="22:22" ht="15" customHeight="1">
      <c r="V1062" s="12"/>
    </row>
    <row r="1063" spans="22:22" ht="15" customHeight="1">
      <c r="V1063" s="12"/>
    </row>
    <row r="1064" spans="22:22" ht="15" customHeight="1">
      <c r="V1064" s="12"/>
    </row>
    <row r="1065" spans="22:22" ht="15" customHeight="1">
      <c r="V1065" s="12"/>
    </row>
    <row r="1066" spans="22:22" ht="15" customHeight="1">
      <c r="V1066" s="12"/>
    </row>
    <row r="1067" spans="22:22" ht="15" customHeight="1">
      <c r="V1067" s="12"/>
    </row>
    <row r="1068" spans="22:22" ht="15" customHeight="1">
      <c r="V1068" s="12"/>
    </row>
    <row r="1069" spans="22:22" ht="15" customHeight="1">
      <c r="V1069" s="12"/>
    </row>
    <row r="1070" spans="22:22" ht="15" customHeight="1">
      <c r="V1070" s="12"/>
    </row>
    <row r="1071" spans="22:22" ht="15" customHeight="1">
      <c r="V1071" s="12"/>
    </row>
    <row r="1072" spans="22:22" ht="15" customHeight="1">
      <c r="V1072" s="12"/>
    </row>
    <row r="1073" spans="22:22" ht="15" customHeight="1">
      <c r="V1073" s="12"/>
    </row>
    <row r="1074" spans="22:22" ht="15" customHeight="1">
      <c r="V1074" s="12"/>
    </row>
    <row r="1075" spans="22:22" ht="15" customHeight="1">
      <c r="V1075" s="12"/>
    </row>
    <row r="1076" spans="22:22" ht="15" customHeight="1">
      <c r="V1076" s="12"/>
    </row>
    <row r="1077" spans="22:22" ht="15" customHeight="1">
      <c r="V1077" s="12"/>
    </row>
    <row r="1078" spans="22:22" ht="15" customHeight="1">
      <c r="V1078" s="12"/>
    </row>
    <row r="1079" spans="22:22" ht="15" customHeight="1">
      <c r="V1079" s="12"/>
    </row>
    <row r="1080" spans="22:22" ht="15" customHeight="1">
      <c r="V1080" s="12"/>
    </row>
    <row r="1081" spans="22:22" ht="15" customHeight="1">
      <c r="V1081" s="12"/>
    </row>
    <row r="1082" spans="22:22" ht="15" customHeight="1">
      <c r="V1082" s="12"/>
    </row>
    <row r="1083" spans="22:22" ht="15" customHeight="1">
      <c r="V1083" s="12"/>
    </row>
    <row r="1084" spans="22:22" ht="15" customHeight="1">
      <c r="V1084" s="12"/>
    </row>
    <row r="1085" spans="22:22" ht="15" customHeight="1">
      <c r="V1085" s="12"/>
    </row>
    <row r="1086" spans="22:22" ht="15" customHeight="1">
      <c r="V1086" s="12"/>
    </row>
    <row r="1087" spans="22:22" ht="15" customHeight="1">
      <c r="V1087" s="12"/>
    </row>
    <row r="1088" spans="22:22" ht="15" customHeight="1">
      <c r="V1088" s="12"/>
    </row>
    <row r="1089" spans="22:22" ht="15" customHeight="1">
      <c r="V1089" s="12"/>
    </row>
    <row r="1090" spans="22:22" ht="15" customHeight="1">
      <c r="V1090" s="12"/>
    </row>
    <row r="1091" spans="22:22" ht="15" customHeight="1">
      <c r="V1091" s="12"/>
    </row>
    <row r="1092" spans="22:22" ht="15" customHeight="1">
      <c r="V1092" s="12"/>
    </row>
    <row r="1093" spans="22:22" ht="15" customHeight="1">
      <c r="V1093" s="12"/>
    </row>
    <row r="1094" spans="22:22" ht="15" customHeight="1">
      <c r="V1094" s="12"/>
    </row>
    <row r="1095" spans="22:22" ht="15" customHeight="1">
      <c r="V1095" s="12"/>
    </row>
    <row r="1096" spans="22:22" ht="15" customHeight="1">
      <c r="V1096" s="12"/>
    </row>
    <row r="1097" spans="22:22" ht="15" customHeight="1">
      <c r="V1097" s="12"/>
    </row>
    <row r="1098" spans="22:22" ht="15" customHeight="1">
      <c r="V1098" s="12"/>
    </row>
    <row r="1099" spans="22:22" ht="15" customHeight="1">
      <c r="V1099" s="12"/>
    </row>
    <row r="1100" spans="22:22" ht="15" customHeight="1">
      <c r="V1100" s="12"/>
    </row>
    <row r="1101" spans="22:22" ht="15" customHeight="1">
      <c r="V1101" s="12"/>
    </row>
    <row r="1102" spans="22:22" ht="15" customHeight="1">
      <c r="V1102" s="12"/>
    </row>
    <row r="1103" spans="22:22" ht="15" customHeight="1">
      <c r="V1103" s="12"/>
    </row>
    <row r="1104" spans="22:22" ht="15" customHeight="1">
      <c r="V1104" s="12"/>
    </row>
    <row r="1105" spans="22:22" ht="15" customHeight="1">
      <c r="V1105" s="12"/>
    </row>
    <row r="1106" spans="22:22" ht="15" customHeight="1">
      <c r="V1106" s="12"/>
    </row>
    <row r="1107" spans="22:22" ht="15" customHeight="1">
      <c r="V1107" s="12"/>
    </row>
    <row r="1108" spans="22:22" ht="15" customHeight="1">
      <c r="V1108" s="12"/>
    </row>
    <row r="1109" spans="22:22" ht="15" customHeight="1">
      <c r="V1109" s="12"/>
    </row>
    <row r="1110" spans="22:22" ht="15" customHeight="1">
      <c r="V1110" s="12"/>
    </row>
    <row r="1111" spans="22:22" ht="15" customHeight="1">
      <c r="V1111" s="12"/>
    </row>
    <row r="1112" spans="22:22" ht="15" customHeight="1">
      <c r="V1112" s="12"/>
    </row>
    <row r="1113" spans="22:22" ht="15" customHeight="1">
      <c r="V1113" s="12"/>
    </row>
    <row r="1114" spans="22:22" ht="15" customHeight="1">
      <c r="V1114" s="12"/>
    </row>
    <row r="1115" spans="22:22" ht="15" customHeight="1">
      <c r="V1115" s="12"/>
    </row>
    <row r="1116" spans="22:22" ht="15" customHeight="1">
      <c r="V1116" s="12"/>
    </row>
    <row r="1117" spans="22:22" ht="15" customHeight="1">
      <c r="V1117" s="12"/>
    </row>
    <row r="1118" spans="22:22" ht="15" customHeight="1">
      <c r="V1118" s="12"/>
    </row>
    <row r="1119" spans="22:22" ht="15" customHeight="1">
      <c r="V1119" s="12"/>
    </row>
    <row r="1120" spans="22:22" ht="15" customHeight="1">
      <c r="V1120" s="12"/>
    </row>
    <row r="1121" spans="22:22" ht="15" customHeight="1">
      <c r="V1121" s="12"/>
    </row>
    <row r="1122" spans="22:22" ht="15" customHeight="1">
      <c r="V1122" s="12"/>
    </row>
    <row r="1123" spans="22:22" ht="15" customHeight="1">
      <c r="V1123" s="12"/>
    </row>
    <row r="1124" spans="22:22" ht="15" customHeight="1">
      <c r="V1124" s="12"/>
    </row>
    <row r="1125" spans="22:22" ht="15" customHeight="1">
      <c r="V1125" s="12"/>
    </row>
    <row r="1126" spans="22:22" ht="15" customHeight="1">
      <c r="V1126" s="12"/>
    </row>
    <row r="1127" spans="22:22" ht="15" customHeight="1">
      <c r="V1127" s="12"/>
    </row>
    <row r="1128" spans="22:22" ht="15" customHeight="1">
      <c r="V1128" s="12"/>
    </row>
    <row r="1129" spans="22:22" ht="15" customHeight="1">
      <c r="V1129" s="12"/>
    </row>
    <row r="1130" spans="22:22" ht="15" customHeight="1">
      <c r="V1130" s="12"/>
    </row>
    <row r="1131" spans="22:22" ht="15" customHeight="1">
      <c r="V1131" s="12"/>
    </row>
    <row r="1132" spans="22:22" ht="15" customHeight="1">
      <c r="V1132" s="12"/>
    </row>
    <row r="1133" spans="22:22" ht="15" customHeight="1">
      <c r="V1133" s="12"/>
    </row>
    <row r="1134" spans="22:22" ht="15" customHeight="1">
      <c r="V1134" s="12"/>
    </row>
    <row r="1135" spans="22:22" ht="15" customHeight="1">
      <c r="V1135" s="12"/>
    </row>
    <row r="1136" spans="22:22" ht="15" customHeight="1">
      <c r="V1136" s="12"/>
    </row>
    <row r="1137" spans="22:22" ht="15" customHeight="1">
      <c r="V1137" s="12"/>
    </row>
    <row r="1138" spans="22:22" ht="15" customHeight="1">
      <c r="V1138" s="12"/>
    </row>
    <row r="1139" spans="22:22" ht="15" customHeight="1">
      <c r="V1139" s="12"/>
    </row>
    <row r="1140" spans="22:22" ht="15" customHeight="1">
      <c r="V1140" s="12"/>
    </row>
    <row r="1141" spans="22:22" ht="15" customHeight="1">
      <c r="V1141" s="12"/>
    </row>
    <row r="1142" spans="22:22" ht="15" customHeight="1">
      <c r="V1142" s="12"/>
    </row>
    <row r="1143" spans="22:22" ht="15" customHeight="1">
      <c r="V1143" s="12"/>
    </row>
    <row r="1144" spans="22:22" ht="15" customHeight="1">
      <c r="V1144" s="12"/>
    </row>
    <row r="1145" spans="22:22" ht="15" customHeight="1">
      <c r="V1145" s="12"/>
    </row>
    <row r="1146" spans="22:22" ht="15" customHeight="1">
      <c r="V1146" s="12"/>
    </row>
    <row r="1147" spans="22:22" ht="15" customHeight="1">
      <c r="V1147" s="12"/>
    </row>
    <row r="1148" spans="22:22" ht="15" customHeight="1">
      <c r="V1148" s="12"/>
    </row>
    <row r="1149" spans="22:22" ht="15" customHeight="1">
      <c r="V1149" s="12"/>
    </row>
    <row r="1150" spans="22:22" ht="15" customHeight="1">
      <c r="V1150" s="12"/>
    </row>
    <row r="1151" spans="22:22" ht="15" customHeight="1">
      <c r="V1151" s="12"/>
    </row>
    <row r="1152" spans="22:22" ht="15" customHeight="1">
      <c r="V1152" s="12"/>
    </row>
    <row r="1153" spans="22:22" ht="15" customHeight="1">
      <c r="V1153" s="12"/>
    </row>
    <row r="1154" spans="22:22" ht="15" customHeight="1">
      <c r="V1154" s="12"/>
    </row>
    <row r="1155" spans="22:22" ht="15" customHeight="1">
      <c r="V1155" s="12"/>
    </row>
    <row r="1156" spans="22:22" ht="15" customHeight="1">
      <c r="V1156" s="12"/>
    </row>
    <row r="1157" spans="22:22" ht="15" customHeight="1">
      <c r="V1157" s="12"/>
    </row>
    <row r="1158" spans="22:22" ht="15" customHeight="1">
      <c r="V1158" s="12"/>
    </row>
    <row r="1159" spans="22:22" ht="15" customHeight="1">
      <c r="V1159" s="12"/>
    </row>
    <row r="1160" spans="22:22" ht="15" customHeight="1">
      <c r="V1160" s="12"/>
    </row>
    <row r="1161" spans="22:22" ht="15" customHeight="1">
      <c r="V1161" s="12"/>
    </row>
    <row r="1162" spans="22:22" ht="15" customHeight="1">
      <c r="V1162" s="12"/>
    </row>
    <row r="1163" spans="22:22" ht="15" customHeight="1">
      <c r="V1163" s="12"/>
    </row>
    <row r="1164" spans="22:22" ht="15" customHeight="1">
      <c r="V1164" s="12"/>
    </row>
    <row r="1165" spans="22:22" ht="15" customHeight="1">
      <c r="V1165" s="12"/>
    </row>
    <row r="1166" spans="22:22" ht="15" customHeight="1">
      <c r="V1166" s="12"/>
    </row>
    <row r="1167" spans="22:22" ht="15" customHeight="1">
      <c r="V1167" s="12"/>
    </row>
    <row r="1168" spans="22:22" ht="15" customHeight="1">
      <c r="V1168" s="12"/>
    </row>
    <row r="1169" spans="22:22" ht="15" customHeight="1">
      <c r="V1169" s="12"/>
    </row>
    <row r="1170" spans="22:22" ht="15" customHeight="1">
      <c r="V1170" s="12"/>
    </row>
    <row r="1171" spans="22:22" ht="15" customHeight="1">
      <c r="V1171" s="12"/>
    </row>
    <row r="1172" spans="22:22" ht="15" customHeight="1">
      <c r="V1172" s="12"/>
    </row>
    <row r="1173" spans="22:22" ht="15" customHeight="1">
      <c r="V1173" s="12"/>
    </row>
    <row r="1174" spans="22:22" ht="15" customHeight="1">
      <c r="V1174" s="12"/>
    </row>
    <row r="1175" spans="22:22" ht="15" customHeight="1">
      <c r="V1175" s="12"/>
    </row>
    <row r="1176" spans="22:22" ht="15" customHeight="1">
      <c r="V1176" s="12"/>
    </row>
    <row r="1177" spans="22:22" ht="15" customHeight="1">
      <c r="V1177" s="12"/>
    </row>
    <row r="1178" spans="22:22" ht="15" customHeight="1">
      <c r="V1178" s="12"/>
    </row>
    <row r="1179" spans="22:22" ht="15" customHeight="1">
      <c r="V1179" s="12"/>
    </row>
    <row r="1180" spans="22:22" ht="15" customHeight="1">
      <c r="V1180" s="12"/>
    </row>
    <row r="1181" spans="22:22" ht="15" customHeight="1">
      <c r="V1181" s="12"/>
    </row>
    <row r="1182" spans="22:22" ht="15" customHeight="1">
      <c r="V1182" s="12"/>
    </row>
    <row r="1183" spans="22:22" ht="15" customHeight="1">
      <c r="V1183" s="12"/>
    </row>
    <row r="1184" spans="22:22" ht="15" customHeight="1">
      <c r="V1184" s="12"/>
    </row>
    <row r="1185" spans="22:22" ht="15" customHeight="1">
      <c r="V1185" s="12"/>
    </row>
    <row r="1186" spans="22:22" ht="15" customHeight="1">
      <c r="V1186" s="12"/>
    </row>
    <row r="1187" spans="22:22" ht="15" customHeight="1">
      <c r="V1187" s="12"/>
    </row>
    <row r="1188" spans="22:22" ht="15" customHeight="1">
      <c r="V1188" s="12"/>
    </row>
    <row r="1189" spans="22:22" ht="15" customHeight="1">
      <c r="V1189" s="12"/>
    </row>
    <row r="1190" spans="22:22" ht="15" customHeight="1">
      <c r="V1190" s="12"/>
    </row>
    <row r="1191" spans="22:22" ht="15" customHeight="1">
      <c r="V1191" s="12"/>
    </row>
    <row r="1192" spans="22:22" ht="15" customHeight="1">
      <c r="V1192" s="12"/>
    </row>
    <row r="1193" spans="22:22" ht="15" customHeight="1">
      <c r="V1193" s="12"/>
    </row>
    <row r="1194" spans="22:22" ht="15" customHeight="1">
      <c r="V1194" s="12"/>
    </row>
    <row r="1195" spans="22:22" ht="15" customHeight="1">
      <c r="V1195" s="12"/>
    </row>
    <row r="1196" spans="22:22" ht="15" customHeight="1">
      <c r="V1196" s="12"/>
    </row>
    <row r="1197" spans="22:22" ht="15" customHeight="1">
      <c r="V1197" s="12"/>
    </row>
    <row r="1198" spans="22:22" ht="15" customHeight="1">
      <c r="V1198" s="12"/>
    </row>
    <row r="1199" spans="22:22" ht="15" customHeight="1">
      <c r="V1199" s="12"/>
    </row>
    <row r="1200" spans="22:22" ht="15" customHeight="1">
      <c r="V1200" s="12"/>
    </row>
    <row r="1201" spans="22:22" ht="15" customHeight="1">
      <c r="V1201" s="12"/>
    </row>
    <row r="1202" spans="22:22" ht="15" customHeight="1">
      <c r="V1202" s="12"/>
    </row>
    <row r="1203" spans="22:22" ht="15" customHeight="1">
      <c r="V1203" s="12"/>
    </row>
    <row r="1204" spans="22:22" ht="15" customHeight="1">
      <c r="V1204" s="12"/>
    </row>
    <row r="1205" spans="22:22" ht="15" customHeight="1">
      <c r="V1205" s="12"/>
    </row>
    <row r="1206" spans="22:22" ht="15" customHeight="1">
      <c r="V1206" s="12"/>
    </row>
    <row r="1207" spans="22:22" ht="15" customHeight="1">
      <c r="V1207" s="12"/>
    </row>
    <row r="1208" spans="22:22" ht="15" customHeight="1">
      <c r="V1208" s="12"/>
    </row>
    <row r="1209" spans="22:22" ht="15" customHeight="1">
      <c r="V1209" s="12"/>
    </row>
    <row r="1210" spans="22:22" ht="15" customHeight="1">
      <c r="V1210" s="12"/>
    </row>
    <row r="1211" spans="22:22" ht="15" customHeight="1">
      <c r="V1211" s="12"/>
    </row>
    <row r="1212" spans="22:22" ht="15" customHeight="1">
      <c r="V1212" s="12"/>
    </row>
    <row r="1213" spans="22:22" ht="15" customHeight="1">
      <c r="V1213" s="12"/>
    </row>
    <row r="1214" spans="22:22" ht="15" customHeight="1">
      <c r="V1214" s="12"/>
    </row>
    <row r="1215" spans="22:22" ht="15" customHeight="1">
      <c r="V1215" s="12"/>
    </row>
    <row r="1216" spans="22:22" ht="15" customHeight="1">
      <c r="V1216" s="12"/>
    </row>
    <row r="1217" spans="22:22" ht="15" customHeight="1">
      <c r="V1217" s="12"/>
    </row>
    <row r="1218" spans="22:22" ht="15" customHeight="1">
      <c r="V1218" s="12"/>
    </row>
    <row r="1219" spans="22:22" ht="15" customHeight="1">
      <c r="V1219" s="12"/>
    </row>
    <row r="1220" spans="22:22" ht="15" customHeight="1">
      <c r="V1220" s="12"/>
    </row>
    <row r="1221" spans="22:22" ht="15" customHeight="1">
      <c r="V1221" s="12"/>
    </row>
    <row r="1222" spans="22:22" ht="15" customHeight="1">
      <c r="V1222" s="12"/>
    </row>
    <row r="1223" spans="22:22" ht="15" customHeight="1">
      <c r="V1223" s="12"/>
    </row>
    <row r="1224" spans="22:22" ht="15" customHeight="1">
      <c r="V1224" s="12"/>
    </row>
    <row r="1225" spans="22:22" ht="15" customHeight="1">
      <c r="V1225" s="12"/>
    </row>
    <row r="1226" spans="22:22" ht="15" customHeight="1">
      <c r="V1226" s="12"/>
    </row>
    <row r="1227" spans="22:22" ht="15" customHeight="1">
      <c r="V1227" s="12"/>
    </row>
    <row r="1228" spans="22:22" ht="15" customHeight="1">
      <c r="V1228" s="12"/>
    </row>
    <row r="1229" spans="22:22" ht="15" customHeight="1">
      <c r="V1229" s="12"/>
    </row>
    <row r="1230" spans="22:22" ht="15" customHeight="1">
      <c r="V1230" s="12"/>
    </row>
    <row r="1231" spans="22:22" ht="15" customHeight="1">
      <c r="V1231" s="12"/>
    </row>
    <row r="1232" spans="22:22" ht="15" customHeight="1">
      <c r="V1232" s="12"/>
    </row>
    <row r="1233" spans="22:22" ht="15" customHeight="1">
      <c r="V1233" s="12"/>
    </row>
    <row r="1234" spans="22:22" ht="15" customHeight="1">
      <c r="V1234" s="12"/>
    </row>
    <row r="1235" spans="22:22" ht="15" customHeight="1">
      <c r="V1235" s="12"/>
    </row>
    <row r="1236" spans="22:22" ht="15" customHeight="1">
      <c r="V1236" s="12"/>
    </row>
    <row r="1237" spans="22:22" ht="15" customHeight="1">
      <c r="V1237" s="12"/>
    </row>
  </sheetData>
  <sheetProtection algorithmName="SHA-512" hashValue="E951Ep3Yx1Z0AvoW84wALFJZWSW3Q5R2QeFGTMV0ekxTzn4PXiCvz36B0ZWn4F7AqOS5Rlk9mH6THfO2R0pACw==" saltValue="Mrtx9QPRTQwc1aFVhd+Bkg==" spinCount="100000" sheet="1" objects="1" scenarios="1" formatCells="0"/>
  <mergeCells count="7">
    <mergeCell ref="C41:M43"/>
    <mergeCell ref="A1:S2"/>
    <mergeCell ref="C9:M11"/>
    <mergeCell ref="C4:M6"/>
    <mergeCell ref="C13:M15"/>
    <mergeCell ref="C33:M35"/>
    <mergeCell ref="C37:M39"/>
  </mergeCells>
  <conditionalFormatting sqref="X1:X1048576">
    <cfRule type="cellIs" dxfId="19" priority="4" operator="equal">
      <formula>"CRWG Red Criticality Control"</formula>
    </cfRule>
    <cfRule type="cellIs" dxfId="18" priority="5" operator="equal">
      <formula>"CRWG White Criticality Control"</formula>
    </cfRule>
    <cfRule type="cellIs" dxfId="17" priority="8" operator="equal">
      <formula>"CRWG Yellow Criticality Control"</formula>
    </cfRule>
  </conditionalFormatting>
  <conditionalFormatting sqref="V738:V801">
    <cfRule type="containsBlanks" dxfId="16" priority="3">
      <formula>LEN(TRIM(V738))=0</formula>
    </cfRule>
  </conditionalFormatting>
  <conditionalFormatting sqref="V470:V737">
    <cfRule type="containsBlanks" dxfId="15" priority="1">
      <formula>LEN(TRIM(V470))=0</formula>
    </cfRule>
  </conditionalFormatting>
  <pageMargins left="0.7" right="0.7" top="0.75" bottom="0.75" header="0.3" footer="0.3"/>
  <pageSetup scale="41" fitToHeight="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PasteToAnotherSheet">
                <anchor moveWithCells="1" sizeWithCells="1">
                  <from>
                    <xdr:col>8</xdr:col>
                    <xdr:colOff>247650</xdr:colOff>
                    <xdr:row>45</xdr:row>
                    <xdr:rowOff>31750</xdr:rowOff>
                  </from>
                  <to>
                    <xdr:col>10</xdr:col>
                    <xdr:colOff>342900</xdr:colOff>
                    <xdr:row>47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J802"/>
  <sheetViews>
    <sheetView tabSelected="1" topLeftCell="B1" zoomScaleNormal="100" workbookViewId="0">
      <pane ySplit="2" topLeftCell="A3" activePane="bottomLeft" state="frozen"/>
      <selection pane="bottomLeft" activeCell="B3" sqref="B3:J802"/>
      <selection activeCell="B1" sqref="B1"/>
    </sheetView>
  </sheetViews>
  <sheetFormatPr defaultColWidth="9.140625" defaultRowHeight="15" customHeight="1"/>
  <cols>
    <col min="1" max="1" width="6" style="1" hidden="1" customWidth="1"/>
    <col min="2" max="2" width="21.28515625" style="5" bestFit="1" customWidth="1"/>
    <col min="3" max="3" width="43.7109375" style="1" customWidth="1"/>
    <col min="4" max="4" width="35" style="1" customWidth="1"/>
    <col min="5" max="5" width="10.28515625" style="1" bestFit="1" customWidth="1"/>
    <col min="6" max="6" width="14.140625" style="1" bestFit="1" customWidth="1"/>
    <col min="7" max="7" width="72" style="1" customWidth="1"/>
    <col min="8" max="8" width="19.42578125" style="1" bestFit="1" customWidth="1"/>
    <col min="9" max="9" width="56" style="1" customWidth="1"/>
    <col min="10" max="10" width="7.5703125" style="1" bestFit="1" customWidth="1"/>
    <col min="11" max="16384" width="9.140625" style="1"/>
  </cols>
  <sheetData>
    <row r="1" spans="1:10" ht="15" customHeight="1">
      <c r="A1" s="62" t="s">
        <v>484</v>
      </c>
      <c r="B1" s="62"/>
      <c r="C1" s="62"/>
      <c r="D1" s="63"/>
      <c r="E1" s="64"/>
      <c r="F1" s="64"/>
      <c r="G1" s="64"/>
      <c r="H1" s="64"/>
      <c r="I1" s="64"/>
      <c r="J1" s="64"/>
    </row>
    <row r="2" spans="1:10" ht="15" customHeight="1" thickBot="1">
      <c r="A2" s="5" t="s">
        <v>485</v>
      </c>
      <c r="B2" s="20" t="s">
        <v>1</v>
      </c>
      <c r="C2" s="21" t="s">
        <v>2</v>
      </c>
      <c r="D2" s="22" t="s">
        <v>3</v>
      </c>
      <c r="E2" s="21" t="s">
        <v>4</v>
      </c>
      <c r="F2" s="21" t="s">
        <v>5</v>
      </c>
      <c r="G2" s="21" t="s">
        <v>6</v>
      </c>
      <c r="H2" s="21" t="s">
        <v>7</v>
      </c>
      <c r="I2" s="23" t="s">
        <v>8</v>
      </c>
      <c r="J2" s="23" t="s">
        <v>9</v>
      </c>
    </row>
    <row r="3" spans="1:10" s="10" customFormat="1" ht="14.45">
      <c r="A3" s="13">
        <v>1</v>
      </c>
      <c r="B3" s="27" t="s">
        <v>11</v>
      </c>
      <c r="C3" s="19" t="s">
        <v>486</v>
      </c>
      <c r="D3" s="14" t="s">
        <v>487</v>
      </c>
      <c r="E3" s="14" t="s">
        <v>488</v>
      </c>
      <c r="F3" s="14" t="s">
        <v>489</v>
      </c>
      <c r="G3" s="18" t="s">
        <v>490</v>
      </c>
      <c r="H3" s="14" t="s">
        <v>491</v>
      </c>
      <c r="I3" s="18" t="s">
        <v>492</v>
      </c>
      <c r="J3" s="14">
        <v>1</v>
      </c>
    </row>
    <row r="4" spans="1:10" s="10" customFormat="1" ht="14.45">
      <c r="A4" s="13">
        <v>2</v>
      </c>
      <c r="B4" s="28" t="s">
        <v>13</v>
      </c>
      <c r="C4" s="19" t="s">
        <v>493</v>
      </c>
      <c r="D4" s="14" t="s">
        <v>494</v>
      </c>
      <c r="E4" s="14" t="s">
        <v>495</v>
      </c>
      <c r="F4" s="14" t="s">
        <v>489</v>
      </c>
      <c r="G4" s="18" t="s">
        <v>496</v>
      </c>
      <c r="H4" s="14" t="s">
        <v>491</v>
      </c>
      <c r="I4" s="18" t="s">
        <v>492</v>
      </c>
      <c r="J4" s="14">
        <v>2</v>
      </c>
    </row>
    <row r="5" spans="1:10" s="10" customFormat="1" ht="14.45">
      <c r="A5" s="13">
        <v>3</v>
      </c>
      <c r="B5" s="28" t="s">
        <v>14</v>
      </c>
      <c r="C5" s="19" t="s">
        <v>497</v>
      </c>
      <c r="D5" s="14" t="s">
        <v>494</v>
      </c>
      <c r="E5" s="14" t="s">
        <v>495</v>
      </c>
      <c r="F5" s="14" t="s">
        <v>489</v>
      </c>
      <c r="G5" s="18" t="s">
        <v>496</v>
      </c>
      <c r="H5" s="14" t="s">
        <v>491</v>
      </c>
      <c r="I5" s="18" t="s">
        <v>492</v>
      </c>
      <c r="J5" s="14">
        <v>3</v>
      </c>
    </row>
    <row r="6" spans="1:10" s="10" customFormat="1" ht="14.45">
      <c r="A6" s="13">
        <v>4</v>
      </c>
      <c r="B6" s="28" t="s">
        <v>15</v>
      </c>
      <c r="C6" s="19" t="s">
        <v>498</v>
      </c>
      <c r="D6" s="14" t="s">
        <v>494</v>
      </c>
      <c r="E6" s="14" t="s">
        <v>499</v>
      </c>
      <c r="F6" s="14" t="s">
        <v>489</v>
      </c>
      <c r="G6" s="18" t="s">
        <v>496</v>
      </c>
      <c r="H6" s="14" t="s">
        <v>491</v>
      </c>
      <c r="I6" s="18" t="s">
        <v>492</v>
      </c>
      <c r="J6" s="14">
        <v>4</v>
      </c>
    </row>
    <row r="7" spans="1:10" s="10" customFormat="1" ht="14.45">
      <c r="A7" s="13">
        <v>5</v>
      </c>
      <c r="B7" s="28" t="s">
        <v>16</v>
      </c>
      <c r="C7" s="19" t="s">
        <v>500</v>
      </c>
      <c r="D7" s="14" t="s">
        <v>494</v>
      </c>
      <c r="E7" s="14" t="s">
        <v>495</v>
      </c>
      <c r="F7" s="14" t="s">
        <v>501</v>
      </c>
      <c r="G7" s="18" t="s">
        <v>496</v>
      </c>
      <c r="H7" s="14" t="s">
        <v>502</v>
      </c>
      <c r="I7" s="18" t="s">
        <v>492</v>
      </c>
      <c r="J7" s="14">
        <v>5</v>
      </c>
    </row>
    <row r="8" spans="1:10" s="10" customFormat="1" ht="14.45">
      <c r="A8" s="13">
        <v>6</v>
      </c>
      <c r="B8" s="28" t="s">
        <v>17</v>
      </c>
      <c r="C8" s="19" t="s">
        <v>503</v>
      </c>
      <c r="D8" s="14" t="s">
        <v>494</v>
      </c>
      <c r="E8" s="14" t="s">
        <v>504</v>
      </c>
      <c r="F8" s="14" t="s">
        <v>489</v>
      </c>
      <c r="G8" s="18" t="s">
        <v>496</v>
      </c>
      <c r="H8" s="14" t="s">
        <v>491</v>
      </c>
      <c r="I8" s="18" t="s">
        <v>492</v>
      </c>
      <c r="J8" s="14">
        <v>6</v>
      </c>
    </row>
    <row r="9" spans="1:10" s="10" customFormat="1" ht="14.45">
      <c r="A9" s="13">
        <v>7</v>
      </c>
      <c r="B9" s="28" t="s">
        <v>21</v>
      </c>
      <c r="C9" s="19" t="s">
        <v>505</v>
      </c>
      <c r="D9" s="14" t="s">
        <v>487</v>
      </c>
      <c r="E9" s="14" t="s">
        <v>488</v>
      </c>
      <c r="F9" s="14" t="s">
        <v>489</v>
      </c>
      <c r="G9" s="18" t="s">
        <v>490</v>
      </c>
      <c r="H9" s="14" t="s">
        <v>491</v>
      </c>
      <c r="I9" s="18" t="s">
        <v>492</v>
      </c>
      <c r="J9" s="14">
        <v>7</v>
      </c>
    </row>
    <row r="10" spans="1:10" s="10" customFormat="1" ht="14.45">
      <c r="A10" s="13">
        <v>8</v>
      </c>
      <c r="B10" s="28" t="s">
        <v>26</v>
      </c>
      <c r="C10" s="19" t="s">
        <v>506</v>
      </c>
      <c r="D10" s="14" t="s">
        <v>487</v>
      </c>
      <c r="E10" s="14" t="s">
        <v>488</v>
      </c>
      <c r="F10" s="14" t="s">
        <v>489</v>
      </c>
      <c r="G10" s="18" t="s">
        <v>490</v>
      </c>
      <c r="H10" s="14" t="s">
        <v>491</v>
      </c>
      <c r="I10" s="18" t="s">
        <v>492</v>
      </c>
      <c r="J10" s="14">
        <v>8</v>
      </c>
    </row>
    <row r="11" spans="1:10" s="10" customFormat="1" ht="14.45">
      <c r="A11" s="13">
        <v>9</v>
      </c>
      <c r="B11" s="28" t="s">
        <v>27</v>
      </c>
      <c r="C11" s="19" t="s">
        <v>507</v>
      </c>
      <c r="D11" s="14" t="s">
        <v>494</v>
      </c>
      <c r="E11" s="14" t="s">
        <v>488</v>
      </c>
      <c r="F11" s="14" t="s">
        <v>489</v>
      </c>
      <c r="G11" s="18" t="s">
        <v>496</v>
      </c>
      <c r="H11" s="14" t="s">
        <v>491</v>
      </c>
      <c r="I11" s="18" t="s">
        <v>492</v>
      </c>
      <c r="J11" s="14">
        <v>9</v>
      </c>
    </row>
    <row r="12" spans="1:10" s="10" customFormat="1" ht="14.45">
      <c r="A12" s="13">
        <v>10</v>
      </c>
      <c r="B12" s="28" t="s">
        <v>28</v>
      </c>
      <c r="C12" s="19" t="s">
        <v>508</v>
      </c>
      <c r="D12" s="14" t="s">
        <v>487</v>
      </c>
      <c r="E12" s="14" t="s">
        <v>488</v>
      </c>
      <c r="F12" s="14" t="s">
        <v>489</v>
      </c>
      <c r="G12" s="18" t="s">
        <v>490</v>
      </c>
      <c r="H12" s="14" t="s">
        <v>491</v>
      </c>
      <c r="I12" s="18" t="s">
        <v>492</v>
      </c>
      <c r="J12" s="14">
        <v>10</v>
      </c>
    </row>
    <row r="13" spans="1:10" s="10" customFormat="1" ht="14.45">
      <c r="A13" s="13">
        <v>11</v>
      </c>
      <c r="B13" s="28" t="s">
        <v>36</v>
      </c>
      <c r="C13" s="19" t="s">
        <v>509</v>
      </c>
      <c r="D13" s="14" t="s">
        <v>487</v>
      </c>
      <c r="E13" s="14" t="s">
        <v>504</v>
      </c>
      <c r="F13" s="14" t="s">
        <v>489</v>
      </c>
      <c r="G13" s="18" t="s">
        <v>490</v>
      </c>
      <c r="H13" s="14" t="s">
        <v>491</v>
      </c>
      <c r="I13" s="18" t="s">
        <v>492</v>
      </c>
      <c r="J13" s="14">
        <v>11</v>
      </c>
    </row>
    <row r="14" spans="1:10" s="10" customFormat="1" ht="14.45">
      <c r="A14" s="13">
        <v>12</v>
      </c>
      <c r="B14" s="28" t="s">
        <v>37</v>
      </c>
      <c r="C14" s="19" t="s">
        <v>510</v>
      </c>
      <c r="D14" s="14" t="s">
        <v>494</v>
      </c>
      <c r="E14" s="14" t="s">
        <v>488</v>
      </c>
      <c r="F14" s="14" t="s">
        <v>489</v>
      </c>
      <c r="G14" s="18" t="s">
        <v>496</v>
      </c>
      <c r="H14" s="14" t="s">
        <v>491</v>
      </c>
      <c r="I14" s="18" t="s">
        <v>492</v>
      </c>
      <c r="J14" s="14">
        <v>12</v>
      </c>
    </row>
    <row r="15" spans="1:10" s="10" customFormat="1" ht="14.45">
      <c r="A15" s="13">
        <v>13</v>
      </c>
      <c r="B15" s="28" t="s">
        <v>38</v>
      </c>
      <c r="C15" s="19" t="s">
        <v>511</v>
      </c>
      <c r="D15" s="14" t="s">
        <v>487</v>
      </c>
      <c r="E15" s="14" t="s">
        <v>499</v>
      </c>
      <c r="F15" s="14" t="s">
        <v>489</v>
      </c>
      <c r="G15" s="18" t="s">
        <v>490</v>
      </c>
      <c r="H15" s="14" t="s">
        <v>491</v>
      </c>
      <c r="I15" s="18" t="s">
        <v>492</v>
      </c>
      <c r="J15" s="14">
        <v>13</v>
      </c>
    </row>
    <row r="16" spans="1:10" s="10" customFormat="1" ht="14.45">
      <c r="A16" s="13">
        <v>14</v>
      </c>
      <c r="B16" s="28" t="s">
        <v>39</v>
      </c>
      <c r="C16" s="19" t="s">
        <v>512</v>
      </c>
      <c r="D16" s="14" t="s">
        <v>487</v>
      </c>
      <c r="E16" s="14" t="s">
        <v>495</v>
      </c>
      <c r="F16" s="14" t="s">
        <v>501</v>
      </c>
      <c r="G16" s="18" t="s">
        <v>490</v>
      </c>
      <c r="H16" s="14" t="s">
        <v>502</v>
      </c>
      <c r="I16" s="18" t="s">
        <v>492</v>
      </c>
      <c r="J16" s="14">
        <v>14</v>
      </c>
    </row>
    <row r="17" spans="1:10" s="10" customFormat="1" ht="14.45">
      <c r="A17" s="13">
        <v>15</v>
      </c>
      <c r="B17" s="28" t="s">
        <v>40</v>
      </c>
      <c r="C17" s="19" t="s">
        <v>513</v>
      </c>
      <c r="D17" s="14" t="s">
        <v>494</v>
      </c>
      <c r="E17" s="14" t="s">
        <v>488</v>
      </c>
      <c r="F17" s="14" t="s">
        <v>489</v>
      </c>
      <c r="G17" s="18" t="s">
        <v>496</v>
      </c>
      <c r="H17" s="14" t="s">
        <v>491</v>
      </c>
      <c r="I17" s="18" t="s">
        <v>492</v>
      </c>
      <c r="J17" s="14">
        <v>15</v>
      </c>
    </row>
    <row r="18" spans="1:10" s="10" customFormat="1" ht="14.45">
      <c r="A18" s="13">
        <v>16</v>
      </c>
      <c r="B18" s="28" t="s">
        <v>42</v>
      </c>
      <c r="C18" s="19" t="s">
        <v>514</v>
      </c>
      <c r="D18" s="14" t="s">
        <v>494</v>
      </c>
      <c r="E18" s="14" t="s">
        <v>488</v>
      </c>
      <c r="F18" s="14" t="s">
        <v>489</v>
      </c>
      <c r="G18" s="18" t="s">
        <v>496</v>
      </c>
      <c r="H18" s="14" t="s">
        <v>491</v>
      </c>
      <c r="I18" s="18" t="s">
        <v>492</v>
      </c>
      <c r="J18" s="14">
        <v>16</v>
      </c>
    </row>
    <row r="19" spans="1:10" s="10" customFormat="1" ht="14.45">
      <c r="A19" s="13">
        <v>17</v>
      </c>
      <c r="B19" s="28" t="s">
        <v>43</v>
      </c>
      <c r="C19" s="19" t="s">
        <v>515</v>
      </c>
      <c r="D19" s="14" t="s">
        <v>494</v>
      </c>
      <c r="E19" s="14" t="s">
        <v>488</v>
      </c>
      <c r="F19" s="14" t="s">
        <v>489</v>
      </c>
      <c r="G19" s="18" t="s">
        <v>496</v>
      </c>
      <c r="H19" s="14" t="s">
        <v>491</v>
      </c>
      <c r="I19" s="18" t="s">
        <v>492</v>
      </c>
      <c r="J19" s="14">
        <v>17</v>
      </c>
    </row>
    <row r="20" spans="1:10" s="10" customFormat="1" ht="14.45">
      <c r="A20" s="13">
        <v>18</v>
      </c>
      <c r="B20" s="28" t="s">
        <v>46</v>
      </c>
      <c r="C20" s="19" t="s">
        <v>516</v>
      </c>
      <c r="D20" s="14" t="s">
        <v>487</v>
      </c>
      <c r="E20" s="14" t="s">
        <v>488</v>
      </c>
      <c r="F20" s="14" t="s">
        <v>489</v>
      </c>
      <c r="G20" s="18" t="s">
        <v>490</v>
      </c>
      <c r="H20" s="14" t="s">
        <v>491</v>
      </c>
      <c r="I20" s="18" t="s">
        <v>492</v>
      </c>
      <c r="J20" s="14">
        <v>18</v>
      </c>
    </row>
    <row r="21" spans="1:10" s="10" customFormat="1" ht="14.45">
      <c r="A21" s="13">
        <v>19</v>
      </c>
      <c r="B21" s="28" t="s">
        <v>47</v>
      </c>
      <c r="C21" s="19" t="s">
        <v>517</v>
      </c>
      <c r="D21" s="14" t="s">
        <v>487</v>
      </c>
      <c r="E21" s="14" t="s">
        <v>488</v>
      </c>
      <c r="F21" s="14" t="s">
        <v>489</v>
      </c>
      <c r="G21" s="18" t="s">
        <v>490</v>
      </c>
      <c r="H21" s="14" t="s">
        <v>491</v>
      </c>
      <c r="I21" s="18" t="s">
        <v>492</v>
      </c>
      <c r="J21" s="14">
        <v>19</v>
      </c>
    </row>
    <row r="22" spans="1:10" s="10" customFormat="1" ht="14.45">
      <c r="A22" s="13">
        <v>20</v>
      </c>
      <c r="B22" s="28" t="s">
        <v>50</v>
      </c>
      <c r="C22" s="19" t="s">
        <v>518</v>
      </c>
      <c r="D22" s="14" t="s">
        <v>494</v>
      </c>
      <c r="E22" s="14" t="s">
        <v>488</v>
      </c>
      <c r="F22" s="14" t="s">
        <v>489</v>
      </c>
      <c r="G22" s="18" t="s">
        <v>496</v>
      </c>
      <c r="H22" s="14" t="s">
        <v>491</v>
      </c>
      <c r="I22" s="18" t="s">
        <v>492</v>
      </c>
      <c r="J22" s="14">
        <v>20</v>
      </c>
    </row>
    <row r="23" spans="1:10" s="10" customFormat="1" ht="14.45">
      <c r="A23" s="13">
        <v>21</v>
      </c>
      <c r="B23" s="28" t="s">
        <v>56</v>
      </c>
      <c r="C23" s="19" t="s">
        <v>519</v>
      </c>
      <c r="D23" s="14" t="s">
        <v>487</v>
      </c>
      <c r="E23" s="14" t="s">
        <v>488</v>
      </c>
      <c r="F23" s="14" t="s">
        <v>489</v>
      </c>
      <c r="G23" s="18" t="s">
        <v>490</v>
      </c>
      <c r="H23" s="14" t="s">
        <v>491</v>
      </c>
      <c r="I23" s="18" t="s">
        <v>492</v>
      </c>
      <c r="J23" s="14">
        <v>21</v>
      </c>
    </row>
    <row r="24" spans="1:10" s="10" customFormat="1" ht="14.45">
      <c r="A24" s="13">
        <v>22</v>
      </c>
      <c r="B24" s="28" t="s">
        <v>60</v>
      </c>
      <c r="C24" s="19" t="s">
        <v>520</v>
      </c>
      <c r="D24" s="14" t="s">
        <v>494</v>
      </c>
      <c r="E24" s="14" t="s">
        <v>488</v>
      </c>
      <c r="F24" s="14" t="s">
        <v>489</v>
      </c>
      <c r="G24" s="18" t="s">
        <v>496</v>
      </c>
      <c r="H24" s="14" t="s">
        <v>491</v>
      </c>
      <c r="I24" s="18" t="s">
        <v>492</v>
      </c>
      <c r="J24" s="14">
        <v>22</v>
      </c>
    </row>
    <row r="25" spans="1:10" s="10" customFormat="1" ht="14.45">
      <c r="A25" s="13">
        <v>23</v>
      </c>
      <c r="B25" s="28" t="s">
        <v>127</v>
      </c>
      <c r="C25" s="19" t="s">
        <v>521</v>
      </c>
      <c r="D25" s="14" t="s">
        <v>494</v>
      </c>
      <c r="E25" s="14" t="s">
        <v>488</v>
      </c>
      <c r="F25" s="14" t="s">
        <v>489</v>
      </c>
      <c r="G25" s="18" t="s">
        <v>496</v>
      </c>
      <c r="H25" s="14" t="s">
        <v>491</v>
      </c>
      <c r="I25" s="18" t="s">
        <v>492</v>
      </c>
      <c r="J25" s="14">
        <v>23</v>
      </c>
    </row>
    <row r="26" spans="1:10" s="10" customFormat="1" ht="14.45">
      <c r="A26" s="13">
        <v>24</v>
      </c>
      <c r="B26" s="28" t="s">
        <v>128</v>
      </c>
      <c r="C26" s="19" t="s">
        <v>522</v>
      </c>
      <c r="D26" s="14" t="s">
        <v>494</v>
      </c>
      <c r="E26" s="14" t="s">
        <v>488</v>
      </c>
      <c r="F26" s="14" t="s">
        <v>489</v>
      </c>
      <c r="G26" s="18" t="s">
        <v>496</v>
      </c>
      <c r="H26" s="14" t="s">
        <v>491</v>
      </c>
      <c r="I26" s="18" t="s">
        <v>492</v>
      </c>
      <c r="J26" s="14">
        <v>24</v>
      </c>
    </row>
    <row r="27" spans="1:10" s="10" customFormat="1" ht="14.45">
      <c r="A27" s="13">
        <v>25</v>
      </c>
      <c r="B27" s="28" t="s">
        <v>129</v>
      </c>
      <c r="C27" s="19" t="s">
        <v>523</v>
      </c>
      <c r="D27" s="14" t="s">
        <v>494</v>
      </c>
      <c r="E27" s="14" t="s">
        <v>488</v>
      </c>
      <c r="F27" s="14" t="s">
        <v>489</v>
      </c>
      <c r="G27" s="18" t="s">
        <v>496</v>
      </c>
      <c r="H27" s="14" t="s">
        <v>491</v>
      </c>
      <c r="I27" s="18" t="s">
        <v>492</v>
      </c>
      <c r="J27" s="14">
        <v>25</v>
      </c>
    </row>
    <row r="28" spans="1:10" s="10" customFormat="1" ht="14.45">
      <c r="A28" s="13">
        <v>26</v>
      </c>
      <c r="B28" s="28" t="s">
        <v>134</v>
      </c>
      <c r="C28" s="19" t="s">
        <v>524</v>
      </c>
      <c r="D28" s="14" t="s">
        <v>494</v>
      </c>
      <c r="E28" s="14" t="s">
        <v>488</v>
      </c>
      <c r="F28" s="14" t="s">
        <v>489</v>
      </c>
      <c r="G28" s="18" t="s">
        <v>496</v>
      </c>
      <c r="H28" s="14" t="s">
        <v>491</v>
      </c>
      <c r="I28" s="18" t="s">
        <v>492</v>
      </c>
      <c r="J28" s="14">
        <v>26</v>
      </c>
    </row>
    <row r="29" spans="1:10" s="10" customFormat="1" ht="14.45">
      <c r="A29" s="13">
        <v>27</v>
      </c>
      <c r="B29" s="28" t="s">
        <v>525</v>
      </c>
      <c r="C29" s="19" t="s">
        <v>526</v>
      </c>
      <c r="D29" s="14" t="s">
        <v>526</v>
      </c>
      <c r="E29" s="14" t="s">
        <v>526</v>
      </c>
      <c r="F29" s="14" t="s">
        <v>526</v>
      </c>
      <c r="G29" s="18" t="s">
        <v>526</v>
      </c>
      <c r="H29" s="14" t="s">
        <v>526</v>
      </c>
      <c r="I29" s="18" t="s">
        <v>526</v>
      </c>
      <c r="J29" s="14">
        <v>27</v>
      </c>
    </row>
    <row r="30" spans="1:10" s="10" customFormat="1" ht="14.45">
      <c r="A30" s="13">
        <v>28</v>
      </c>
      <c r="B30" s="28" t="s">
        <v>137</v>
      </c>
      <c r="C30" s="19" t="s">
        <v>527</v>
      </c>
      <c r="D30" s="14" t="s">
        <v>494</v>
      </c>
      <c r="E30" s="14" t="s">
        <v>488</v>
      </c>
      <c r="F30" s="14" t="s">
        <v>489</v>
      </c>
      <c r="G30" s="18" t="s">
        <v>496</v>
      </c>
      <c r="H30" s="14" t="s">
        <v>491</v>
      </c>
      <c r="I30" s="18" t="s">
        <v>492</v>
      </c>
      <c r="J30" s="14">
        <v>28</v>
      </c>
    </row>
    <row r="31" spans="1:10" s="10" customFormat="1" ht="14.45">
      <c r="A31" s="13">
        <v>29</v>
      </c>
      <c r="B31" s="28" t="s">
        <v>528</v>
      </c>
      <c r="C31" s="19" t="s">
        <v>529</v>
      </c>
      <c r="D31" s="14" t="s">
        <v>494</v>
      </c>
      <c r="E31" s="14" t="s">
        <v>488</v>
      </c>
      <c r="F31" s="14" t="s">
        <v>489</v>
      </c>
      <c r="G31" s="18" t="s">
        <v>496</v>
      </c>
      <c r="H31" s="14" t="s">
        <v>491</v>
      </c>
      <c r="I31" s="18" t="s">
        <v>492</v>
      </c>
      <c r="J31" s="14">
        <v>29</v>
      </c>
    </row>
    <row r="32" spans="1:10" s="10" customFormat="1" ht="14.45">
      <c r="A32" s="13">
        <v>30</v>
      </c>
      <c r="B32" s="28" t="s">
        <v>138</v>
      </c>
      <c r="C32" s="19" t="s">
        <v>530</v>
      </c>
      <c r="D32" s="14" t="s">
        <v>494</v>
      </c>
      <c r="E32" s="14" t="s">
        <v>488</v>
      </c>
      <c r="F32" s="14" t="s">
        <v>489</v>
      </c>
      <c r="G32" s="18" t="s">
        <v>496</v>
      </c>
      <c r="H32" s="14" t="s">
        <v>491</v>
      </c>
      <c r="I32" s="18" t="s">
        <v>492</v>
      </c>
      <c r="J32" s="14">
        <v>30</v>
      </c>
    </row>
    <row r="33" spans="1:10" s="10" customFormat="1" ht="14.45">
      <c r="A33" s="13">
        <v>31</v>
      </c>
      <c r="B33" s="28" t="s">
        <v>531</v>
      </c>
      <c r="C33" s="19" t="s">
        <v>532</v>
      </c>
      <c r="D33" s="14" t="s">
        <v>494</v>
      </c>
      <c r="E33" s="14" t="s">
        <v>499</v>
      </c>
      <c r="F33" s="14" t="s">
        <v>489</v>
      </c>
      <c r="G33" s="18" t="s">
        <v>496</v>
      </c>
      <c r="H33" s="14" t="s">
        <v>491</v>
      </c>
      <c r="I33" s="18" t="s">
        <v>492</v>
      </c>
      <c r="J33" s="14">
        <v>31</v>
      </c>
    </row>
    <row r="34" spans="1:10" s="10" customFormat="1" ht="14.45">
      <c r="A34" s="13">
        <v>32</v>
      </c>
      <c r="B34" s="28" t="s">
        <v>146</v>
      </c>
      <c r="C34" s="19" t="s">
        <v>533</v>
      </c>
      <c r="D34" s="14" t="s">
        <v>487</v>
      </c>
      <c r="E34" s="14" t="s">
        <v>504</v>
      </c>
      <c r="F34" s="14" t="s">
        <v>489</v>
      </c>
      <c r="G34" s="18" t="s">
        <v>490</v>
      </c>
      <c r="H34" s="14" t="s">
        <v>491</v>
      </c>
      <c r="I34" s="18" t="s">
        <v>492</v>
      </c>
      <c r="J34" s="14">
        <v>32</v>
      </c>
    </row>
    <row r="35" spans="1:10" s="10" customFormat="1" ht="14.45">
      <c r="A35" s="13">
        <v>33</v>
      </c>
      <c r="B35" s="28" t="s">
        <v>149</v>
      </c>
      <c r="C35" s="19" t="s">
        <v>534</v>
      </c>
      <c r="D35" s="14" t="s">
        <v>487</v>
      </c>
      <c r="E35" s="14" t="s">
        <v>504</v>
      </c>
      <c r="F35" s="14" t="s">
        <v>489</v>
      </c>
      <c r="G35" s="18" t="s">
        <v>490</v>
      </c>
      <c r="H35" s="14" t="s">
        <v>491</v>
      </c>
      <c r="I35" s="18" t="s">
        <v>492</v>
      </c>
      <c r="J35" s="14">
        <v>33</v>
      </c>
    </row>
    <row r="36" spans="1:10" s="10" customFormat="1" ht="14.45">
      <c r="A36" s="13">
        <v>34</v>
      </c>
      <c r="B36" s="28" t="s">
        <v>150</v>
      </c>
      <c r="C36" s="19" t="s">
        <v>535</v>
      </c>
      <c r="D36" s="14" t="s">
        <v>487</v>
      </c>
      <c r="E36" s="14" t="s">
        <v>504</v>
      </c>
      <c r="F36" s="14" t="s">
        <v>489</v>
      </c>
      <c r="G36" s="18" t="s">
        <v>490</v>
      </c>
      <c r="H36" s="14" t="s">
        <v>491</v>
      </c>
      <c r="I36" s="18" t="s">
        <v>492</v>
      </c>
      <c r="J36" s="14">
        <v>34</v>
      </c>
    </row>
    <row r="37" spans="1:10" s="10" customFormat="1" ht="14.45">
      <c r="A37" s="13">
        <v>35</v>
      </c>
      <c r="B37" s="28" t="s">
        <v>155</v>
      </c>
      <c r="C37" s="19" t="s">
        <v>536</v>
      </c>
      <c r="D37" s="14" t="s">
        <v>487</v>
      </c>
      <c r="E37" s="14" t="s">
        <v>504</v>
      </c>
      <c r="F37" s="14" t="s">
        <v>489</v>
      </c>
      <c r="G37" s="18" t="s">
        <v>490</v>
      </c>
      <c r="H37" s="14" t="s">
        <v>491</v>
      </c>
      <c r="I37" s="18" t="s">
        <v>492</v>
      </c>
      <c r="J37" s="14">
        <v>35</v>
      </c>
    </row>
    <row r="38" spans="1:10" s="10" customFormat="1" ht="14.45">
      <c r="A38" s="13">
        <v>36</v>
      </c>
      <c r="B38" s="28" t="s">
        <v>157</v>
      </c>
      <c r="C38" s="19" t="s">
        <v>537</v>
      </c>
      <c r="D38" s="14" t="s">
        <v>487</v>
      </c>
      <c r="E38" s="14" t="s">
        <v>495</v>
      </c>
      <c r="F38" s="14" t="s">
        <v>489</v>
      </c>
      <c r="G38" s="18" t="s">
        <v>490</v>
      </c>
      <c r="H38" s="14" t="s">
        <v>491</v>
      </c>
      <c r="I38" s="18" t="s">
        <v>492</v>
      </c>
      <c r="J38" s="14">
        <v>36</v>
      </c>
    </row>
    <row r="39" spans="1:10" s="10" customFormat="1" ht="14.45">
      <c r="A39" s="13">
        <v>37</v>
      </c>
      <c r="B39" s="28" t="s">
        <v>159</v>
      </c>
      <c r="C39" s="19" t="s">
        <v>538</v>
      </c>
      <c r="D39" s="14" t="s">
        <v>487</v>
      </c>
      <c r="E39" s="14" t="s">
        <v>504</v>
      </c>
      <c r="F39" s="14" t="s">
        <v>489</v>
      </c>
      <c r="G39" s="18" t="s">
        <v>490</v>
      </c>
      <c r="H39" s="14" t="s">
        <v>491</v>
      </c>
      <c r="I39" s="18" t="s">
        <v>492</v>
      </c>
      <c r="J39" s="14">
        <v>37</v>
      </c>
    </row>
    <row r="40" spans="1:10" s="10" customFormat="1" ht="14.45">
      <c r="A40" s="13">
        <v>38</v>
      </c>
      <c r="B40" s="28" t="s">
        <v>160</v>
      </c>
      <c r="C40" s="19" t="s">
        <v>539</v>
      </c>
      <c r="D40" s="14" t="s">
        <v>487</v>
      </c>
      <c r="E40" s="14" t="s">
        <v>499</v>
      </c>
      <c r="F40" s="14" t="s">
        <v>501</v>
      </c>
      <c r="G40" s="18" t="s">
        <v>490</v>
      </c>
      <c r="H40" s="14" t="s">
        <v>540</v>
      </c>
      <c r="I40" s="18" t="s">
        <v>492</v>
      </c>
      <c r="J40" s="14">
        <v>38</v>
      </c>
    </row>
    <row r="41" spans="1:10" s="10" customFormat="1" ht="14.45">
      <c r="A41" s="13">
        <v>39</v>
      </c>
      <c r="B41" s="28" t="s">
        <v>163</v>
      </c>
      <c r="C41" s="19" t="s">
        <v>541</v>
      </c>
      <c r="D41" s="14" t="s">
        <v>487</v>
      </c>
      <c r="E41" s="14" t="s">
        <v>504</v>
      </c>
      <c r="F41" s="14" t="s">
        <v>489</v>
      </c>
      <c r="G41" s="18" t="s">
        <v>490</v>
      </c>
      <c r="H41" s="14" t="s">
        <v>491</v>
      </c>
      <c r="I41" s="18" t="s">
        <v>492</v>
      </c>
      <c r="J41" s="14">
        <v>39</v>
      </c>
    </row>
    <row r="42" spans="1:10" s="10" customFormat="1" ht="14.45">
      <c r="A42" s="13">
        <v>40</v>
      </c>
      <c r="B42" s="28" t="s">
        <v>164</v>
      </c>
      <c r="C42" s="19" t="s">
        <v>542</v>
      </c>
      <c r="D42" s="14" t="s">
        <v>487</v>
      </c>
      <c r="E42" s="14" t="s">
        <v>499</v>
      </c>
      <c r="F42" s="14" t="s">
        <v>501</v>
      </c>
      <c r="G42" s="18" t="s">
        <v>490</v>
      </c>
      <c r="H42" s="14" t="s">
        <v>543</v>
      </c>
      <c r="I42" s="18" t="s">
        <v>492</v>
      </c>
      <c r="J42" s="14">
        <v>40</v>
      </c>
    </row>
    <row r="43" spans="1:10" s="10" customFormat="1" ht="14.45">
      <c r="A43" s="13">
        <v>41</v>
      </c>
      <c r="B43" s="28" t="s">
        <v>165</v>
      </c>
      <c r="C43" s="19" t="s">
        <v>544</v>
      </c>
      <c r="D43" s="14" t="s">
        <v>487</v>
      </c>
      <c r="E43" s="14" t="s">
        <v>504</v>
      </c>
      <c r="F43" s="14" t="s">
        <v>489</v>
      </c>
      <c r="G43" s="18" t="s">
        <v>490</v>
      </c>
      <c r="H43" s="14" t="s">
        <v>491</v>
      </c>
      <c r="I43" s="18" t="s">
        <v>492</v>
      </c>
      <c r="J43" s="14">
        <v>41</v>
      </c>
    </row>
    <row r="44" spans="1:10" s="10" customFormat="1" ht="14.45">
      <c r="A44" s="13">
        <v>42</v>
      </c>
      <c r="B44" s="28" t="s">
        <v>166</v>
      </c>
      <c r="C44" s="19" t="s">
        <v>545</v>
      </c>
      <c r="D44" s="14" t="s">
        <v>494</v>
      </c>
      <c r="E44" s="14" t="s">
        <v>488</v>
      </c>
      <c r="F44" s="14" t="s">
        <v>489</v>
      </c>
      <c r="G44" s="18" t="s">
        <v>496</v>
      </c>
      <c r="H44" s="14" t="s">
        <v>491</v>
      </c>
      <c r="I44" s="18" t="s">
        <v>492</v>
      </c>
      <c r="J44" s="14">
        <v>42</v>
      </c>
    </row>
    <row r="45" spans="1:10" s="10" customFormat="1" ht="14.45">
      <c r="A45" s="13">
        <v>43</v>
      </c>
      <c r="B45" s="28" t="s">
        <v>167</v>
      </c>
      <c r="C45" s="19" t="s">
        <v>546</v>
      </c>
      <c r="D45" s="14" t="s">
        <v>487</v>
      </c>
      <c r="E45" s="14" t="s">
        <v>504</v>
      </c>
      <c r="F45" s="14" t="s">
        <v>489</v>
      </c>
      <c r="G45" s="18" t="s">
        <v>490</v>
      </c>
      <c r="H45" s="14" t="s">
        <v>491</v>
      </c>
      <c r="I45" s="18" t="s">
        <v>492</v>
      </c>
      <c r="J45" s="14">
        <v>43</v>
      </c>
    </row>
    <row r="46" spans="1:10" s="10" customFormat="1" ht="14.45">
      <c r="A46" s="13">
        <v>44</v>
      </c>
      <c r="B46" s="28" t="s">
        <v>168</v>
      </c>
      <c r="C46" s="19" t="s">
        <v>547</v>
      </c>
      <c r="D46" s="14" t="s">
        <v>487</v>
      </c>
      <c r="E46" s="14" t="s">
        <v>488</v>
      </c>
      <c r="F46" s="14" t="s">
        <v>489</v>
      </c>
      <c r="G46" s="18" t="s">
        <v>490</v>
      </c>
      <c r="H46" s="14" t="s">
        <v>491</v>
      </c>
      <c r="I46" s="18" t="s">
        <v>492</v>
      </c>
      <c r="J46" s="14">
        <v>44</v>
      </c>
    </row>
    <row r="47" spans="1:10" s="10" customFormat="1" ht="14.45">
      <c r="A47" s="13">
        <v>45</v>
      </c>
      <c r="B47" s="28" t="s">
        <v>169</v>
      </c>
      <c r="C47" s="19" t="s">
        <v>548</v>
      </c>
      <c r="D47" s="14" t="s">
        <v>487</v>
      </c>
      <c r="E47" s="14" t="s">
        <v>495</v>
      </c>
      <c r="F47" s="14" t="s">
        <v>489</v>
      </c>
      <c r="G47" s="18" t="s">
        <v>490</v>
      </c>
      <c r="H47" s="14" t="s">
        <v>491</v>
      </c>
      <c r="I47" s="18" t="s">
        <v>492</v>
      </c>
      <c r="J47" s="14">
        <v>45</v>
      </c>
    </row>
    <row r="48" spans="1:10" s="10" customFormat="1" ht="14.45">
      <c r="A48" s="13">
        <v>46</v>
      </c>
      <c r="B48" s="28" t="s">
        <v>170</v>
      </c>
      <c r="C48" s="19" t="s">
        <v>549</v>
      </c>
      <c r="D48" s="14" t="s">
        <v>494</v>
      </c>
      <c r="E48" s="14" t="s">
        <v>488</v>
      </c>
      <c r="F48" s="14" t="s">
        <v>489</v>
      </c>
      <c r="G48" s="18" t="s">
        <v>496</v>
      </c>
      <c r="H48" s="14" t="s">
        <v>491</v>
      </c>
      <c r="I48" s="18" t="s">
        <v>492</v>
      </c>
      <c r="J48" s="14">
        <v>46</v>
      </c>
    </row>
    <row r="49" spans="1:10" s="10" customFormat="1" ht="14.45">
      <c r="A49" s="13">
        <v>47</v>
      </c>
      <c r="B49" s="28" t="s">
        <v>172</v>
      </c>
      <c r="C49" s="19" t="s">
        <v>550</v>
      </c>
      <c r="D49" s="14" t="s">
        <v>494</v>
      </c>
      <c r="E49" s="14" t="s">
        <v>488</v>
      </c>
      <c r="F49" s="14" t="s">
        <v>489</v>
      </c>
      <c r="G49" s="18" t="s">
        <v>496</v>
      </c>
      <c r="H49" s="14" t="s">
        <v>491</v>
      </c>
      <c r="I49" s="18" t="s">
        <v>492</v>
      </c>
      <c r="J49" s="14">
        <v>47</v>
      </c>
    </row>
    <row r="50" spans="1:10" s="10" customFormat="1" ht="14.45">
      <c r="A50" s="13">
        <v>48</v>
      </c>
      <c r="B50" s="28" t="s">
        <v>173</v>
      </c>
      <c r="C50" s="19" t="s">
        <v>551</v>
      </c>
      <c r="D50" s="14" t="s">
        <v>494</v>
      </c>
      <c r="E50" s="14" t="s">
        <v>488</v>
      </c>
      <c r="F50" s="14" t="s">
        <v>489</v>
      </c>
      <c r="G50" s="18" t="s">
        <v>496</v>
      </c>
      <c r="H50" s="14" t="s">
        <v>491</v>
      </c>
      <c r="I50" s="18" t="s">
        <v>492</v>
      </c>
      <c r="J50" s="14">
        <v>48</v>
      </c>
    </row>
    <row r="51" spans="1:10" s="10" customFormat="1" ht="14.45">
      <c r="A51" s="13">
        <v>49</v>
      </c>
      <c r="B51" s="28" t="s">
        <v>174</v>
      </c>
      <c r="C51" s="19" t="s">
        <v>552</v>
      </c>
      <c r="D51" s="14" t="s">
        <v>487</v>
      </c>
      <c r="E51" s="14" t="s">
        <v>488</v>
      </c>
      <c r="F51" s="14" t="s">
        <v>489</v>
      </c>
      <c r="G51" s="18" t="s">
        <v>490</v>
      </c>
      <c r="H51" s="14" t="s">
        <v>491</v>
      </c>
      <c r="I51" s="18" t="s">
        <v>492</v>
      </c>
      <c r="J51" s="14">
        <v>49</v>
      </c>
    </row>
    <row r="52" spans="1:10" s="10" customFormat="1" ht="14.45">
      <c r="A52" s="13">
        <v>50</v>
      </c>
      <c r="B52" s="28" t="s">
        <v>176</v>
      </c>
      <c r="C52" s="19" t="s">
        <v>553</v>
      </c>
      <c r="D52" s="14" t="s">
        <v>494</v>
      </c>
      <c r="E52" s="14" t="s">
        <v>488</v>
      </c>
      <c r="F52" s="14" t="s">
        <v>489</v>
      </c>
      <c r="G52" s="18" t="s">
        <v>496</v>
      </c>
      <c r="H52" s="14" t="s">
        <v>491</v>
      </c>
      <c r="I52" s="18" t="s">
        <v>492</v>
      </c>
      <c r="J52" s="14">
        <v>50</v>
      </c>
    </row>
    <row r="53" spans="1:10" s="10" customFormat="1" ht="14.45">
      <c r="A53" s="13">
        <v>51</v>
      </c>
      <c r="B53" s="28" t="s">
        <v>177</v>
      </c>
      <c r="C53" s="19" t="s">
        <v>554</v>
      </c>
      <c r="D53" s="14" t="s">
        <v>487</v>
      </c>
      <c r="E53" s="14" t="s">
        <v>504</v>
      </c>
      <c r="F53" s="14" t="s">
        <v>501</v>
      </c>
      <c r="G53" s="18" t="s">
        <v>490</v>
      </c>
      <c r="H53" s="14" t="s">
        <v>555</v>
      </c>
      <c r="I53" s="18" t="s">
        <v>492</v>
      </c>
      <c r="J53" s="14">
        <v>51</v>
      </c>
    </row>
    <row r="54" spans="1:10" s="10" customFormat="1" ht="14.45">
      <c r="A54" s="13">
        <v>52</v>
      </c>
      <c r="B54" s="28" t="s">
        <v>179</v>
      </c>
      <c r="C54" s="19" t="s">
        <v>556</v>
      </c>
      <c r="D54" s="14" t="s">
        <v>487</v>
      </c>
      <c r="E54" s="14" t="s">
        <v>495</v>
      </c>
      <c r="F54" s="14" t="s">
        <v>501</v>
      </c>
      <c r="G54" s="18" t="s">
        <v>490</v>
      </c>
      <c r="H54" s="14" t="s">
        <v>557</v>
      </c>
      <c r="I54" s="18" t="s">
        <v>492</v>
      </c>
      <c r="J54" s="14">
        <v>52</v>
      </c>
    </row>
    <row r="55" spans="1:10" s="10" customFormat="1" ht="14.45">
      <c r="A55" s="13">
        <v>53</v>
      </c>
      <c r="B55" s="28" t="s">
        <v>181</v>
      </c>
      <c r="C55" s="19" t="s">
        <v>558</v>
      </c>
      <c r="D55" s="14" t="s">
        <v>487</v>
      </c>
      <c r="E55" s="14" t="s">
        <v>488</v>
      </c>
      <c r="F55" s="14" t="s">
        <v>489</v>
      </c>
      <c r="G55" s="18" t="s">
        <v>490</v>
      </c>
      <c r="H55" s="14" t="s">
        <v>491</v>
      </c>
      <c r="I55" s="18" t="s">
        <v>492</v>
      </c>
      <c r="J55" s="14">
        <v>53</v>
      </c>
    </row>
    <row r="56" spans="1:10" s="10" customFormat="1" ht="14.45">
      <c r="A56" s="13">
        <v>54</v>
      </c>
      <c r="B56" s="28" t="s">
        <v>559</v>
      </c>
      <c r="C56" s="19" t="s">
        <v>560</v>
      </c>
      <c r="D56" s="14" t="s">
        <v>487</v>
      </c>
      <c r="E56" s="14" t="s">
        <v>488</v>
      </c>
      <c r="F56" s="14" t="s">
        <v>489</v>
      </c>
      <c r="G56" s="18" t="s">
        <v>490</v>
      </c>
      <c r="H56" s="14" t="s">
        <v>491</v>
      </c>
      <c r="I56" s="18" t="s">
        <v>492</v>
      </c>
      <c r="J56" s="14">
        <v>54</v>
      </c>
    </row>
    <row r="57" spans="1:10" s="10" customFormat="1" ht="14.45">
      <c r="A57" s="13">
        <v>55</v>
      </c>
      <c r="B57" s="28" t="s">
        <v>561</v>
      </c>
      <c r="C57" s="19" t="s">
        <v>562</v>
      </c>
      <c r="D57" s="14" t="s">
        <v>487</v>
      </c>
      <c r="E57" s="14" t="s">
        <v>488</v>
      </c>
      <c r="F57" s="14" t="s">
        <v>489</v>
      </c>
      <c r="G57" s="18" t="s">
        <v>490</v>
      </c>
      <c r="H57" s="14" t="s">
        <v>491</v>
      </c>
      <c r="I57" s="18" t="s">
        <v>492</v>
      </c>
      <c r="J57" s="14">
        <v>55</v>
      </c>
    </row>
    <row r="58" spans="1:10" s="10" customFormat="1" ht="14.45">
      <c r="A58" s="13">
        <v>56</v>
      </c>
      <c r="B58" s="28" t="s">
        <v>563</v>
      </c>
      <c r="C58" s="19" t="s">
        <v>564</v>
      </c>
      <c r="D58" s="14" t="s">
        <v>487</v>
      </c>
      <c r="E58" s="14" t="s">
        <v>488</v>
      </c>
      <c r="F58" s="14" t="s">
        <v>489</v>
      </c>
      <c r="G58" s="18" t="s">
        <v>490</v>
      </c>
      <c r="H58" s="14" t="s">
        <v>491</v>
      </c>
      <c r="I58" s="18" t="s">
        <v>492</v>
      </c>
      <c r="J58" s="14">
        <v>56</v>
      </c>
    </row>
    <row r="59" spans="1:10" s="10" customFormat="1" ht="14.45">
      <c r="A59" s="13">
        <v>57</v>
      </c>
      <c r="B59" s="28" t="s">
        <v>565</v>
      </c>
      <c r="C59" s="19" t="s">
        <v>566</v>
      </c>
      <c r="D59" s="14" t="s">
        <v>487</v>
      </c>
      <c r="E59" s="14" t="s">
        <v>488</v>
      </c>
      <c r="F59" s="14" t="s">
        <v>489</v>
      </c>
      <c r="G59" s="18" t="s">
        <v>490</v>
      </c>
      <c r="H59" s="14" t="s">
        <v>491</v>
      </c>
      <c r="I59" s="18" t="s">
        <v>492</v>
      </c>
      <c r="J59" s="14">
        <v>57</v>
      </c>
    </row>
    <row r="60" spans="1:10" s="10" customFormat="1" ht="14.45">
      <c r="A60" s="13">
        <v>58</v>
      </c>
      <c r="B60" s="28" t="s">
        <v>567</v>
      </c>
      <c r="C60" s="19" t="s">
        <v>568</v>
      </c>
      <c r="D60" s="14" t="s">
        <v>487</v>
      </c>
      <c r="E60" s="14" t="s">
        <v>488</v>
      </c>
      <c r="F60" s="14" t="s">
        <v>489</v>
      </c>
      <c r="G60" s="18" t="s">
        <v>490</v>
      </c>
      <c r="H60" s="14" t="s">
        <v>491</v>
      </c>
      <c r="I60" s="18" t="s">
        <v>492</v>
      </c>
      <c r="J60" s="14">
        <v>58</v>
      </c>
    </row>
    <row r="61" spans="1:10" s="10" customFormat="1" ht="14.45">
      <c r="A61" s="13">
        <v>59</v>
      </c>
      <c r="B61" s="28" t="s">
        <v>185</v>
      </c>
      <c r="C61" s="19" t="s">
        <v>569</v>
      </c>
      <c r="D61" s="14" t="s">
        <v>494</v>
      </c>
      <c r="E61" s="14" t="s">
        <v>488</v>
      </c>
      <c r="F61" s="14" t="s">
        <v>489</v>
      </c>
      <c r="G61" s="18" t="s">
        <v>496</v>
      </c>
      <c r="H61" s="14" t="s">
        <v>491</v>
      </c>
      <c r="I61" s="18" t="s">
        <v>492</v>
      </c>
      <c r="J61" s="14">
        <v>59</v>
      </c>
    </row>
    <row r="62" spans="1:10" s="10" customFormat="1" ht="14.45">
      <c r="A62" s="13">
        <v>60</v>
      </c>
      <c r="B62" s="28" t="s">
        <v>570</v>
      </c>
      <c r="C62" s="19" t="s">
        <v>526</v>
      </c>
      <c r="D62" s="14" t="s">
        <v>526</v>
      </c>
      <c r="E62" s="14" t="s">
        <v>526</v>
      </c>
      <c r="F62" s="14" t="s">
        <v>526</v>
      </c>
      <c r="G62" s="18" t="s">
        <v>526</v>
      </c>
      <c r="H62" s="14" t="s">
        <v>526</v>
      </c>
      <c r="I62" s="18" t="s">
        <v>526</v>
      </c>
      <c r="J62" s="14">
        <v>60</v>
      </c>
    </row>
    <row r="63" spans="1:10" s="10" customFormat="1" ht="14.45">
      <c r="A63" s="13">
        <v>61</v>
      </c>
      <c r="B63" s="28" t="s">
        <v>195</v>
      </c>
      <c r="C63" s="19" t="s">
        <v>571</v>
      </c>
      <c r="D63" s="14" t="s">
        <v>487</v>
      </c>
      <c r="E63" s="14" t="s">
        <v>504</v>
      </c>
      <c r="F63" s="14" t="s">
        <v>489</v>
      </c>
      <c r="G63" s="18" t="s">
        <v>490</v>
      </c>
      <c r="H63" s="14" t="s">
        <v>491</v>
      </c>
      <c r="I63" s="18" t="s">
        <v>492</v>
      </c>
      <c r="J63" s="14">
        <v>61</v>
      </c>
    </row>
    <row r="64" spans="1:10" s="10" customFormat="1" ht="14.45">
      <c r="A64" s="13">
        <v>62</v>
      </c>
      <c r="B64" s="28" t="s">
        <v>196</v>
      </c>
      <c r="C64" s="19" t="s">
        <v>572</v>
      </c>
      <c r="D64" s="14" t="s">
        <v>494</v>
      </c>
      <c r="E64" s="14" t="s">
        <v>488</v>
      </c>
      <c r="F64" s="14" t="s">
        <v>489</v>
      </c>
      <c r="G64" s="18" t="s">
        <v>496</v>
      </c>
      <c r="H64" s="14" t="s">
        <v>491</v>
      </c>
      <c r="I64" s="18" t="s">
        <v>492</v>
      </c>
      <c r="J64" s="14">
        <v>62</v>
      </c>
    </row>
    <row r="65" spans="1:10" s="10" customFormat="1" ht="14.45">
      <c r="A65" s="13">
        <v>63</v>
      </c>
      <c r="B65" s="28" t="s">
        <v>197</v>
      </c>
      <c r="C65" s="19" t="s">
        <v>573</v>
      </c>
      <c r="D65" s="14" t="s">
        <v>494</v>
      </c>
      <c r="E65" s="14" t="s">
        <v>488</v>
      </c>
      <c r="F65" s="14" t="s">
        <v>489</v>
      </c>
      <c r="G65" s="18" t="s">
        <v>496</v>
      </c>
      <c r="H65" s="14" t="s">
        <v>491</v>
      </c>
      <c r="I65" s="18" t="s">
        <v>492</v>
      </c>
      <c r="J65" s="14">
        <v>63</v>
      </c>
    </row>
    <row r="66" spans="1:10" s="10" customFormat="1" ht="14.45">
      <c r="A66" s="13">
        <v>64</v>
      </c>
      <c r="B66" s="28" t="s">
        <v>198</v>
      </c>
      <c r="C66" s="19" t="s">
        <v>574</v>
      </c>
      <c r="D66" s="14" t="s">
        <v>494</v>
      </c>
      <c r="E66" s="14" t="s">
        <v>488</v>
      </c>
      <c r="F66" s="14" t="s">
        <v>489</v>
      </c>
      <c r="G66" s="18" t="s">
        <v>496</v>
      </c>
      <c r="H66" s="14" t="s">
        <v>491</v>
      </c>
      <c r="I66" s="18" t="s">
        <v>492</v>
      </c>
      <c r="J66" s="14">
        <v>64</v>
      </c>
    </row>
    <row r="67" spans="1:10" s="10" customFormat="1" ht="14.45">
      <c r="A67" s="13">
        <v>65</v>
      </c>
      <c r="B67" s="28" t="s">
        <v>199</v>
      </c>
      <c r="C67" s="19" t="s">
        <v>575</v>
      </c>
      <c r="D67" s="14" t="s">
        <v>494</v>
      </c>
      <c r="E67" s="14" t="s">
        <v>488</v>
      </c>
      <c r="F67" s="14" t="s">
        <v>489</v>
      </c>
      <c r="G67" s="18" t="s">
        <v>496</v>
      </c>
      <c r="H67" s="14" t="s">
        <v>491</v>
      </c>
      <c r="I67" s="18" t="s">
        <v>492</v>
      </c>
      <c r="J67" s="14">
        <v>65</v>
      </c>
    </row>
    <row r="68" spans="1:10" s="10" customFormat="1" ht="14.45">
      <c r="A68" s="13">
        <v>66</v>
      </c>
      <c r="B68" s="28" t="s">
        <v>200</v>
      </c>
      <c r="C68" s="19" t="s">
        <v>576</v>
      </c>
      <c r="D68" s="14" t="s">
        <v>494</v>
      </c>
      <c r="E68" s="14" t="s">
        <v>488</v>
      </c>
      <c r="F68" s="14" t="s">
        <v>489</v>
      </c>
      <c r="G68" s="18" t="s">
        <v>496</v>
      </c>
      <c r="H68" s="14" t="s">
        <v>491</v>
      </c>
      <c r="I68" s="18" t="s">
        <v>492</v>
      </c>
      <c r="J68" s="14">
        <v>66</v>
      </c>
    </row>
    <row r="69" spans="1:10" s="10" customFormat="1" ht="14.45">
      <c r="A69" s="13">
        <v>67</v>
      </c>
      <c r="B69" s="28" t="s">
        <v>201</v>
      </c>
      <c r="C69" s="19" t="s">
        <v>577</v>
      </c>
      <c r="D69" s="14" t="s">
        <v>494</v>
      </c>
      <c r="E69" s="14" t="s">
        <v>488</v>
      </c>
      <c r="F69" s="14" t="s">
        <v>489</v>
      </c>
      <c r="G69" s="18" t="s">
        <v>496</v>
      </c>
      <c r="H69" s="14" t="s">
        <v>491</v>
      </c>
      <c r="I69" s="18" t="s">
        <v>492</v>
      </c>
      <c r="J69" s="14">
        <v>67</v>
      </c>
    </row>
    <row r="70" spans="1:10" s="10" customFormat="1" ht="14.45">
      <c r="A70" s="13">
        <v>68</v>
      </c>
      <c r="B70" s="28" t="s">
        <v>202</v>
      </c>
      <c r="C70" s="19" t="s">
        <v>578</v>
      </c>
      <c r="D70" s="14" t="s">
        <v>494</v>
      </c>
      <c r="E70" s="14" t="s">
        <v>488</v>
      </c>
      <c r="F70" s="14" t="s">
        <v>489</v>
      </c>
      <c r="G70" s="18" t="s">
        <v>496</v>
      </c>
      <c r="H70" s="14" t="s">
        <v>491</v>
      </c>
      <c r="I70" s="18" t="s">
        <v>492</v>
      </c>
      <c r="J70" s="14">
        <v>68</v>
      </c>
    </row>
    <row r="71" spans="1:10" s="10" customFormat="1" ht="14.45">
      <c r="A71" s="13">
        <v>69</v>
      </c>
      <c r="B71" s="28" t="s">
        <v>203</v>
      </c>
      <c r="C71" s="19" t="s">
        <v>579</v>
      </c>
      <c r="D71" s="14" t="s">
        <v>487</v>
      </c>
      <c r="E71" s="14" t="s">
        <v>504</v>
      </c>
      <c r="F71" s="14" t="s">
        <v>489</v>
      </c>
      <c r="G71" s="18" t="s">
        <v>490</v>
      </c>
      <c r="H71" s="14" t="s">
        <v>491</v>
      </c>
      <c r="I71" s="18" t="s">
        <v>492</v>
      </c>
      <c r="J71" s="14">
        <v>69</v>
      </c>
    </row>
    <row r="72" spans="1:10" s="10" customFormat="1" ht="14.45">
      <c r="A72" s="13">
        <v>70</v>
      </c>
      <c r="B72" s="28" t="s">
        <v>204</v>
      </c>
      <c r="C72" s="19" t="s">
        <v>580</v>
      </c>
      <c r="D72" s="14" t="s">
        <v>494</v>
      </c>
      <c r="E72" s="14" t="s">
        <v>488</v>
      </c>
      <c r="F72" s="14" t="s">
        <v>489</v>
      </c>
      <c r="G72" s="18" t="s">
        <v>496</v>
      </c>
      <c r="H72" s="14" t="s">
        <v>491</v>
      </c>
      <c r="I72" s="18" t="s">
        <v>492</v>
      </c>
      <c r="J72" s="14">
        <v>70</v>
      </c>
    </row>
    <row r="73" spans="1:10" s="10" customFormat="1" ht="14.45">
      <c r="A73" s="13">
        <v>71</v>
      </c>
      <c r="B73" s="28" t="s">
        <v>205</v>
      </c>
      <c r="C73" s="19" t="s">
        <v>581</v>
      </c>
      <c r="D73" s="14" t="s">
        <v>487</v>
      </c>
      <c r="E73" s="14" t="s">
        <v>499</v>
      </c>
      <c r="F73" s="14" t="s">
        <v>489</v>
      </c>
      <c r="G73" s="18" t="s">
        <v>490</v>
      </c>
      <c r="H73" s="14" t="s">
        <v>491</v>
      </c>
      <c r="I73" s="18" t="s">
        <v>492</v>
      </c>
      <c r="J73" s="14">
        <v>71</v>
      </c>
    </row>
    <row r="74" spans="1:10" s="10" customFormat="1" ht="14.45">
      <c r="A74" s="13">
        <v>72</v>
      </c>
      <c r="B74" s="28" t="s">
        <v>206</v>
      </c>
      <c r="C74" s="19" t="s">
        <v>582</v>
      </c>
      <c r="D74" s="14" t="s">
        <v>494</v>
      </c>
      <c r="E74" s="14" t="s">
        <v>488</v>
      </c>
      <c r="F74" s="14" t="s">
        <v>489</v>
      </c>
      <c r="G74" s="18" t="s">
        <v>496</v>
      </c>
      <c r="H74" s="14" t="s">
        <v>491</v>
      </c>
      <c r="I74" s="18" t="s">
        <v>492</v>
      </c>
      <c r="J74" s="14">
        <v>72</v>
      </c>
    </row>
    <row r="75" spans="1:10" s="10" customFormat="1" ht="14.45">
      <c r="A75" s="13">
        <v>73</v>
      </c>
      <c r="B75" s="28" t="s">
        <v>207</v>
      </c>
      <c r="C75" s="19" t="s">
        <v>583</v>
      </c>
      <c r="D75" s="14" t="s">
        <v>494</v>
      </c>
      <c r="E75" s="14" t="s">
        <v>488</v>
      </c>
      <c r="F75" s="14" t="s">
        <v>489</v>
      </c>
      <c r="G75" s="18" t="s">
        <v>496</v>
      </c>
      <c r="H75" s="14" t="s">
        <v>491</v>
      </c>
      <c r="I75" s="18" t="s">
        <v>492</v>
      </c>
      <c r="J75" s="14">
        <v>73</v>
      </c>
    </row>
    <row r="76" spans="1:10" s="10" customFormat="1" ht="14.45">
      <c r="A76" s="13">
        <v>74</v>
      </c>
      <c r="B76" s="28" t="s">
        <v>210</v>
      </c>
      <c r="C76" s="19" t="s">
        <v>584</v>
      </c>
      <c r="D76" s="14" t="s">
        <v>494</v>
      </c>
      <c r="E76" s="14" t="s">
        <v>488</v>
      </c>
      <c r="F76" s="14" t="s">
        <v>489</v>
      </c>
      <c r="G76" s="18" t="s">
        <v>496</v>
      </c>
      <c r="H76" s="14" t="s">
        <v>491</v>
      </c>
      <c r="I76" s="18" t="s">
        <v>492</v>
      </c>
      <c r="J76" s="14">
        <v>74</v>
      </c>
    </row>
    <row r="77" spans="1:10" s="10" customFormat="1" ht="14.45">
      <c r="A77" s="13">
        <v>75</v>
      </c>
      <c r="B77" s="28" t="s">
        <v>211</v>
      </c>
      <c r="C77" s="19" t="s">
        <v>585</v>
      </c>
      <c r="D77" s="14" t="s">
        <v>494</v>
      </c>
      <c r="E77" s="14" t="s">
        <v>488</v>
      </c>
      <c r="F77" s="14" t="s">
        <v>489</v>
      </c>
      <c r="G77" s="18" t="s">
        <v>496</v>
      </c>
      <c r="H77" s="14" t="s">
        <v>491</v>
      </c>
      <c r="I77" s="18" t="s">
        <v>492</v>
      </c>
      <c r="J77" s="14">
        <v>75</v>
      </c>
    </row>
    <row r="78" spans="1:10" s="10" customFormat="1" ht="14.45">
      <c r="A78" s="13">
        <v>76</v>
      </c>
      <c r="B78" s="28" t="s">
        <v>214</v>
      </c>
      <c r="C78" s="19" t="s">
        <v>586</v>
      </c>
      <c r="D78" s="14" t="s">
        <v>494</v>
      </c>
      <c r="E78" s="14" t="s">
        <v>488</v>
      </c>
      <c r="F78" s="14" t="s">
        <v>489</v>
      </c>
      <c r="G78" s="18" t="s">
        <v>496</v>
      </c>
      <c r="H78" s="14" t="s">
        <v>491</v>
      </c>
      <c r="I78" s="18" t="s">
        <v>492</v>
      </c>
      <c r="J78" s="14">
        <v>76</v>
      </c>
    </row>
    <row r="79" spans="1:10" s="10" customFormat="1" ht="14.45">
      <c r="A79" s="13">
        <v>77</v>
      </c>
      <c r="B79" s="28" t="s">
        <v>217</v>
      </c>
      <c r="C79" s="19" t="s">
        <v>587</v>
      </c>
      <c r="D79" s="14" t="s">
        <v>494</v>
      </c>
      <c r="E79" s="14" t="s">
        <v>488</v>
      </c>
      <c r="F79" s="14" t="s">
        <v>489</v>
      </c>
      <c r="G79" s="18" t="s">
        <v>496</v>
      </c>
      <c r="H79" s="14" t="s">
        <v>491</v>
      </c>
      <c r="I79" s="18" t="s">
        <v>492</v>
      </c>
      <c r="J79" s="14">
        <v>77</v>
      </c>
    </row>
    <row r="80" spans="1:10" s="10" customFormat="1" ht="14.45">
      <c r="A80" s="13">
        <v>78</v>
      </c>
      <c r="B80" s="28" t="s">
        <v>219</v>
      </c>
      <c r="C80" s="19" t="s">
        <v>588</v>
      </c>
      <c r="D80" s="14" t="s">
        <v>494</v>
      </c>
      <c r="E80" s="14" t="s">
        <v>488</v>
      </c>
      <c r="F80" s="14" t="s">
        <v>489</v>
      </c>
      <c r="G80" s="18" t="s">
        <v>496</v>
      </c>
      <c r="H80" s="14" t="s">
        <v>491</v>
      </c>
      <c r="I80" s="18" t="s">
        <v>492</v>
      </c>
      <c r="J80" s="14">
        <v>78</v>
      </c>
    </row>
    <row r="81" spans="1:10" s="10" customFormat="1" ht="14.45">
      <c r="A81" s="13">
        <v>79</v>
      </c>
      <c r="B81" s="28" t="s">
        <v>220</v>
      </c>
      <c r="C81" s="19" t="s">
        <v>589</v>
      </c>
      <c r="D81" s="14" t="s">
        <v>487</v>
      </c>
      <c r="E81" s="14" t="s">
        <v>504</v>
      </c>
      <c r="F81" s="14" t="s">
        <v>489</v>
      </c>
      <c r="G81" s="18" t="s">
        <v>490</v>
      </c>
      <c r="H81" s="14" t="s">
        <v>491</v>
      </c>
      <c r="I81" s="18" t="s">
        <v>492</v>
      </c>
      <c r="J81" s="14">
        <v>79</v>
      </c>
    </row>
    <row r="82" spans="1:10" s="10" customFormat="1" ht="14.45">
      <c r="A82" s="13">
        <v>80</v>
      </c>
      <c r="B82" s="28" t="s">
        <v>221</v>
      </c>
      <c r="C82" s="19" t="s">
        <v>590</v>
      </c>
      <c r="D82" s="14" t="s">
        <v>494</v>
      </c>
      <c r="E82" s="14" t="s">
        <v>488</v>
      </c>
      <c r="F82" s="14" t="s">
        <v>489</v>
      </c>
      <c r="G82" s="18" t="s">
        <v>496</v>
      </c>
      <c r="H82" s="14" t="s">
        <v>491</v>
      </c>
      <c r="I82" s="18" t="s">
        <v>492</v>
      </c>
      <c r="J82" s="14">
        <v>80</v>
      </c>
    </row>
    <row r="83" spans="1:10" s="10" customFormat="1" ht="14.45">
      <c r="A83" s="13">
        <v>81</v>
      </c>
      <c r="B83" s="28" t="s">
        <v>222</v>
      </c>
      <c r="C83" s="19" t="s">
        <v>591</v>
      </c>
      <c r="D83" s="14" t="s">
        <v>494</v>
      </c>
      <c r="E83" s="14" t="s">
        <v>488</v>
      </c>
      <c r="F83" s="14" t="s">
        <v>489</v>
      </c>
      <c r="G83" s="18" t="s">
        <v>496</v>
      </c>
      <c r="H83" s="14" t="s">
        <v>491</v>
      </c>
      <c r="I83" s="18" t="s">
        <v>492</v>
      </c>
      <c r="J83" s="14">
        <v>81</v>
      </c>
    </row>
    <row r="84" spans="1:10" s="10" customFormat="1" ht="14.45">
      <c r="A84" s="13">
        <v>82</v>
      </c>
      <c r="B84" s="28" t="s">
        <v>223</v>
      </c>
      <c r="C84" s="19" t="s">
        <v>592</v>
      </c>
      <c r="D84" s="14" t="s">
        <v>494</v>
      </c>
      <c r="E84" s="14" t="s">
        <v>488</v>
      </c>
      <c r="F84" s="14" t="s">
        <v>489</v>
      </c>
      <c r="G84" s="18" t="s">
        <v>496</v>
      </c>
      <c r="H84" s="14" t="s">
        <v>491</v>
      </c>
      <c r="I84" s="18" t="s">
        <v>492</v>
      </c>
      <c r="J84" s="14">
        <v>82</v>
      </c>
    </row>
    <row r="85" spans="1:10" s="10" customFormat="1" ht="14.45">
      <c r="A85" s="13">
        <v>83</v>
      </c>
      <c r="B85" s="28" t="s">
        <v>225</v>
      </c>
      <c r="C85" s="19" t="s">
        <v>593</v>
      </c>
      <c r="D85" s="14" t="s">
        <v>494</v>
      </c>
      <c r="E85" s="14" t="s">
        <v>488</v>
      </c>
      <c r="F85" s="14" t="s">
        <v>489</v>
      </c>
      <c r="G85" s="18" t="s">
        <v>496</v>
      </c>
      <c r="H85" s="14" t="s">
        <v>491</v>
      </c>
      <c r="I85" s="18" t="s">
        <v>492</v>
      </c>
      <c r="J85" s="14">
        <v>83</v>
      </c>
    </row>
    <row r="86" spans="1:10" s="10" customFormat="1" ht="14.45">
      <c r="A86" s="13">
        <v>84</v>
      </c>
      <c r="B86" s="28" t="s">
        <v>227</v>
      </c>
      <c r="C86" s="19" t="s">
        <v>594</v>
      </c>
      <c r="D86" s="14" t="s">
        <v>494</v>
      </c>
      <c r="E86" s="14" t="s">
        <v>488</v>
      </c>
      <c r="F86" s="14" t="s">
        <v>489</v>
      </c>
      <c r="G86" s="18" t="s">
        <v>496</v>
      </c>
      <c r="H86" s="14" t="s">
        <v>491</v>
      </c>
      <c r="I86" s="18" t="s">
        <v>492</v>
      </c>
      <c r="J86" s="14">
        <v>84</v>
      </c>
    </row>
    <row r="87" spans="1:10" s="10" customFormat="1" ht="14.45">
      <c r="A87" s="13">
        <v>85</v>
      </c>
      <c r="B87" s="28" t="s">
        <v>303</v>
      </c>
      <c r="C87" s="19" t="s">
        <v>595</v>
      </c>
      <c r="D87" s="14" t="s">
        <v>494</v>
      </c>
      <c r="E87" s="14" t="s">
        <v>488</v>
      </c>
      <c r="F87" s="14" t="s">
        <v>489</v>
      </c>
      <c r="G87" s="18" t="s">
        <v>496</v>
      </c>
      <c r="H87" s="14" t="s">
        <v>491</v>
      </c>
      <c r="I87" s="18" t="s">
        <v>492</v>
      </c>
      <c r="J87" s="14">
        <v>85</v>
      </c>
    </row>
    <row r="88" spans="1:10" s="10" customFormat="1" ht="14.45">
      <c r="A88" s="13">
        <v>86</v>
      </c>
      <c r="B88" s="28" t="s">
        <v>304</v>
      </c>
      <c r="C88" s="19" t="s">
        <v>596</v>
      </c>
      <c r="D88" s="14" t="s">
        <v>494</v>
      </c>
      <c r="E88" s="14" t="s">
        <v>488</v>
      </c>
      <c r="F88" s="14" t="s">
        <v>489</v>
      </c>
      <c r="G88" s="18" t="s">
        <v>496</v>
      </c>
      <c r="H88" s="14" t="s">
        <v>491</v>
      </c>
      <c r="I88" s="18" t="s">
        <v>492</v>
      </c>
      <c r="J88" s="14">
        <v>86</v>
      </c>
    </row>
    <row r="89" spans="1:10" s="10" customFormat="1" ht="14.45">
      <c r="A89" s="13">
        <v>87</v>
      </c>
      <c r="B89" s="28" t="s">
        <v>305</v>
      </c>
      <c r="C89" s="19" t="s">
        <v>597</v>
      </c>
      <c r="D89" s="14" t="s">
        <v>494</v>
      </c>
      <c r="E89" s="14" t="s">
        <v>488</v>
      </c>
      <c r="F89" s="14" t="s">
        <v>489</v>
      </c>
      <c r="G89" s="18" t="s">
        <v>496</v>
      </c>
      <c r="H89" s="14" t="s">
        <v>491</v>
      </c>
      <c r="I89" s="18" t="s">
        <v>492</v>
      </c>
      <c r="J89" s="14">
        <v>87</v>
      </c>
    </row>
    <row r="90" spans="1:10" s="10" customFormat="1" ht="14.45">
      <c r="A90" s="13">
        <v>88</v>
      </c>
      <c r="B90" s="28" t="s">
        <v>306</v>
      </c>
      <c r="C90" s="19" t="s">
        <v>598</v>
      </c>
      <c r="D90" s="14" t="s">
        <v>494</v>
      </c>
      <c r="E90" s="14" t="s">
        <v>488</v>
      </c>
      <c r="F90" s="14" t="s">
        <v>489</v>
      </c>
      <c r="G90" s="18" t="s">
        <v>496</v>
      </c>
      <c r="H90" s="14" t="s">
        <v>491</v>
      </c>
      <c r="I90" s="18" t="s">
        <v>492</v>
      </c>
      <c r="J90" s="14">
        <v>88</v>
      </c>
    </row>
    <row r="91" spans="1:10" s="10" customFormat="1" ht="14.45">
      <c r="A91" s="13">
        <v>89</v>
      </c>
      <c r="B91" s="28" t="s">
        <v>307</v>
      </c>
      <c r="C91" s="19" t="s">
        <v>599</v>
      </c>
      <c r="D91" s="14" t="s">
        <v>494</v>
      </c>
      <c r="E91" s="14" t="s">
        <v>488</v>
      </c>
      <c r="F91" s="14" t="s">
        <v>489</v>
      </c>
      <c r="G91" s="18" t="s">
        <v>496</v>
      </c>
      <c r="H91" s="14" t="s">
        <v>491</v>
      </c>
      <c r="I91" s="18" t="s">
        <v>492</v>
      </c>
      <c r="J91" s="14">
        <v>89</v>
      </c>
    </row>
    <row r="92" spans="1:10" s="10" customFormat="1" ht="14.45">
      <c r="A92" s="13">
        <v>90</v>
      </c>
      <c r="B92" s="28" t="s">
        <v>600</v>
      </c>
      <c r="C92" s="19" t="s">
        <v>601</v>
      </c>
      <c r="D92" s="14" t="s">
        <v>494</v>
      </c>
      <c r="E92" s="14" t="s">
        <v>488</v>
      </c>
      <c r="F92" s="14" t="s">
        <v>489</v>
      </c>
      <c r="G92" s="18" t="s">
        <v>496</v>
      </c>
      <c r="H92" s="14" t="s">
        <v>491</v>
      </c>
      <c r="I92" s="18" t="s">
        <v>492</v>
      </c>
      <c r="J92" s="14">
        <v>90</v>
      </c>
    </row>
    <row r="93" spans="1:10" s="10" customFormat="1" ht="14.45">
      <c r="A93" s="13">
        <v>91</v>
      </c>
      <c r="B93" s="28" t="s">
        <v>308</v>
      </c>
      <c r="C93" s="19" t="s">
        <v>602</v>
      </c>
      <c r="D93" s="14" t="s">
        <v>494</v>
      </c>
      <c r="E93" s="14" t="s">
        <v>488</v>
      </c>
      <c r="F93" s="14" t="s">
        <v>489</v>
      </c>
      <c r="G93" s="18" t="s">
        <v>496</v>
      </c>
      <c r="H93" s="14" t="s">
        <v>491</v>
      </c>
      <c r="I93" s="18" t="s">
        <v>492</v>
      </c>
      <c r="J93" s="14">
        <v>91</v>
      </c>
    </row>
    <row r="94" spans="1:10" s="10" customFormat="1" ht="14.45">
      <c r="A94" s="13">
        <v>92</v>
      </c>
      <c r="B94" s="28" t="s">
        <v>309</v>
      </c>
      <c r="C94" s="19" t="s">
        <v>603</v>
      </c>
      <c r="D94" s="14" t="s">
        <v>494</v>
      </c>
      <c r="E94" s="14" t="s">
        <v>488</v>
      </c>
      <c r="F94" s="14" t="s">
        <v>489</v>
      </c>
      <c r="G94" s="18" t="s">
        <v>496</v>
      </c>
      <c r="H94" s="14" t="s">
        <v>491</v>
      </c>
      <c r="I94" s="18" t="s">
        <v>492</v>
      </c>
      <c r="J94" s="14">
        <v>92</v>
      </c>
    </row>
    <row r="95" spans="1:10" s="10" customFormat="1" ht="14.45">
      <c r="A95" s="13">
        <v>93</v>
      </c>
      <c r="B95" s="28" t="s">
        <v>310</v>
      </c>
      <c r="C95" s="19" t="s">
        <v>604</v>
      </c>
      <c r="D95" s="14" t="s">
        <v>494</v>
      </c>
      <c r="E95" s="14" t="s">
        <v>488</v>
      </c>
      <c r="F95" s="14" t="s">
        <v>489</v>
      </c>
      <c r="G95" s="18" t="s">
        <v>496</v>
      </c>
      <c r="H95" s="14" t="s">
        <v>491</v>
      </c>
      <c r="I95" s="18" t="s">
        <v>492</v>
      </c>
      <c r="J95" s="14">
        <v>93</v>
      </c>
    </row>
    <row r="96" spans="1:10" s="10" customFormat="1" ht="14.45">
      <c r="A96" s="13">
        <v>94</v>
      </c>
      <c r="B96" s="28" t="s">
        <v>605</v>
      </c>
      <c r="C96" s="19" t="s">
        <v>606</v>
      </c>
      <c r="D96" s="14" t="s">
        <v>494</v>
      </c>
      <c r="E96" s="14" t="s">
        <v>488</v>
      </c>
      <c r="F96" s="14" t="s">
        <v>489</v>
      </c>
      <c r="G96" s="18" t="s">
        <v>496</v>
      </c>
      <c r="H96" s="14" t="s">
        <v>491</v>
      </c>
      <c r="I96" s="18" t="s">
        <v>492</v>
      </c>
      <c r="J96" s="14">
        <v>94</v>
      </c>
    </row>
    <row r="97" spans="1:10" s="10" customFormat="1" ht="14.45">
      <c r="A97" s="13">
        <v>95</v>
      </c>
      <c r="B97" s="28" t="s">
        <v>314</v>
      </c>
      <c r="C97" s="19" t="s">
        <v>607</v>
      </c>
      <c r="D97" s="14" t="s">
        <v>494</v>
      </c>
      <c r="E97" s="14" t="s">
        <v>488</v>
      </c>
      <c r="F97" s="14" t="s">
        <v>489</v>
      </c>
      <c r="G97" s="18" t="s">
        <v>496</v>
      </c>
      <c r="H97" s="14" t="s">
        <v>491</v>
      </c>
      <c r="I97" s="18" t="s">
        <v>492</v>
      </c>
      <c r="J97" s="14">
        <v>95</v>
      </c>
    </row>
    <row r="98" spans="1:10" s="10" customFormat="1" ht="14.45">
      <c r="A98" s="13">
        <v>96</v>
      </c>
      <c r="B98" s="28" t="s">
        <v>315</v>
      </c>
      <c r="C98" s="19" t="s">
        <v>608</v>
      </c>
      <c r="D98" s="14" t="s">
        <v>494</v>
      </c>
      <c r="E98" s="14" t="s">
        <v>488</v>
      </c>
      <c r="F98" s="14" t="s">
        <v>489</v>
      </c>
      <c r="G98" s="18" t="s">
        <v>496</v>
      </c>
      <c r="H98" s="14" t="s">
        <v>491</v>
      </c>
      <c r="I98" s="18" t="s">
        <v>492</v>
      </c>
      <c r="J98" s="14">
        <v>96</v>
      </c>
    </row>
    <row r="99" spans="1:10" s="10" customFormat="1" ht="14.45">
      <c r="A99" s="13">
        <v>97</v>
      </c>
      <c r="B99" s="28" t="s">
        <v>321</v>
      </c>
      <c r="C99" s="19" t="s">
        <v>609</v>
      </c>
      <c r="D99" s="14" t="s">
        <v>494</v>
      </c>
      <c r="E99" s="14" t="s">
        <v>488</v>
      </c>
      <c r="F99" s="14" t="s">
        <v>489</v>
      </c>
      <c r="G99" s="18" t="s">
        <v>496</v>
      </c>
      <c r="H99" s="14" t="s">
        <v>491</v>
      </c>
      <c r="I99" s="18" t="s">
        <v>492</v>
      </c>
      <c r="J99" s="14">
        <v>97</v>
      </c>
    </row>
    <row r="100" spans="1:10" s="10" customFormat="1" ht="14.45">
      <c r="A100" s="13">
        <v>98</v>
      </c>
      <c r="B100" s="28" t="s">
        <v>323</v>
      </c>
      <c r="C100" s="19" t="s">
        <v>610</v>
      </c>
      <c r="D100" s="14" t="s">
        <v>494</v>
      </c>
      <c r="E100" s="14" t="s">
        <v>488</v>
      </c>
      <c r="F100" s="14" t="s">
        <v>489</v>
      </c>
      <c r="G100" s="18" t="s">
        <v>496</v>
      </c>
      <c r="H100" s="14" t="s">
        <v>491</v>
      </c>
      <c r="I100" s="18" t="s">
        <v>492</v>
      </c>
      <c r="J100" s="14">
        <v>98</v>
      </c>
    </row>
    <row r="101" spans="1:10" s="10" customFormat="1" ht="14.45">
      <c r="A101" s="13">
        <v>99</v>
      </c>
      <c r="B101" s="28" t="s">
        <v>339</v>
      </c>
      <c r="C101" s="19" t="s">
        <v>611</v>
      </c>
      <c r="D101" s="14" t="s">
        <v>494</v>
      </c>
      <c r="E101" s="14" t="s">
        <v>488</v>
      </c>
      <c r="F101" s="14" t="s">
        <v>489</v>
      </c>
      <c r="G101" s="18" t="s">
        <v>496</v>
      </c>
      <c r="H101" s="14" t="s">
        <v>491</v>
      </c>
      <c r="I101" s="18" t="s">
        <v>492</v>
      </c>
      <c r="J101" s="14">
        <v>99</v>
      </c>
    </row>
    <row r="102" spans="1:10" s="10" customFormat="1" ht="14.45">
      <c r="A102" s="13">
        <v>100</v>
      </c>
      <c r="B102" s="28" t="s">
        <v>340</v>
      </c>
      <c r="C102" s="19" t="s">
        <v>612</v>
      </c>
      <c r="D102" s="14" t="s">
        <v>494</v>
      </c>
      <c r="E102" s="14" t="s">
        <v>488</v>
      </c>
      <c r="F102" s="14" t="s">
        <v>489</v>
      </c>
      <c r="G102" s="18" t="s">
        <v>496</v>
      </c>
      <c r="H102" s="14" t="s">
        <v>491</v>
      </c>
      <c r="I102" s="18" t="s">
        <v>492</v>
      </c>
      <c r="J102" s="14">
        <v>100</v>
      </c>
    </row>
    <row r="103" spans="1:10" s="10" customFormat="1" ht="14.45">
      <c r="A103" s="13">
        <v>101</v>
      </c>
      <c r="B103" s="28" t="s">
        <v>341</v>
      </c>
      <c r="C103" s="19" t="s">
        <v>613</v>
      </c>
      <c r="D103" s="14" t="s">
        <v>494</v>
      </c>
      <c r="E103" s="14" t="s">
        <v>488</v>
      </c>
      <c r="F103" s="14" t="s">
        <v>489</v>
      </c>
      <c r="G103" s="18" t="s">
        <v>496</v>
      </c>
      <c r="H103" s="14" t="s">
        <v>491</v>
      </c>
      <c r="I103" s="18" t="s">
        <v>492</v>
      </c>
      <c r="J103" s="14">
        <v>101</v>
      </c>
    </row>
    <row r="104" spans="1:10" s="10" customFormat="1" ht="14.45">
      <c r="A104" s="13">
        <v>102</v>
      </c>
      <c r="B104" s="28" t="s">
        <v>342</v>
      </c>
      <c r="C104" s="19" t="s">
        <v>614</v>
      </c>
      <c r="D104" s="14" t="s">
        <v>487</v>
      </c>
      <c r="E104" s="14" t="s">
        <v>615</v>
      </c>
      <c r="F104" s="14" t="s">
        <v>501</v>
      </c>
      <c r="G104" s="18" t="s">
        <v>490</v>
      </c>
      <c r="H104" s="14" t="s">
        <v>616</v>
      </c>
      <c r="I104" s="18" t="s">
        <v>492</v>
      </c>
      <c r="J104" s="14">
        <v>102</v>
      </c>
    </row>
    <row r="105" spans="1:10" s="10" customFormat="1" ht="14.45">
      <c r="A105" s="13">
        <v>103</v>
      </c>
      <c r="B105" s="28" t="s">
        <v>343</v>
      </c>
      <c r="C105" s="19" t="s">
        <v>617</v>
      </c>
      <c r="D105" s="14" t="s">
        <v>494</v>
      </c>
      <c r="E105" s="14" t="s">
        <v>488</v>
      </c>
      <c r="F105" s="14" t="s">
        <v>489</v>
      </c>
      <c r="G105" s="18" t="s">
        <v>496</v>
      </c>
      <c r="H105" s="14" t="s">
        <v>491</v>
      </c>
      <c r="I105" s="18" t="s">
        <v>492</v>
      </c>
      <c r="J105" s="14">
        <v>103</v>
      </c>
    </row>
    <row r="106" spans="1:10" s="10" customFormat="1" ht="14.45">
      <c r="A106" s="13">
        <v>104</v>
      </c>
      <c r="B106" s="28" t="s">
        <v>344</v>
      </c>
      <c r="C106" s="19" t="s">
        <v>618</v>
      </c>
      <c r="D106" s="14" t="s">
        <v>494</v>
      </c>
      <c r="E106" s="14" t="s">
        <v>488</v>
      </c>
      <c r="F106" s="14" t="s">
        <v>489</v>
      </c>
      <c r="G106" s="18" t="s">
        <v>496</v>
      </c>
      <c r="H106" s="14" t="s">
        <v>491</v>
      </c>
      <c r="I106" s="18" t="s">
        <v>492</v>
      </c>
      <c r="J106" s="14">
        <v>104</v>
      </c>
    </row>
    <row r="107" spans="1:10" s="10" customFormat="1" ht="14.45">
      <c r="A107" s="13">
        <v>105</v>
      </c>
      <c r="B107" s="28" t="s">
        <v>619</v>
      </c>
      <c r="C107" s="19" t="s">
        <v>526</v>
      </c>
      <c r="D107" s="14" t="s">
        <v>526</v>
      </c>
      <c r="E107" s="14" t="s">
        <v>526</v>
      </c>
      <c r="F107" s="14" t="s">
        <v>526</v>
      </c>
      <c r="G107" s="18" t="s">
        <v>526</v>
      </c>
      <c r="H107" s="14" t="s">
        <v>526</v>
      </c>
      <c r="I107" s="18" t="s">
        <v>526</v>
      </c>
      <c r="J107" s="14">
        <v>105</v>
      </c>
    </row>
    <row r="108" spans="1:10" s="10" customFormat="1" ht="14.45">
      <c r="A108" s="13">
        <v>106</v>
      </c>
      <c r="B108" s="28" t="s">
        <v>345</v>
      </c>
      <c r="C108" s="19" t="s">
        <v>620</v>
      </c>
      <c r="D108" s="14" t="s">
        <v>494</v>
      </c>
      <c r="E108" s="14" t="s">
        <v>488</v>
      </c>
      <c r="F108" s="14" t="s">
        <v>489</v>
      </c>
      <c r="G108" s="18" t="s">
        <v>496</v>
      </c>
      <c r="H108" s="14" t="s">
        <v>491</v>
      </c>
      <c r="I108" s="18" t="s">
        <v>492</v>
      </c>
      <c r="J108" s="14">
        <v>106</v>
      </c>
    </row>
    <row r="109" spans="1:10" s="10" customFormat="1" ht="14.45">
      <c r="A109" s="13">
        <v>107</v>
      </c>
      <c r="B109" s="28" t="s">
        <v>346</v>
      </c>
      <c r="C109" s="19" t="s">
        <v>621</v>
      </c>
      <c r="D109" s="14" t="s">
        <v>494</v>
      </c>
      <c r="E109" s="14" t="s">
        <v>488</v>
      </c>
      <c r="F109" s="14" t="s">
        <v>489</v>
      </c>
      <c r="G109" s="18" t="s">
        <v>496</v>
      </c>
      <c r="H109" s="14" t="s">
        <v>491</v>
      </c>
      <c r="I109" s="18" t="s">
        <v>492</v>
      </c>
      <c r="J109" s="14">
        <v>107</v>
      </c>
    </row>
    <row r="110" spans="1:10" s="10" customFormat="1" ht="14.45">
      <c r="A110" s="13">
        <v>108</v>
      </c>
      <c r="B110" s="28" t="s">
        <v>622</v>
      </c>
      <c r="C110" s="19" t="s">
        <v>526</v>
      </c>
      <c r="D110" s="14" t="s">
        <v>526</v>
      </c>
      <c r="E110" s="14" t="s">
        <v>526</v>
      </c>
      <c r="F110" s="14" t="s">
        <v>526</v>
      </c>
      <c r="G110" s="18" t="s">
        <v>526</v>
      </c>
      <c r="H110" s="14" t="s">
        <v>526</v>
      </c>
      <c r="I110" s="18" t="s">
        <v>526</v>
      </c>
      <c r="J110" s="14">
        <v>108</v>
      </c>
    </row>
    <row r="111" spans="1:10" s="10" customFormat="1" ht="14.45">
      <c r="A111" s="13">
        <v>109</v>
      </c>
      <c r="B111" s="28" t="s">
        <v>623</v>
      </c>
      <c r="C111" s="19" t="s">
        <v>526</v>
      </c>
      <c r="D111" s="14" t="s">
        <v>526</v>
      </c>
      <c r="E111" s="14" t="s">
        <v>526</v>
      </c>
      <c r="F111" s="14" t="s">
        <v>526</v>
      </c>
      <c r="G111" s="18" t="s">
        <v>526</v>
      </c>
      <c r="H111" s="14" t="s">
        <v>526</v>
      </c>
      <c r="I111" s="18" t="s">
        <v>526</v>
      </c>
      <c r="J111" s="14">
        <v>109</v>
      </c>
    </row>
    <row r="112" spans="1:10" s="10" customFormat="1" ht="14.45">
      <c r="A112" s="13">
        <v>110</v>
      </c>
      <c r="B112" s="28" t="s">
        <v>347</v>
      </c>
      <c r="C112" s="19" t="s">
        <v>624</v>
      </c>
      <c r="D112" s="14" t="s">
        <v>494</v>
      </c>
      <c r="E112" s="14" t="s">
        <v>488</v>
      </c>
      <c r="F112" s="14" t="s">
        <v>489</v>
      </c>
      <c r="G112" s="18" t="s">
        <v>496</v>
      </c>
      <c r="H112" s="14" t="s">
        <v>491</v>
      </c>
      <c r="I112" s="18" t="s">
        <v>492</v>
      </c>
      <c r="J112" s="14">
        <v>110</v>
      </c>
    </row>
    <row r="113" spans="1:10" s="10" customFormat="1" ht="14.45">
      <c r="A113" s="13">
        <v>111</v>
      </c>
      <c r="B113" s="28" t="s">
        <v>625</v>
      </c>
      <c r="C113" s="19" t="s">
        <v>526</v>
      </c>
      <c r="D113" s="14" t="s">
        <v>526</v>
      </c>
      <c r="E113" s="14" t="s">
        <v>526</v>
      </c>
      <c r="F113" s="14" t="s">
        <v>526</v>
      </c>
      <c r="G113" s="18" t="s">
        <v>526</v>
      </c>
      <c r="H113" s="14" t="s">
        <v>526</v>
      </c>
      <c r="I113" s="18" t="s">
        <v>526</v>
      </c>
      <c r="J113" s="14">
        <v>111</v>
      </c>
    </row>
    <row r="114" spans="1:10" s="10" customFormat="1" ht="14.45">
      <c r="A114" s="13">
        <v>112</v>
      </c>
      <c r="B114" s="28" t="s">
        <v>354</v>
      </c>
      <c r="C114" s="19" t="s">
        <v>626</v>
      </c>
      <c r="D114" s="14" t="s">
        <v>494</v>
      </c>
      <c r="E114" s="14" t="s">
        <v>488</v>
      </c>
      <c r="F114" s="14" t="s">
        <v>489</v>
      </c>
      <c r="G114" s="18" t="s">
        <v>496</v>
      </c>
      <c r="H114" s="14" t="s">
        <v>491</v>
      </c>
      <c r="I114" s="18" t="s">
        <v>492</v>
      </c>
      <c r="J114" s="14">
        <v>112</v>
      </c>
    </row>
    <row r="115" spans="1:10" s="10" customFormat="1" ht="14.45">
      <c r="A115" s="13">
        <v>113</v>
      </c>
      <c r="B115" s="28" t="s">
        <v>356</v>
      </c>
      <c r="C115" s="19" t="s">
        <v>627</v>
      </c>
      <c r="D115" s="14" t="s">
        <v>494</v>
      </c>
      <c r="E115" s="14" t="s">
        <v>488</v>
      </c>
      <c r="F115" s="14" t="s">
        <v>489</v>
      </c>
      <c r="G115" s="18" t="s">
        <v>496</v>
      </c>
      <c r="H115" s="14" t="s">
        <v>491</v>
      </c>
      <c r="I115" s="18" t="s">
        <v>492</v>
      </c>
      <c r="J115" s="14">
        <v>113</v>
      </c>
    </row>
    <row r="116" spans="1:10" s="10" customFormat="1" ht="14.45">
      <c r="A116" s="13">
        <v>114</v>
      </c>
      <c r="B116" s="28" t="s">
        <v>357</v>
      </c>
      <c r="C116" s="19" t="s">
        <v>628</v>
      </c>
      <c r="D116" s="14" t="s">
        <v>494</v>
      </c>
      <c r="E116" s="14" t="s">
        <v>488</v>
      </c>
      <c r="F116" s="14" t="s">
        <v>489</v>
      </c>
      <c r="G116" s="18" t="s">
        <v>496</v>
      </c>
      <c r="H116" s="14" t="s">
        <v>491</v>
      </c>
      <c r="I116" s="18" t="s">
        <v>492</v>
      </c>
      <c r="J116" s="14">
        <v>114</v>
      </c>
    </row>
    <row r="117" spans="1:10" s="10" customFormat="1" ht="14.45">
      <c r="A117" s="13">
        <v>115</v>
      </c>
      <c r="B117" s="28" t="s">
        <v>362</v>
      </c>
      <c r="C117" s="19" t="s">
        <v>629</v>
      </c>
      <c r="D117" s="14" t="s">
        <v>494</v>
      </c>
      <c r="E117" s="14" t="s">
        <v>488</v>
      </c>
      <c r="F117" s="14" t="s">
        <v>489</v>
      </c>
      <c r="G117" s="18" t="s">
        <v>496</v>
      </c>
      <c r="H117" s="14" t="s">
        <v>491</v>
      </c>
      <c r="I117" s="18" t="s">
        <v>492</v>
      </c>
      <c r="J117" s="14">
        <v>115</v>
      </c>
    </row>
    <row r="118" spans="1:10" s="10" customFormat="1" ht="14.45">
      <c r="A118" s="13">
        <v>116</v>
      </c>
      <c r="B118" s="28" t="s">
        <v>363</v>
      </c>
      <c r="C118" s="19" t="s">
        <v>630</v>
      </c>
      <c r="D118" s="14" t="s">
        <v>487</v>
      </c>
      <c r="E118" s="14" t="s">
        <v>488</v>
      </c>
      <c r="F118" s="14" t="s">
        <v>489</v>
      </c>
      <c r="G118" s="18" t="s">
        <v>490</v>
      </c>
      <c r="H118" s="14" t="s">
        <v>491</v>
      </c>
      <c r="I118" s="18" t="s">
        <v>492</v>
      </c>
      <c r="J118" s="14">
        <v>116</v>
      </c>
    </row>
    <row r="119" spans="1:10" s="10" customFormat="1" ht="14.45">
      <c r="A119" s="13">
        <v>117</v>
      </c>
      <c r="B119" s="28" t="s">
        <v>631</v>
      </c>
      <c r="C119" s="19" t="s">
        <v>526</v>
      </c>
      <c r="D119" s="14" t="s">
        <v>526</v>
      </c>
      <c r="E119" s="14" t="s">
        <v>526</v>
      </c>
      <c r="F119" s="14" t="s">
        <v>526</v>
      </c>
      <c r="G119" s="18" t="s">
        <v>526</v>
      </c>
      <c r="H119" s="14" t="s">
        <v>526</v>
      </c>
      <c r="I119" s="18" t="s">
        <v>526</v>
      </c>
      <c r="J119" s="14">
        <v>117</v>
      </c>
    </row>
    <row r="120" spans="1:10" s="10" customFormat="1" ht="14.45">
      <c r="A120" s="13">
        <v>118</v>
      </c>
      <c r="B120" s="28" t="s">
        <v>389</v>
      </c>
      <c r="C120" s="19" t="s">
        <v>632</v>
      </c>
      <c r="D120" s="14" t="s">
        <v>487</v>
      </c>
      <c r="E120" s="14" t="s">
        <v>488</v>
      </c>
      <c r="F120" s="14" t="s">
        <v>489</v>
      </c>
      <c r="G120" s="18" t="s">
        <v>490</v>
      </c>
      <c r="H120" s="14" t="s">
        <v>491</v>
      </c>
      <c r="I120" s="18" t="s">
        <v>492</v>
      </c>
      <c r="J120" s="14">
        <v>118</v>
      </c>
    </row>
    <row r="121" spans="1:10" s="10" customFormat="1" ht="14.45">
      <c r="A121" s="13">
        <v>119</v>
      </c>
      <c r="B121" s="28" t="s">
        <v>390</v>
      </c>
      <c r="C121" s="19" t="s">
        <v>633</v>
      </c>
      <c r="D121" s="14" t="s">
        <v>494</v>
      </c>
      <c r="E121" s="14" t="s">
        <v>488</v>
      </c>
      <c r="F121" s="14" t="s">
        <v>489</v>
      </c>
      <c r="G121" s="18" t="s">
        <v>496</v>
      </c>
      <c r="H121" s="14" t="s">
        <v>491</v>
      </c>
      <c r="I121" s="18" t="s">
        <v>492</v>
      </c>
      <c r="J121" s="14">
        <v>119</v>
      </c>
    </row>
    <row r="122" spans="1:10" s="10" customFormat="1" ht="14.45">
      <c r="A122" s="13">
        <v>120</v>
      </c>
      <c r="B122" s="28" t="s">
        <v>405</v>
      </c>
      <c r="C122" s="19" t="s">
        <v>634</v>
      </c>
      <c r="D122" s="14" t="s">
        <v>635</v>
      </c>
      <c r="E122" s="14" t="s">
        <v>504</v>
      </c>
      <c r="F122" s="14" t="s">
        <v>489</v>
      </c>
      <c r="G122" s="18" t="s">
        <v>636</v>
      </c>
      <c r="H122" s="14" t="s">
        <v>491</v>
      </c>
      <c r="I122" s="18" t="s">
        <v>492</v>
      </c>
      <c r="J122" s="14">
        <v>120</v>
      </c>
    </row>
    <row r="123" spans="1:10" s="10" customFormat="1" ht="14.45">
      <c r="A123" s="13">
        <v>121</v>
      </c>
      <c r="B123" s="28" t="s">
        <v>406</v>
      </c>
      <c r="C123" s="19" t="s">
        <v>637</v>
      </c>
      <c r="D123" s="14" t="s">
        <v>487</v>
      </c>
      <c r="E123" s="14" t="s">
        <v>504</v>
      </c>
      <c r="F123" s="14" t="s">
        <v>489</v>
      </c>
      <c r="G123" s="18" t="s">
        <v>490</v>
      </c>
      <c r="H123" s="14" t="s">
        <v>491</v>
      </c>
      <c r="I123" s="18" t="s">
        <v>492</v>
      </c>
      <c r="J123" s="14">
        <v>121</v>
      </c>
    </row>
    <row r="124" spans="1:10" s="10" customFormat="1" ht="14.45">
      <c r="A124" s="13">
        <v>122</v>
      </c>
      <c r="B124" s="28" t="s">
        <v>410</v>
      </c>
      <c r="C124" s="19" t="s">
        <v>638</v>
      </c>
      <c r="D124" s="14" t="s">
        <v>487</v>
      </c>
      <c r="E124" s="14" t="s">
        <v>488</v>
      </c>
      <c r="F124" s="14" t="s">
        <v>489</v>
      </c>
      <c r="G124" s="18" t="s">
        <v>490</v>
      </c>
      <c r="H124" s="14" t="s">
        <v>491</v>
      </c>
      <c r="I124" s="18" t="s">
        <v>492</v>
      </c>
      <c r="J124" s="14">
        <v>122</v>
      </c>
    </row>
    <row r="125" spans="1:10" s="10" customFormat="1" ht="14.45">
      <c r="A125" s="13">
        <v>123</v>
      </c>
      <c r="B125" s="28" t="s">
        <v>426</v>
      </c>
      <c r="C125" s="19" t="s">
        <v>639</v>
      </c>
      <c r="D125" s="14" t="s">
        <v>487</v>
      </c>
      <c r="E125" s="14" t="s">
        <v>488</v>
      </c>
      <c r="F125" s="14" t="s">
        <v>489</v>
      </c>
      <c r="G125" s="18" t="s">
        <v>490</v>
      </c>
      <c r="H125" s="14" t="s">
        <v>491</v>
      </c>
      <c r="I125" s="18" t="s">
        <v>492</v>
      </c>
      <c r="J125" s="14">
        <v>123</v>
      </c>
    </row>
    <row r="126" spans="1:10" s="10" customFormat="1" ht="14.45">
      <c r="A126" s="13">
        <v>124</v>
      </c>
      <c r="B126" s="28" t="s">
        <v>427</v>
      </c>
      <c r="C126" s="19" t="s">
        <v>640</v>
      </c>
      <c r="D126" s="14" t="s">
        <v>487</v>
      </c>
      <c r="E126" s="14" t="s">
        <v>495</v>
      </c>
      <c r="F126" s="14" t="s">
        <v>501</v>
      </c>
      <c r="G126" s="18" t="s">
        <v>490</v>
      </c>
      <c r="H126" s="14" t="s">
        <v>641</v>
      </c>
      <c r="I126" s="18" t="s">
        <v>492</v>
      </c>
      <c r="J126" s="14">
        <v>124</v>
      </c>
    </row>
    <row r="127" spans="1:10" s="10" customFormat="1" ht="14.45">
      <c r="A127" s="13">
        <v>125</v>
      </c>
      <c r="B127" s="28" t="s">
        <v>428</v>
      </c>
      <c r="C127" s="19" t="s">
        <v>642</v>
      </c>
      <c r="D127" s="14" t="s">
        <v>494</v>
      </c>
      <c r="E127" s="14" t="s">
        <v>488</v>
      </c>
      <c r="F127" s="14" t="s">
        <v>489</v>
      </c>
      <c r="G127" s="18" t="s">
        <v>496</v>
      </c>
      <c r="H127" s="14" t="s">
        <v>491</v>
      </c>
      <c r="I127" s="18" t="s">
        <v>492</v>
      </c>
      <c r="J127" s="14">
        <v>125</v>
      </c>
    </row>
    <row r="128" spans="1:10" s="10" customFormat="1" ht="14.45">
      <c r="A128" s="13">
        <v>126</v>
      </c>
      <c r="B128" s="28" t="s">
        <v>429</v>
      </c>
      <c r="C128" s="19" t="s">
        <v>643</v>
      </c>
      <c r="D128" s="14" t="s">
        <v>494</v>
      </c>
      <c r="E128" s="14" t="s">
        <v>488</v>
      </c>
      <c r="F128" s="14" t="s">
        <v>489</v>
      </c>
      <c r="G128" s="18" t="s">
        <v>496</v>
      </c>
      <c r="H128" s="14" t="s">
        <v>491</v>
      </c>
      <c r="I128" s="18" t="s">
        <v>492</v>
      </c>
      <c r="J128" s="14">
        <v>126</v>
      </c>
    </row>
    <row r="129" spans="1:10" s="10" customFormat="1" ht="14.45">
      <c r="A129" s="13">
        <v>127</v>
      </c>
      <c r="B129" s="28"/>
      <c r="C129" s="19" t="s">
        <v>526</v>
      </c>
      <c r="D129" s="14" t="s">
        <v>526</v>
      </c>
      <c r="E129" s="14" t="s">
        <v>526</v>
      </c>
      <c r="F129" s="14" t="s">
        <v>526</v>
      </c>
      <c r="G129" s="18" t="s">
        <v>526</v>
      </c>
      <c r="H129" s="14" t="s">
        <v>526</v>
      </c>
      <c r="I129" s="18" t="s">
        <v>526</v>
      </c>
      <c r="J129" s="14">
        <v>127</v>
      </c>
    </row>
    <row r="130" spans="1:10" s="10" customFormat="1" ht="14.45">
      <c r="A130" s="13">
        <v>128</v>
      </c>
      <c r="B130" s="28"/>
      <c r="C130" s="19" t="s">
        <v>526</v>
      </c>
      <c r="D130" s="14" t="s">
        <v>526</v>
      </c>
      <c r="E130" s="14" t="s">
        <v>526</v>
      </c>
      <c r="F130" s="14" t="s">
        <v>526</v>
      </c>
      <c r="G130" s="18" t="s">
        <v>526</v>
      </c>
      <c r="H130" s="14" t="s">
        <v>526</v>
      </c>
      <c r="I130" s="18" t="s">
        <v>526</v>
      </c>
      <c r="J130" s="14">
        <v>128</v>
      </c>
    </row>
    <row r="131" spans="1:10" s="10" customFormat="1" ht="14.45">
      <c r="A131" s="13">
        <v>129</v>
      </c>
      <c r="B131" s="28"/>
      <c r="C131" s="19" t="s">
        <v>526</v>
      </c>
      <c r="D131" s="14" t="s">
        <v>526</v>
      </c>
      <c r="E131" s="14" t="s">
        <v>526</v>
      </c>
      <c r="F131" s="14" t="s">
        <v>526</v>
      </c>
      <c r="G131" s="18" t="s">
        <v>526</v>
      </c>
      <c r="H131" s="14" t="s">
        <v>526</v>
      </c>
      <c r="I131" s="18" t="s">
        <v>526</v>
      </c>
      <c r="J131" s="14">
        <v>129</v>
      </c>
    </row>
    <row r="132" spans="1:10" s="10" customFormat="1" ht="14.45">
      <c r="A132" s="13">
        <v>130</v>
      </c>
      <c r="B132" s="28"/>
      <c r="C132" s="19" t="s">
        <v>526</v>
      </c>
      <c r="D132" s="14" t="s">
        <v>526</v>
      </c>
      <c r="E132" s="14" t="s">
        <v>526</v>
      </c>
      <c r="F132" s="14" t="s">
        <v>526</v>
      </c>
      <c r="G132" s="18" t="s">
        <v>526</v>
      </c>
      <c r="H132" s="14" t="s">
        <v>526</v>
      </c>
      <c r="I132" s="18" t="s">
        <v>526</v>
      </c>
      <c r="J132" s="14">
        <v>130</v>
      </c>
    </row>
    <row r="133" spans="1:10" s="10" customFormat="1" ht="14.45">
      <c r="A133" s="13">
        <v>131</v>
      </c>
      <c r="B133" s="28"/>
      <c r="C133" s="19" t="s">
        <v>526</v>
      </c>
      <c r="D133" s="14" t="s">
        <v>526</v>
      </c>
      <c r="E133" s="14" t="s">
        <v>526</v>
      </c>
      <c r="F133" s="14" t="s">
        <v>526</v>
      </c>
      <c r="G133" s="18" t="s">
        <v>526</v>
      </c>
      <c r="H133" s="14" t="s">
        <v>526</v>
      </c>
      <c r="I133" s="18" t="s">
        <v>526</v>
      </c>
      <c r="J133" s="14">
        <v>131</v>
      </c>
    </row>
    <row r="134" spans="1:10" s="10" customFormat="1" ht="14.45">
      <c r="A134" s="13">
        <v>132</v>
      </c>
      <c r="B134" s="28"/>
      <c r="C134" s="19" t="s">
        <v>526</v>
      </c>
      <c r="D134" s="14" t="s">
        <v>526</v>
      </c>
      <c r="E134" s="14" t="s">
        <v>526</v>
      </c>
      <c r="F134" s="14" t="s">
        <v>526</v>
      </c>
      <c r="G134" s="18" t="s">
        <v>526</v>
      </c>
      <c r="H134" s="14" t="s">
        <v>526</v>
      </c>
      <c r="I134" s="18" t="s">
        <v>526</v>
      </c>
      <c r="J134" s="14">
        <v>132</v>
      </c>
    </row>
    <row r="135" spans="1:10" s="10" customFormat="1" ht="14.45">
      <c r="A135" s="13">
        <v>133</v>
      </c>
      <c r="B135" s="28"/>
      <c r="C135" s="19" t="s">
        <v>526</v>
      </c>
      <c r="D135" s="14" t="s">
        <v>526</v>
      </c>
      <c r="E135" s="14" t="s">
        <v>526</v>
      </c>
      <c r="F135" s="14" t="s">
        <v>526</v>
      </c>
      <c r="G135" s="18" t="s">
        <v>526</v>
      </c>
      <c r="H135" s="14" t="s">
        <v>526</v>
      </c>
      <c r="I135" s="18" t="s">
        <v>526</v>
      </c>
      <c r="J135" s="14">
        <v>133</v>
      </c>
    </row>
    <row r="136" spans="1:10" s="10" customFormat="1" ht="14.45">
      <c r="A136" s="13">
        <v>134</v>
      </c>
      <c r="B136" s="28"/>
      <c r="C136" s="19" t="s">
        <v>526</v>
      </c>
      <c r="D136" s="14" t="s">
        <v>526</v>
      </c>
      <c r="E136" s="14" t="s">
        <v>526</v>
      </c>
      <c r="F136" s="14" t="s">
        <v>526</v>
      </c>
      <c r="G136" s="18" t="s">
        <v>526</v>
      </c>
      <c r="H136" s="14" t="s">
        <v>526</v>
      </c>
      <c r="I136" s="18" t="s">
        <v>526</v>
      </c>
      <c r="J136" s="14">
        <v>134</v>
      </c>
    </row>
    <row r="137" spans="1:10" s="10" customFormat="1" ht="14.45">
      <c r="A137" s="13">
        <v>135</v>
      </c>
      <c r="B137" s="28"/>
      <c r="C137" s="19" t="s">
        <v>526</v>
      </c>
      <c r="D137" s="14" t="s">
        <v>526</v>
      </c>
      <c r="E137" s="14" t="s">
        <v>526</v>
      </c>
      <c r="F137" s="14" t="s">
        <v>526</v>
      </c>
      <c r="G137" s="18" t="s">
        <v>526</v>
      </c>
      <c r="H137" s="14" t="s">
        <v>526</v>
      </c>
      <c r="I137" s="18" t="s">
        <v>526</v>
      </c>
      <c r="J137" s="14">
        <v>135</v>
      </c>
    </row>
    <row r="138" spans="1:10" s="10" customFormat="1" ht="14.45">
      <c r="A138" s="13">
        <v>136</v>
      </c>
      <c r="B138" s="28"/>
      <c r="C138" s="19" t="s">
        <v>526</v>
      </c>
      <c r="D138" s="14" t="s">
        <v>526</v>
      </c>
      <c r="E138" s="14" t="s">
        <v>526</v>
      </c>
      <c r="F138" s="14" t="s">
        <v>526</v>
      </c>
      <c r="G138" s="18" t="s">
        <v>526</v>
      </c>
      <c r="H138" s="14" t="s">
        <v>526</v>
      </c>
      <c r="I138" s="18" t="s">
        <v>526</v>
      </c>
      <c r="J138" s="14">
        <v>136</v>
      </c>
    </row>
    <row r="139" spans="1:10" s="10" customFormat="1" ht="14.45">
      <c r="A139" s="13">
        <v>137</v>
      </c>
      <c r="B139" s="28"/>
      <c r="C139" s="19" t="s">
        <v>526</v>
      </c>
      <c r="D139" s="14" t="s">
        <v>526</v>
      </c>
      <c r="E139" s="14" t="s">
        <v>526</v>
      </c>
      <c r="F139" s="14" t="s">
        <v>526</v>
      </c>
      <c r="G139" s="18" t="s">
        <v>526</v>
      </c>
      <c r="H139" s="14" t="s">
        <v>526</v>
      </c>
      <c r="I139" s="18" t="s">
        <v>526</v>
      </c>
      <c r="J139" s="14">
        <v>137</v>
      </c>
    </row>
    <row r="140" spans="1:10" s="10" customFormat="1" ht="14.45">
      <c r="A140" s="13">
        <v>138</v>
      </c>
      <c r="B140" s="28"/>
      <c r="C140" s="19" t="s">
        <v>526</v>
      </c>
      <c r="D140" s="14" t="s">
        <v>526</v>
      </c>
      <c r="E140" s="14" t="s">
        <v>526</v>
      </c>
      <c r="F140" s="14" t="s">
        <v>526</v>
      </c>
      <c r="G140" s="18" t="s">
        <v>526</v>
      </c>
      <c r="H140" s="14" t="s">
        <v>526</v>
      </c>
      <c r="I140" s="18" t="s">
        <v>526</v>
      </c>
      <c r="J140" s="14">
        <v>138</v>
      </c>
    </row>
    <row r="141" spans="1:10" s="10" customFormat="1" ht="14.45">
      <c r="A141" s="13">
        <v>139</v>
      </c>
      <c r="B141" s="28"/>
      <c r="C141" s="19" t="s">
        <v>526</v>
      </c>
      <c r="D141" s="14" t="s">
        <v>526</v>
      </c>
      <c r="E141" s="14" t="s">
        <v>526</v>
      </c>
      <c r="F141" s="14" t="s">
        <v>526</v>
      </c>
      <c r="G141" s="18" t="s">
        <v>526</v>
      </c>
      <c r="H141" s="14" t="s">
        <v>526</v>
      </c>
      <c r="I141" s="18" t="s">
        <v>526</v>
      </c>
      <c r="J141" s="14">
        <v>139</v>
      </c>
    </row>
    <row r="142" spans="1:10" s="10" customFormat="1" ht="14.45">
      <c r="A142" s="13">
        <v>140</v>
      </c>
      <c r="B142" s="28"/>
      <c r="C142" s="19" t="s">
        <v>526</v>
      </c>
      <c r="D142" s="14" t="s">
        <v>526</v>
      </c>
      <c r="E142" s="14" t="s">
        <v>526</v>
      </c>
      <c r="F142" s="14" t="s">
        <v>526</v>
      </c>
      <c r="G142" s="18" t="s">
        <v>526</v>
      </c>
      <c r="H142" s="14" t="s">
        <v>526</v>
      </c>
      <c r="I142" s="18" t="s">
        <v>526</v>
      </c>
      <c r="J142" s="14">
        <v>140</v>
      </c>
    </row>
    <row r="143" spans="1:10" s="10" customFormat="1" ht="14.45">
      <c r="A143" s="13">
        <v>141</v>
      </c>
      <c r="B143" s="28"/>
      <c r="C143" s="19" t="s">
        <v>526</v>
      </c>
      <c r="D143" s="14" t="s">
        <v>526</v>
      </c>
      <c r="E143" s="14" t="s">
        <v>526</v>
      </c>
      <c r="F143" s="14" t="s">
        <v>526</v>
      </c>
      <c r="G143" s="18" t="s">
        <v>526</v>
      </c>
      <c r="H143" s="14" t="s">
        <v>526</v>
      </c>
      <c r="I143" s="18" t="s">
        <v>526</v>
      </c>
      <c r="J143" s="14">
        <v>141</v>
      </c>
    </row>
    <row r="144" spans="1:10" s="10" customFormat="1" ht="14.45">
      <c r="A144" s="13">
        <v>142</v>
      </c>
      <c r="B144" s="28"/>
      <c r="C144" s="19" t="s">
        <v>526</v>
      </c>
      <c r="D144" s="14" t="s">
        <v>526</v>
      </c>
      <c r="E144" s="14" t="s">
        <v>526</v>
      </c>
      <c r="F144" s="14" t="s">
        <v>526</v>
      </c>
      <c r="G144" s="18" t="s">
        <v>526</v>
      </c>
      <c r="H144" s="14" t="s">
        <v>526</v>
      </c>
      <c r="I144" s="18" t="s">
        <v>526</v>
      </c>
      <c r="J144" s="14">
        <v>142</v>
      </c>
    </row>
    <row r="145" spans="1:10" s="10" customFormat="1" ht="14.45">
      <c r="A145" s="13">
        <v>143</v>
      </c>
      <c r="B145" s="28"/>
      <c r="C145" s="19" t="s">
        <v>526</v>
      </c>
      <c r="D145" s="14" t="s">
        <v>526</v>
      </c>
      <c r="E145" s="14" t="s">
        <v>526</v>
      </c>
      <c r="F145" s="14" t="s">
        <v>526</v>
      </c>
      <c r="G145" s="18" t="s">
        <v>526</v>
      </c>
      <c r="H145" s="14" t="s">
        <v>526</v>
      </c>
      <c r="I145" s="18" t="s">
        <v>526</v>
      </c>
      <c r="J145" s="14">
        <v>143</v>
      </c>
    </row>
    <row r="146" spans="1:10" s="10" customFormat="1" ht="14.45">
      <c r="A146" s="13">
        <v>144</v>
      </c>
      <c r="B146" s="28"/>
      <c r="C146" s="19" t="s">
        <v>526</v>
      </c>
      <c r="D146" s="14" t="s">
        <v>526</v>
      </c>
      <c r="E146" s="14" t="s">
        <v>526</v>
      </c>
      <c r="F146" s="14" t="s">
        <v>526</v>
      </c>
      <c r="G146" s="18" t="s">
        <v>526</v>
      </c>
      <c r="H146" s="14" t="s">
        <v>526</v>
      </c>
      <c r="I146" s="18" t="s">
        <v>526</v>
      </c>
      <c r="J146" s="14">
        <v>144</v>
      </c>
    </row>
    <row r="147" spans="1:10" s="10" customFormat="1" ht="14.45">
      <c r="A147" s="13">
        <v>145</v>
      </c>
      <c r="B147" s="28"/>
      <c r="C147" s="19" t="s">
        <v>526</v>
      </c>
      <c r="D147" s="14" t="s">
        <v>526</v>
      </c>
      <c r="E147" s="14" t="s">
        <v>526</v>
      </c>
      <c r="F147" s="14" t="s">
        <v>526</v>
      </c>
      <c r="G147" s="18" t="s">
        <v>526</v>
      </c>
      <c r="H147" s="14" t="s">
        <v>526</v>
      </c>
      <c r="I147" s="18" t="s">
        <v>526</v>
      </c>
      <c r="J147" s="14">
        <v>145</v>
      </c>
    </row>
    <row r="148" spans="1:10" s="10" customFormat="1" ht="14.45">
      <c r="A148" s="13">
        <v>146</v>
      </c>
      <c r="B148" s="28"/>
      <c r="C148" s="19" t="s">
        <v>526</v>
      </c>
      <c r="D148" s="14" t="s">
        <v>526</v>
      </c>
      <c r="E148" s="14" t="s">
        <v>526</v>
      </c>
      <c r="F148" s="14" t="s">
        <v>526</v>
      </c>
      <c r="G148" s="18" t="s">
        <v>526</v>
      </c>
      <c r="H148" s="14" t="s">
        <v>526</v>
      </c>
      <c r="I148" s="18" t="s">
        <v>526</v>
      </c>
      <c r="J148" s="14">
        <v>146</v>
      </c>
    </row>
    <row r="149" spans="1:10" s="10" customFormat="1" ht="14.45">
      <c r="A149" s="13">
        <v>147</v>
      </c>
      <c r="B149" s="28"/>
      <c r="C149" s="19" t="s">
        <v>526</v>
      </c>
      <c r="D149" s="14" t="s">
        <v>526</v>
      </c>
      <c r="E149" s="14" t="s">
        <v>526</v>
      </c>
      <c r="F149" s="14" t="s">
        <v>526</v>
      </c>
      <c r="G149" s="18" t="s">
        <v>526</v>
      </c>
      <c r="H149" s="14" t="s">
        <v>526</v>
      </c>
      <c r="I149" s="18" t="s">
        <v>526</v>
      </c>
      <c r="J149" s="14">
        <v>147</v>
      </c>
    </row>
    <row r="150" spans="1:10" s="10" customFormat="1" ht="14.45">
      <c r="A150" s="13">
        <v>148</v>
      </c>
      <c r="B150" s="28"/>
      <c r="C150" s="19" t="s">
        <v>526</v>
      </c>
      <c r="D150" s="14" t="s">
        <v>526</v>
      </c>
      <c r="E150" s="14" t="s">
        <v>526</v>
      </c>
      <c r="F150" s="14" t="s">
        <v>526</v>
      </c>
      <c r="G150" s="18" t="s">
        <v>526</v>
      </c>
      <c r="H150" s="14" t="s">
        <v>526</v>
      </c>
      <c r="I150" s="18" t="s">
        <v>526</v>
      </c>
      <c r="J150" s="14">
        <v>148</v>
      </c>
    </row>
    <row r="151" spans="1:10" s="10" customFormat="1" ht="14.45">
      <c r="A151" s="13">
        <v>149</v>
      </c>
      <c r="B151" s="28"/>
      <c r="C151" s="19" t="s">
        <v>526</v>
      </c>
      <c r="D151" s="14" t="s">
        <v>526</v>
      </c>
      <c r="E151" s="14" t="s">
        <v>526</v>
      </c>
      <c r="F151" s="14" t="s">
        <v>526</v>
      </c>
      <c r="G151" s="18" t="s">
        <v>526</v>
      </c>
      <c r="H151" s="14" t="s">
        <v>526</v>
      </c>
      <c r="I151" s="18" t="s">
        <v>526</v>
      </c>
      <c r="J151" s="14">
        <v>149</v>
      </c>
    </row>
    <row r="152" spans="1:10" s="10" customFormat="1" ht="14.45">
      <c r="A152" s="13">
        <v>150</v>
      </c>
      <c r="B152" s="28"/>
      <c r="C152" s="19" t="s">
        <v>526</v>
      </c>
      <c r="D152" s="14" t="s">
        <v>526</v>
      </c>
      <c r="E152" s="14" t="s">
        <v>526</v>
      </c>
      <c r="F152" s="14" t="s">
        <v>526</v>
      </c>
      <c r="G152" s="18" t="s">
        <v>526</v>
      </c>
      <c r="H152" s="14" t="s">
        <v>526</v>
      </c>
      <c r="I152" s="18" t="s">
        <v>526</v>
      </c>
      <c r="J152" s="14">
        <v>150</v>
      </c>
    </row>
    <row r="153" spans="1:10" s="10" customFormat="1" ht="14.45">
      <c r="A153" s="13">
        <v>151</v>
      </c>
      <c r="B153" s="28"/>
      <c r="C153" s="19" t="s">
        <v>526</v>
      </c>
      <c r="D153" s="14" t="s">
        <v>526</v>
      </c>
      <c r="E153" s="14" t="s">
        <v>526</v>
      </c>
      <c r="F153" s="14" t="s">
        <v>526</v>
      </c>
      <c r="G153" s="18" t="s">
        <v>526</v>
      </c>
      <c r="H153" s="14" t="s">
        <v>526</v>
      </c>
      <c r="I153" s="18" t="s">
        <v>526</v>
      </c>
      <c r="J153" s="14">
        <v>151</v>
      </c>
    </row>
    <row r="154" spans="1:10" s="10" customFormat="1" ht="14.45">
      <c r="A154" s="13">
        <v>152</v>
      </c>
      <c r="B154" s="28"/>
      <c r="C154" s="19" t="s">
        <v>526</v>
      </c>
      <c r="D154" s="14" t="s">
        <v>526</v>
      </c>
      <c r="E154" s="14" t="s">
        <v>526</v>
      </c>
      <c r="F154" s="14" t="s">
        <v>526</v>
      </c>
      <c r="G154" s="18" t="s">
        <v>526</v>
      </c>
      <c r="H154" s="14" t="s">
        <v>526</v>
      </c>
      <c r="I154" s="18" t="s">
        <v>526</v>
      </c>
      <c r="J154" s="14">
        <v>152</v>
      </c>
    </row>
    <row r="155" spans="1:10" s="10" customFormat="1" ht="14.45">
      <c r="A155" s="13">
        <v>153</v>
      </c>
      <c r="B155" s="28"/>
      <c r="C155" s="19" t="s">
        <v>526</v>
      </c>
      <c r="D155" s="14" t="s">
        <v>526</v>
      </c>
      <c r="E155" s="14" t="s">
        <v>526</v>
      </c>
      <c r="F155" s="14" t="s">
        <v>526</v>
      </c>
      <c r="G155" s="18" t="s">
        <v>526</v>
      </c>
      <c r="H155" s="14" t="s">
        <v>526</v>
      </c>
      <c r="I155" s="18" t="s">
        <v>526</v>
      </c>
      <c r="J155" s="14">
        <v>153</v>
      </c>
    </row>
    <row r="156" spans="1:10" s="10" customFormat="1" ht="14.45">
      <c r="A156" s="13">
        <v>154</v>
      </c>
      <c r="B156" s="28"/>
      <c r="C156" s="19" t="s">
        <v>526</v>
      </c>
      <c r="D156" s="14" t="s">
        <v>526</v>
      </c>
      <c r="E156" s="14" t="s">
        <v>526</v>
      </c>
      <c r="F156" s="14" t="s">
        <v>526</v>
      </c>
      <c r="G156" s="18" t="s">
        <v>526</v>
      </c>
      <c r="H156" s="14" t="s">
        <v>526</v>
      </c>
      <c r="I156" s="18" t="s">
        <v>526</v>
      </c>
      <c r="J156" s="14">
        <v>154</v>
      </c>
    </row>
    <row r="157" spans="1:10" s="10" customFormat="1" ht="14.45">
      <c r="A157" s="13">
        <v>155</v>
      </c>
      <c r="B157" s="28"/>
      <c r="C157" s="19" t="s">
        <v>526</v>
      </c>
      <c r="D157" s="14" t="s">
        <v>526</v>
      </c>
      <c r="E157" s="14" t="s">
        <v>526</v>
      </c>
      <c r="F157" s="14" t="s">
        <v>526</v>
      </c>
      <c r="G157" s="18" t="s">
        <v>526</v>
      </c>
      <c r="H157" s="14" t="s">
        <v>526</v>
      </c>
      <c r="I157" s="18" t="s">
        <v>526</v>
      </c>
      <c r="J157" s="14">
        <v>155</v>
      </c>
    </row>
    <row r="158" spans="1:10" s="10" customFormat="1" ht="14.45">
      <c r="A158" s="13">
        <v>156</v>
      </c>
      <c r="B158" s="28"/>
      <c r="C158" s="19" t="s">
        <v>526</v>
      </c>
      <c r="D158" s="14" t="s">
        <v>526</v>
      </c>
      <c r="E158" s="14" t="s">
        <v>526</v>
      </c>
      <c r="F158" s="14" t="s">
        <v>526</v>
      </c>
      <c r="G158" s="18" t="s">
        <v>526</v>
      </c>
      <c r="H158" s="14" t="s">
        <v>526</v>
      </c>
      <c r="I158" s="18" t="s">
        <v>526</v>
      </c>
      <c r="J158" s="14">
        <v>156</v>
      </c>
    </row>
    <row r="159" spans="1:10" s="10" customFormat="1" ht="14.45">
      <c r="A159" s="13">
        <v>157</v>
      </c>
      <c r="B159" s="28"/>
      <c r="C159" s="19" t="s">
        <v>526</v>
      </c>
      <c r="D159" s="14" t="s">
        <v>526</v>
      </c>
      <c r="E159" s="14" t="s">
        <v>526</v>
      </c>
      <c r="F159" s="14" t="s">
        <v>526</v>
      </c>
      <c r="G159" s="18" t="s">
        <v>526</v>
      </c>
      <c r="H159" s="14" t="s">
        <v>526</v>
      </c>
      <c r="I159" s="18" t="s">
        <v>526</v>
      </c>
      <c r="J159" s="14">
        <v>157</v>
      </c>
    </row>
    <row r="160" spans="1:10" s="10" customFormat="1" ht="14.45">
      <c r="A160" s="13">
        <v>158</v>
      </c>
      <c r="B160" s="28"/>
      <c r="C160" s="19" t="s">
        <v>526</v>
      </c>
      <c r="D160" s="14" t="s">
        <v>526</v>
      </c>
      <c r="E160" s="14" t="s">
        <v>526</v>
      </c>
      <c r="F160" s="14" t="s">
        <v>526</v>
      </c>
      <c r="G160" s="18" t="s">
        <v>526</v>
      </c>
      <c r="H160" s="14" t="s">
        <v>526</v>
      </c>
      <c r="I160" s="18" t="s">
        <v>526</v>
      </c>
      <c r="J160" s="14">
        <v>158</v>
      </c>
    </row>
    <row r="161" spans="1:10" s="10" customFormat="1" ht="14.45">
      <c r="A161" s="13">
        <v>159</v>
      </c>
      <c r="B161" s="28"/>
      <c r="C161" s="19" t="s">
        <v>526</v>
      </c>
      <c r="D161" s="14" t="s">
        <v>526</v>
      </c>
      <c r="E161" s="14" t="s">
        <v>526</v>
      </c>
      <c r="F161" s="14" t="s">
        <v>526</v>
      </c>
      <c r="G161" s="18" t="s">
        <v>526</v>
      </c>
      <c r="H161" s="14" t="s">
        <v>526</v>
      </c>
      <c r="I161" s="18" t="s">
        <v>526</v>
      </c>
      <c r="J161" s="14">
        <v>159</v>
      </c>
    </row>
    <row r="162" spans="1:10" s="10" customFormat="1" ht="14.45">
      <c r="A162" s="13">
        <v>160</v>
      </c>
      <c r="B162" s="28"/>
      <c r="C162" s="19" t="s">
        <v>526</v>
      </c>
      <c r="D162" s="14" t="s">
        <v>526</v>
      </c>
      <c r="E162" s="14" t="s">
        <v>526</v>
      </c>
      <c r="F162" s="14" t="s">
        <v>526</v>
      </c>
      <c r="G162" s="18" t="s">
        <v>526</v>
      </c>
      <c r="H162" s="14" t="s">
        <v>526</v>
      </c>
      <c r="I162" s="18" t="s">
        <v>526</v>
      </c>
      <c r="J162" s="14">
        <v>160</v>
      </c>
    </row>
    <row r="163" spans="1:10" s="10" customFormat="1" ht="14.45">
      <c r="A163" s="13">
        <v>161</v>
      </c>
      <c r="B163" s="28"/>
      <c r="C163" s="19" t="s">
        <v>526</v>
      </c>
      <c r="D163" s="14" t="s">
        <v>526</v>
      </c>
      <c r="E163" s="14" t="s">
        <v>526</v>
      </c>
      <c r="F163" s="14" t="s">
        <v>526</v>
      </c>
      <c r="G163" s="18" t="s">
        <v>526</v>
      </c>
      <c r="H163" s="14" t="s">
        <v>526</v>
      </c>
      <c r="I163" s="18" t="s">
        <v>526</v>
      </c>
      <c r="J163" s="14">
        <v>161</v>
      </c>
    </row>
    <row r="164" spans="1:10" s="10" customFormat="1" ht="14.45">
      <c r="A164" s="13">
        <v>162</v>
      </c>
      <c r="B164" s="28"/>
      <c r="C164" s="19" t="s">
        <v>526</v>
      </c>
      <c r="D164" s="14" t="s">
        <v>526</v>
      </c>
      <c r="E164" s="14" t="s">
        <v>526</v>
      </c>
      <c r="F164" s="14" t="s">
        <v>526</v>
      </c>
      <c r="G164" s="18" t="s">
        <v>526</v>
      </c>
      <c r="H164" s="14" t="s">
        <v>526</v>
      </c>
      <c r="I164" s="18" t="s">
        <v>526</v>
      </c>
      <c r="J164" s="14">
        <v>162</v>
      </c>
    </row>
    <row r="165" spans="1:10" s="10" customFormat="1" ht="14.45">
      <c r="A165" s="13">
        <v>163</v>
      </c>
      <c r="B165" s="28"/>
      <c r="C165" s="19" t="s">
        <v>526</v>
      </c>
      <c r="D165" s="14" t="s">
        <v>526</v>
      </c>
      <c r="E165" s="14" t="s">
        <v>526</v>
      </c>
      <c r="F165" s="14" t="s">
        <v>526</v>
      </c>
      <c r="G165" s="18" t="s">
        <v>526</v>
      </c>
      <c r="H165" s="14" t="s">
        <v>526</v>
      </c>
      <c r="I165" s="18" t="s">
        <v>526</v>
      </c>
      <c r="J165" s="14">
        <v>163</v>
      </c>
    </row>
    <row r="166" spans="1:10" s="10" customFormat="1" ht="14.45">
      <c r="A166" s="13">
        <v>164</v>
      </c>
      <c r="B166" s="28"/>
      <c r="C166" s="19" t="s">
        <v>526</v>
      </c>
      <c r="D166" s="14" t="s">
        <v>526</v>
      </c>
      <c r="E166" s="14" t="s">
        <v>526</v>
      </c>
      <c r="F166" s="14" t="s">
        <v>526</v>
      </c>
      <c r="G166" s="18" t="s">
        <v>526</v>
      </c>
      <c r="H166" s="14" t="s">
        <v>526</v>
      </c>
      <c r="I166" s="18" t="s">
        <v>526</v>
      </c>
      <c r="J166" s="14">
        <v>164</v>
      </c>
    </row>
    <row r="167" spans="1:10" s="10" customFormat="1" ht="14.45">
      <c r="A167" s="13">
        <v>165</v>
      </c>
      <c r="B167" s="28"/>
      <c r="C167" s="19" t="s">
        <v>526</v>
      </c>
      <c r="D167" s="14" t="s">
        <v>526</v>
      </c>
      <c r="E167" s="14" t="s">
        <v>526</v>
      </c>
      <c r="F167" s="14" t="s">
        <v>526</v>
      </c>
      <c r="G167" s="18" t="s">
        <v>526</v>
      </c>
      <c r="H167" s="14" t="s">
        <v>526</v>
      </c>
      <c r="I167" s="18" t="s">
        <v>526</v>
      </c>
      <c r="J167" s="14">
        <v>165</v>
      </c>
    </row>
    <row r="168" spans="1:10" s="10" customFormat="1" ht="14.45">
      <c r="A168" s="13">
        <v>166</v>
      </c>
      <c r="B168" s="28"/>
      <c r="C168" s="19" t="s">
        <v>526</v>
      </c>
      <c r="D168" s="14" t="s">
        <v>526</v>
      </c>
      <c r="E168" s="14" t="s">
        <v>526</v>
      </c>
      <c r="F168" s="14" t="s">
        <v>526</v>
      </c>
      <c r="G168" s="18" t="s">
        <v>526</v>
      </c>
      <c r="H168" s="14" t="s">
        <v>526</v>
      </c>
      <c r="I168" s="18" t="s">
        <v>526</v>
      </c>
      <c r="J168" s="14">
        <v>166</v>
      </c>
    </row>
    <row r="169" spans="1:10" s="10" customFormat="1" ht="14.45">
      <c r="A169" s="13">
        <v>167</v>
      </c>
      <c r="B169" s="28"/>
      <c r="C169" s="19" t="s">
        <v>526</v>
      </c>
      <c r="D169" s="14" t="s">
        <v>526</v>
      </c>
      <c r="E169" s="14" t="s">
        <v>526</v>
      </c>
      <c r="F169" s="14" t="s">
        <v>526</v>
      </c>
      <c r="G169" s="18" t="s">
        <v>526</v>
      </c>
      <c r="H169" s="14" t="s">
        <v>526</v>
      </c>
      <c r="I169" s="18" t="s">
        <v>526</v>
      </c>
      <c r="J169" s="14">
        <v>167</v>
      </c>
    </row>
    <row r="170" spans="1:10" s="10" customFormat="1" ht="14.45">
      <c r="A170" s="13">
        <v>168</v>
      </c>
      <c r="B170" s="28"/>
      <c r="C170" s="19" t="s">
        <v>526</v>
      </c>
      <c r="D170" s="14" t="s">
        <v>526</v>
      </c>
      <c r="E170" s="14" t="s">
        <v>526</v>
      </c>
      <c r="F170" s="14" t="s">
        <v>526</v>
      </c>
      <c r="G170" s="18" t="s">
        <v>526</v>
      </c>
      <c r="H170" s="14" t="s">
        <v>526</v>
      </c>
      <c r="I170" s="18" t="s">
        <v>526</v>
      </c>
      <c r="J170" s="14">
        <v>168</v>
      </c>
    </row>
    <row r="171" spans="1:10" s="10" customFormat="1" ht="14.45">
      <c r="A171" s="13">
        <v>169</v>
      </c>
      <c r="B171" s="28"/>
      <c r="C171" s="19" t="s">
        <v>526</v>
      </c>
      <c r="D171" s="14" t="s">
        <v>526</v>
      </c>
      <c r="E171" s="14" t="s">
        <v>526</v>
      </c>
      <c r="F171" s="14" t="s">
        <v>526</v>
      </c>
      <c r="G171" s="18" t="s">
        <v>526</v>
      </c>
      <c r="H171" s="14" t="s">
        <v>526</v>
      </c>
      <c r="I171" s="18" t="s">
        <v>526</v>
      </c>
      <c r="J171" s="14">
        <v>169</v>
      </c>
    </row>
    <row r="172" spans="1:10" s="10" customFormat="1" ht="14.45">
      <c r="A172" s="13">
        <v>170</v>
      </c>
      <c r="B172" s="28"/>
      <c r="C172" s="19" t="s">
        <v>526</v>
      </c>
      <c r="D172" s="14" t="s">
        <v>526</v>
      </c>
      <c r="E172" s="14" t="s">
        <v>526</v>
      </c>
      <c r="F172" s="14" t="s">
        <v>526</v>
      </c>
      <c r="G172" s="18" t="s">
        <v>526</v>
      </c>
      <c r="H172" s="14" t="s">
        <v>526</v>
      </c>
      <c r="I172" s="18" t="s">
        <v>526</v>
      </c>
      <c r="J172" s="14">
        <v>170</v>
      </c>
    </row>
    <row r="173" spans="1:10" s="10" customFormat="1" ht="14.45">
      <c r="A173" s="13">
        <v>171</v>
      </c>
      <c r="B173" s="28"/>
      <c r="C173" s="19" t="s">
        <v>526</v>
      </c>
      <c r="D173" s="14" t="s">
        <v>526</v>
      </c>
      <c r="E173" s="14" t="s">
        <v>526</v>
      </c>
      <c r="F173" s="14" t="s">
        <v>526</v>
      </c>
      <c r="G173" s="18" t="s">
        <v>526</v>
      </c>
      <c r="H173" s="14" t="s">
        <v>526</v>
      </c>
      <c r="I173" s="18" t="s">
        <v>526</v>
      </c>
      <c r="J173" s="14">
        <v>171</v>
      </c>
    </row>
    <row r="174" spans="1:10" s="10" customFormat="1" ht="14.45">
      <c r="A174" s="13">
        <v>172</v>
      </c>
      <c r="B174" s="28"/>
      <c r="C174" s="19" t="s">
        <v>526</v>
      </c>
      <c r="D174" s="14" t="s">
        <v>526</v>
      </c>
      <c r="E174" s="14" t="s">
        <v>526</v>
      </c>
      <c r="F174" s="14" t="s">
        <v>526</v>
      </c>
      <c r="G174" s="18" t="s">
        <v>526</v>
      </c>
      <c r="H174" s="14" t="s">
        <v>526</v>
      </c>
      <c r="I174" s="18" t="s">
        <v>526</v>
      </c>
      <c r="J174" s="14">
        <v>172</v>
      </c>
    </row>
    <row r="175" spans="1:10" s="10" customFormat="1" ht="14.45">
      <c r="A175" s="13">
        <v>173</v>
      </c>
      <c r="B175" s="28"/>
      <c r="C175" s="19" t="s">
        <v>526</v>
      </c>
      <c r="D175" s="14" t="s">
        <v>526</v>
      </c>
      <c r="E175" s="14" t="s">
        <v>526</v>
      </c>
      <c r="F175" s="14" t="s">
        <v>526</v>
      </c>
      <c r="G175" s="18" t="s">
        <v>526</v>
      </c>
      <c r="H175" s="14" t="s">
        <v>526</v>
      </c>
      <c r="I175" s="18" t="s">
        <v>526</v>
      </c>
      <c r="J175" s="14">
        <v>173</v>
      </c>
    </row>
    <row r="176" spans="1:10" s="10" customFormat="1" ht="14.45">
      <c r="A176" s="13">
        <v>174</v>
      </c>
      <c r="B176" s="28"/>
      <c r="C176" s="19" t="s">
        <v>526</v>
      </c>
      <c r="D176" s="14" t="s">
        <v>526</v>
      </c>
      <c r="E176" s="14" t="s">
        <v>526</v>
      </c>
      <c r="F176" s="14" t="s">
        <v>526</v>
      </c>
      <c r="G176" s="18" t="s">
        <v>526</v>
      </c>
      <c r="H176" s="14" t="s">
        <v>526</v>
      </c>
      <c r="I176" s="18" t="s">
        <v>526</v>
      </c>
      <c r="J176" s="14">
        <v>174</v>
      </c>
    </row>
    <row r="177" spans="1:10" s="10" customFormat="1" ht="14.45">
      <c r="A177" s="13">
        <v>175</v>
      </c>
      <c r="B177" s="28"/>
      <c r="C177" s="19" t="s">
        <v>526</v>
      </c>
      <c r="D177" s="14" t="s">
        <v>526</v>
      </c>
      <c r="E177" s="14" t="s">
        <v>526</v>
      </c>
      <c r="F177" s="14" t="s">
        <v>526</v>
      </c>
      <c r="G177" s="18" t="s">
        <v>526</v>
      </c>
      <c r="H177" s="14" t="s">
        <v>526</v>
      </c>
      <c r="I177" s="18" t="s">
        <v>526</v>
      </c>
      <c r="J177" s="14">
        <v>175</v>
      </c>
    </row>
    <row r="178" spans="1:10" s="10" customFormat="1" ht="14.45">
      <c r="A178" s="13">
        <v>176</v>
      </c>
      <c r="B178" s="28"/>
      <c r="C178" s="19" t="s">
        <v>526</v>
      </c>
      <c r="D178" s="14" t="s">
        <v>526</v>
      </c>
      <c r="E178" s="14" t="s">
        <v>526</v>
      </c>
      <c r="F178" s="14" t="s">
        <v>526</v>
      </c>
      <c r="G178" s="18" t="s">
        <v>526</v>
      </c>
      <c r="H178" s="14" t="s">
        <v>526</v>
      </c>
      <c r="I178" s="18" t="s">
        <v>526</v>
      </c>
      <c r="J178" s="14">
        <v>176</v>
      </c>
    </row>
    <row r="179" spans="1:10" s="10" customFormat="1" ht="14.45">
      <c r="A179" s="13">
        <v>177</v>
      </c>
      <c r="B179" s="28"/>
      <c r="C179" s="19" t="s">
        <v>526</v>
      </c>
      <c r="D179" s="14" t="s">
        <v>526</v>
      </c>
      <c r="E179" s="14" t="s">
        <v>526</v>
      </c>
      <c r="F179" s="14" t="s">
        <v>526</v>
      </c>
      <c r="G179" s="18" t="s">
        <v>526</v>
      </c>
      <c r="H179" s="14" t="s">
        <v>526</v>
      </c>
      <c r="I179" s="18" t="s">
        <v>526</v>
      </c>
      <c r="J179" s="14">
        <v>177</v>
      </c>
    </row>
    <row r="180" spans="1:10" s="10" customFormat="1" ht="14.45">
      <c r="A180" s="13">
        <v>178</v>
      </c>
      <c r="B180" s="28"/>
      <c r="C180" s="19" t="s">
        <v>526</v>
      </c>
      <c r="D180" s="14" t="s">
        <v>526</v>
      </c>
      <c r="E180" s="14" t="s">
        <v>526</v>
      </c>
      <c r="F180" s="14" t="s">
        <v>526</v>
      </c>
      <c r="G180" s="18" t="s">
        <v>526</v>
      </c>
      <c r="H180" s="14" t="s">
        <v>526</v>
      </c>
      <c r="I180" s="18" t="s">
        <v>526</v>
      </c>
      <c r="J180" s="14">
        <v>178</v>
      </c>
    </row>
    <row r="181" spans="1:10" s="10" customFormat="1" ht="14.45">
      <c r="A181" s="13">
        <v>179</v>
      </c>
      <c r="B181" s="28"/>
      <c r="C181" s="19" t="s">
        <v>526</v>
      </c>
      <c r="D181" s="14" t="s">
        <v>526</v>
      </c>
      <c r="E181" s="14" t="s">
        <v>526</v>
      </c>
      <c r="F181" s="14" t="s">
        <v>526</v>
      </c>
      <c r="G181" s="18" t="s">
        <v>526</v>
      </c>
      <c r="H181" s="14" t="s">
        <v>526</v>
      </c>
      <c r="I181" s="18" t="s">
        <v>526</v>
      </c>
      <c r="J181" s="14">
        <v>179</v>
      </c>
    </row>
    <row r="182" spans="1:10" s="10" customFormat="1" ht="14.45">
      <c r="A182" s="13">
        <v>180</v>
      </c>
      <c r="B182" s="28"/>
      <c r="C182" s="19" t="s">
        <v>526</v>
      </c>
      <c r="D182" s="14" t="s">
        <v>526</v>
      </c>
      <c r="E182" s="14" t="s">
        <v>526</v>
      </c>
      <c r="F182" s="14" t="s">
        <v>526</v>
      </c>
      <c r="G182" s="18" t="s">
        <v>526</v>
      </c>
      <c r="H182" s="14" t="s">
        <v>526</v>
      </c>
      <c r="I182" s="18" t="s">
        <v>526</v>
      </c>
      <c r="J182" s="14">
        <v>180</v>
      </c>
    </row>
    <row r="183" spans="1:10" s="10" customFormat="1" ht="14.45">
      <c r="A183" s="13">
        <v>181</v>
      </c>
      <c r="B183" s="28"/>
      <c r="C183" s="19" t="s">
        <v>526</v>
      </c>
      <c r="D183" s="14" t="s">
        <v>526</v>
      </c>
      <c r="E183" s="14" t="s">
        <v>526</v>
      </c>
      <c r="F183" s="14" t="s">
        <v>526</v>
      </c>
      <c r="G183" s="18" t="s">
        <v>526</v>
      </c>
      <c r="H183" s="14" t="s">
        <v>526</v>
      </c>
      <c r="I183" s="18" t="s">
        <v>526</v>
      </c>
      <c r="J183" s="14">
        <v>181</v>
      </c>
    </row>
    <row r="184" spans="1:10" s="10" customFormat="1" ht="14.45">
      <c r="A184" s="13">
        <v>182</v>
      </c>
      <c r="B184" s="28"/>
      <c r="C184" s="19" t="s">
        <v>526</v>
      </c>
      <c r="D184" s="14" t="s">
        <v>526</v>
      </c>
      <c r="E184" s="14" t="s">
        <v>526</v>
      </c>
      <c r="F184" s="14" t="s">
        <v>526</v>
      </c>
      <c r="G184" s="18" t="s">
        <v>526</v>
      </c>
      <c r="H184" s="14" t="s">
        <v>526</v>
      </c>
      <c r="I184" s="18" t="s">
        <v>526</v>
      </c>
      <c r="J184" s="14">
        <v>182</v>
      </c>
    </row>
    <row r="185" spans="1:10" s="10" customFormat="1" ht="14.45">
      <c r="A185" s="13">
        <v>183</v>
      </c>
      <c r="B185" s="28"/>
      <c r="C185" s="19" t="s">
        <v>526</v>
      </c>
      <c r="D185" s="14" t="s">
        <v>526</v>
      </c>
      <c r="E185" s="14" t="s">
        <v>526</v>
      </c>
      <c r="F185" s="14" t="s">
        <v>526</v>
      </c>
      <c r="G185" s="18" t="s">
        <v>526</v>
      </c>
      <c r="H185" s="14" t="s">
        <v>526</v>
      </c>
      <c r="I185" s="18" t="s">
        <v>526</v>
      </c>
      <c r="J185" s="14">
        <v>183</v>
      </c>
    </row>
    <row r="186" spans="1:10" s="10" customFormat="1" ht="14.45">
      <c r="A186" s="13">
        <v>184</v>
      </c>
      <c r="B186" s="28"/>
      <c r="C186" s="19" t="s">
        <v>526</v>
      </c>
      <c r="D186" s="14" t="s">
        <v>526</v>
      </c>
      <c r="E186" s="14" t="s">
        <v>526</v>
      </c>
      <c r="F186" s="14" t="s">
        <v>526</v>
      </c>
      <c r="G186" s="18" t="s">
        <v>526</v>
      </c>
      <c r="H186" s="14" t="s">
        <v>526</v>
      </c>
      <c r="I186" s="18" t="s">
        <v>526</v>
      </c>
      <c r="J186" s="14">
        <v>184</v>
      </c>
    </row>
    <row r="187" spans="1:10" s="10" customFormat="1" ht="14.45">
      <c r="A187" s="13">
        <v>185</v>
      </c>
      <c r="B187" s="28"/>
      <c r="C187" s="19" t="s">
        <v>526</v>
      </c>
      <c r="D187" s="14" t="s">
        <v>526</v>
      </c>
      <c r="E187" s="14" t="s">
        <v>526</v>
      </c>
      <c r="F187" s="14" t="s">
        <v>526</v>
      </c>
      <c r="G187" s="18" t="s">
        <v>526</v>
      </c>
      <c r="H187" s="14" t="s">
        <v>526</v>
      </c>
      <c r="I187" s="18" t="s">
        <v>526</v>
      </c>
      <c r="J187" s="14">
        <v>185</v>
      </c>
    </row>
    <row r="188" spans="1:10" s="10" customFormat="1" ht="14.45">
      <c r="A188" s="13">
        <v>186</v>
      </c>
      <c r="B188" s="28"/>
      <c r="C188" s="19" t="s">
        <v>526</v>
      </c>
      <c r="D188" s="14" t="s">
        <v>526</v>
      </c>
      <c r="E188" s="14" t="s">
        <v>526</v>
      </c>
      <c r="F188" s="14" t="s">
        <v>526</v>
      </c>
      <c r="G188" s="18" t="s">
        <v>526</v>
      </c>
      <c r="H188" s="14" t="s">
        <v>526</v>
      </c>
      <c r="I188" s="18" t="s">
        <v>526</v>
      </c>
      <c r="J188" s="14">
        <v>186</v>
      </c>
    </row>
    <row r="189" spans="1:10" s="10" customFormat="1" ht="14.45">
      <c r="A189" s="13">
        <v>187</v>
      </c>
      <c r="B189" s="28"/>
      <c r="C189" s="19" t="s">
        <v>526</v>
      </c>
      <c r="D189" s="14" t="s">
        <v>526</v>
      </c>
      <c r="E189" s="14" t="s">
        <v>526</v>
      </c>
      <c r="F189" s="14" t="s">
        <v>526</v>
      </c>
      <c r="G189" s="18" t="s">
        <v>526</v>
      </c>
      <c r="H189" s="14" t="s">
        <v>526</v>
      </c>
      <c r="I189" s="18" t="s">
        <v>526</v>
      </c>
      <c r="J189" s="14">
        <v>187</v>
      </c>
    </row>
    <row r="190" spans="1:10" s="10" customFormat="1" ht="14.45">
      <c r="A190" s="13">
        <v>188</v>
      </c>
      <c r="B190" s="28"/>
      <c r="C190" s="19" t="s">
        <v>526</v>
      </c>
      <c r="D190" s="14" t="s">
        <v>526</v>
      </c>
      <c r="E190" s="14" t="s">
        <v>526</v>
      </c>
      <c r="F190" s="14" t="s">
        <v>526</v>
      </c>
      <c r="G190" s="18" t="s">
        <v>526</v>
      </c>
      <c r="H190" s="14" t="s">
        <v>526</v>
      </c>
      <c r="I190" s="18" t="s">
        <v>526</v>
      </c>
      <c r="J190" s="14">
        <v>188</v>
      </c>
    </row>
    <row r="191" spans="1:10" s="10" customFormat="1" ht="14.45">
      <c r="A191" s="13">
        <v>189</v>
      </c>
      <c r="B191" s="28"/>
      <c r="C191" s="19" t="s">
        <v>526</v>
      </c>
      <c r="D191" s="14" t="s">
        <v>526</v>
      </c>
      <c r="E191" s="14" t="s">
        <v>526</v>
      </c>
      <c r="F191" s="14" t="s">
        <v>526</v>
      </c>
      <c r="G191" s="18" t="s">
        <v>526</v>
      </c>
      <c r="H191" s="14" t="s">
        <v>526</v>
      </c>
      <c r="I191" s="18" t="s">
        <v>526</v>
      </c>
      <c r="J191" s="14">
        <v>189</v>
      </c>
    </row>
    <row r="192" spans="1:10" s="10" customFormat="1" ht="14.45">
      <c r="A192" s="13">
        <v>190</v>
      </c>
      <c r="B192" s="28"/>
      <c r="C192" s="19" t="s">
        <v>526</v>
      </c>
      <c r="D192" s="14" t="s">
        <v>526</v>
      </c>
      <c r="E192" s="14" t="s">
        <v>526</v>
      </c>
      <c r="F192" s="14" t="s">
        <v>526</v>
      </c>
      <c r="G192" s="18" t="s">
        <v>526</v>
      </c>
      <c r="H192" s="14" t="s">
        <v>526</v>
      </c>
      <c r="I192" s="18" t="s">
        <v>526</v>
      </c>
      <c r="J192" s="14">
        <v>190</v>
      </c>
    </row>
    <row r="193" spans="1:10" s="10" customFormat="1" ht="14.45">
      <c r="A193" s="13">
        <v>191</v>
      </c>
      <c r="B193" s="28"/>
      <c r="C193" s="19" t="s">
        <v>526</v>
      </c>
      <c r="D193" s="14" t="s">
        <v>526</v>
      </c>
      <c r="E193" s="14" t="s">
        <v>526</v>
      </c>
      <c r="F193" s="14" t="s">
        <v>526</v>
      </c>
      <c r="G193" s="18" t="s">
        <v>526</v>
      </c>
      <c r="H193" s="14" t="s">
        <v>526</v>
      </c>
      <c r="I193" s="18" t="s">
        <v>526</v>
      </c>
      <c r="J193" s="14">
        <v>191</v>
      </c>
    </row>
    <row r="194" spans="1:10" s="10" customFormat="1" ht="14.45">
      <c r="A194" s="13">
        <v>192</v>
      </c>
      <c r="B194" s="28"/>
      <c r="C194" s="19" t="s">
        <v>526</v>
      </c>
      <c r="D194" s="14" t="s">
        <v>526</v>
      </c>
      <c r="E194" s="14" t="s">
        <v>526</v>
      </c>
      <c r="F194" s="14" t="s">
        <v>526</v>
      </c>
      <c r="G194" s="18" t="s">
        <v>526</v>
      </c>
      <c r="H194" s="14" t="s">
        <v>526</v>
      </c>
      <c r="I194" s="18" t="s">
        <v>526</v>
      </c>
      <c r="J194" s="14">
        <v>192</v>
      </c>
    </row>
    <row r="195" spans="1:10" s="10" customFormat="1" ht="14.45">
      <c r="A195" s="13">
        <v>193</v>
      </c>
      <c r="B195" s="28"/>
      <c r="C195" s="19" t="s">
        <v>526</v>
      </c>
      <c r="D195" s="14" t="s">
        <v>526</v>
      </c>
      <c r="E195" s="14" t="s">
        <v>526</v>
      </c>
      <c r="F195" s="14" t="s">
        <v>526</v>
      </c>
      <c r="G195" s="18" t="s">
        <v>526</v>
      </c>
      <c r="H195" s="14" t="s">
        <v>526</v>
      </c>
      <c r="I195" s="18" t="s">
        <v>526</v>
      </c>
      <c r="J195" s="14">
        <v>193</v>
      </c>
    </row>
    <row r="196" spans="1:10" s="10" customFormat="1" ht="14.45">
      <c r="A196" s="13">
        <v>194</v>
      </c>
      <c r="B196" s="28"/>
      <c r="C196" s="19" t="s">
        <v>526</v>
      </c>
      <c r="D196" s="14" t="s">
        <v>526</v>
      </c>
      <c r="E196" s="14" t="s">
        <v>526</v>
      </c>
      <c r="F196" s="14" t="s">
        <v>526</v>
      </c>
      <c r="G196" s="18" t="s">
        <v>526</v>
      </c>
      <c r="H196" s="14" t="s">
        <v>526</v>
      </c>
      <c r="I196" s="18" t="s">
        <v>526</v>
      </c>
      <c r="J196" s="14">
        <v>194</v>
      </c>
    </row>
    <row r="197" spans="1:10" s="10" customFormat="1" ht="14.45">
      <c r="A197" s="13">
        <v>195</v>
      </c>
      <c r="B197" s="28"/>
      <c r="C197" s="19" t="s">
        <v>526</v>
      </c>
      <c r="D197" s="14" t="s">
        <v>526</v>
      </c>
      <c r="E197" s="14" t="s">
        <v>526</v>
      </c>
      <c r="F197" s="14" t="s">
        <v>526</v>
      </c>
      <c r="G197" s="18" t="s">
        <v>526</v>
      </c>
      <c r="H197" s="14" t="s">
        <v>526</v>
      </c>
      <c r="I197" s="18" t="s">
        <v>526</v>
      </c>
      <c r="J197" s="14">
        <v>195</v>
      </c>
    </row>
    <row r="198" spans="1:10" s="10" customFormat="1" ht="14.45">
      <c r="A198" s="13">
        <v>196</v>
      </c>
      <c r="B198" s="28"/>
      <c r="C198" s="19" t="s">
        <v>526</v>
      </c>
      <c r="D198" s="14" t="s">
        <v>526</v>
      </c>
      <c r="E198" s="14" t="s">
        <v>526</v>
      </c>
      <c r="F198" s="14" t="s">
        <v>526</v>
      </c>
      <c r="G198" s="18" t="s">
        <v>526</v>
      </c>
      <c r="H198" s="14" t="s">
        <v>526</v>
      </c>
      <c r="I198" s="18" t="s">
        <v>526</v>
      </c>
      <c r="J198" s="14">
        <v>196</v>
      </c>
    </row>
    <row r="199" spans="1:10" s="10" customFormat="1" ht="14.45">
      <c r="A199" s="13">
        <v>197</v>
      </c>
      <c r="B199" s="28"/>
      <c r="C199" s="19" t="s">
        <v>526</v>
      </c>
      <c r="D199" s="14" t="s">
        <v>526</v>
      </c>
      <c r="E199" s="14" t="s">
        <v>526</v>
      </c>
      <c r="F199" s="14" t="s">
        <v>526</v>
      </c>
      <c r="G199" s="18" t="s">
        <v>526</v>
      </c>
      <c r="H199" s="14" t="s">
        <v>526</v>
      </c>
      <c r="I199" s="18" t="s">
        <v>526</v>
      </c>
      <c r="J199" s="14">
        <v>197</v>
      </c>
    </row>
    <row r="200" spans="1:10" s="10" customFormat="1" ht="14.45">
      <c r="A200" s="13">
        <v>198</v>
      </c>
      <c r="B200" s="28"/>
      <c r="C200" s="19" t="s">
        <v>526</v>
      </c>
      <c r="D200" s="14" t="s">
        <v>526</v>
      </c>
      <c r="E200" s="14" t="s">
        <v>526</v>
      </c>
      <c r="F200" s="14" t="s">
        <v>526</v>
      </c>
      <c r="G200" s="18" t="s">
        <v>526</v>
      </c>
      <c r="H200" s="14" t="s">
        <v>526</v>
      </c>
      <c r="I200" s="18" t="s">
        <v>526</v>
      </c>
      <c r="J200" s="14">
        <v>198</v>
      </c>
    </row>
    <row r="201" spans="1:10" s="10" customFormat="1" ht="14.45">
      <c r="A201" s="13">
        <v>199</v>
      </c>
      <c r="B201" s="28"/>
      <c r="C201" s="19" t="s">
        <v>526</v>
      </c>
      <c r="D201" s="14" t="s">
        <v>526</v>
      </c>
      <c r="E201" s="14" t="s">
        <v>526</v>
      </c>
      <c r="F201" s="14" t="s">
        <v>526</v>
      </c>
      <c r="G201" s="18" t="s">
        <v>526</v>
      </c>
      <c r="H201" s="14" t="s">
        <v>526</v>
      </c>
      <c r="I201" s="18" t="s">
        <v>526</v>
      </c>
      <c r="J201" s="14">
        <v>199</v>
      </c>
    </row>
    <row r="202" spans="1:10" s="10" customFormat="1" ht="14.45">
      <c r="A202" s="13">
        <v>200</v>
      </c>
      <c r="B202" s="28"/>
      <c r="C202" s="19" t="s">
        <v>526</v>
      </c>
      <c r="D202" s="14" t="s">
        <v>526</v>
      </c>
      <c r="E202" s="14" t="s">
        <v>526</v>
      </c>
      <c r="F202" s="14" t="s">
        <v>526</v>
      </c>
      <c r="G202" s="18" t="s">
        <v>526</v>
      </c>
      <c r="H202" s="14" t="s">
        <v>526</v>
      </c>
      <c r="I202" s="18" t="s">
        <v>526</v>
      </c>
      <c r="J202" s="14">
        <v>200</v>
      </c>
    </row>
    <row r="203" spans="1:10" s="10" customFormat="1" ht="14.45">
      <c r="A203" s="13">
        <v>201</v>
      </c>
      <c r="B203" s="28"/>
      <c r="C203" s="19" t="s">
        <v>526</v>
      </c>
      <c r="D203" s="14" t="s">
        <v>526</v>
      </c>
      <c r="E203" s="14" t="s">
        <v>526</v>
      </c>
      <c r="F203" s="14" t="s">
        <v>526</v>
      </c>
      <c r="G203" s="18" t="s">
        <v>526</v>
      </c>
      <c r="H203" s="14" t="s">
        <v>526</v>
      </c>
      <c r="I203" s="18" t="s">
        <v>526</v>
      </c>
      <c r="J203" s="14">
        <v>201</v>
      </c>
    </row>
    <row r="204" spans="1:10" s="10" customFormat="1" ht="14.45">
      <c r="A204" s="13">
        <v>202</v>
      </c>
      <c r="B204" s="28"/>
      <c r="C204" s="19" t="s">
        <v>526</v>
      </c>
      <c r="D204" s="14" t="s">
        <v>526</v>
      </c>
      <c r="E204" s="14" t="s">
        <v>526</v>
      </c>
      <c r="F204" s="14" t="s">
        <v>526</v>
      </c>
      <c r="G204" s="18" t="s">
        <v>526</v>
      </c>
      <c r="H204" s="14" t="s">
        <v>526</v>
      </c>
      <c r="I204" s="18" t="s">
        <v>526</v>
      </c>
      <c r="J204" s="14">
        <v>202</v>
      </c>
    </row>
    <row r="205" spans="1:10" s="10" customFormat="1" ht="14.45">
      <c r="A205" s="13">
        <v>203</v>
      </c>
      <c r="B205" s="28"/>
      <c r="C205" s="19" t="s">
        <v>526</v>
      </c>
      <c r="D205" s="14" t="s">
        <v>526</v>
      </c>
      <c r="E205" s="14" t="s">
        <v>526</v>
      </c>
      <c r="F205" s="14" t="s">
        <v>526</v>
      </c>
      <c r="G205" s="18" t="s">
        <v>526</v>
      </c>
      <c r="H205" s="14" t="s">
        <v>526</v>
      </c>
      <c r="I205" s="18" t="s">
        <v>526</v>
      </c>
      <c r="J205" s="14">
        <v>203</v>
      </c>
    </row>
    <row r="206" spans="1:10" s="10" customFormat="1" ht="14.45">
      <c r="A206" s="13">
        <v>204</v>
      </c>
      <c r="B206" s="28"/>
      <c r="C206" s="19" t="s">
        <v>526</v>
      </c>
      <c r="D206" s="14" t="s">
        <v>526</v>
      </c>
      <c r="E206" s="14" t="s">
        <v>526</v>
      </c>
      <c r="F206" s="14" t="s">
        <v>526</v>
      </c>
      <c r="G206" s="18" t="s">
        <v>526</v>
      </c>
      <c r="H206" s="14" t="s">
        <v>526</v>
      </c>
      <c r="I206" s="18" t="s">
        <v>526</v>
      </c>
      <c r="J206" s="14">
        <v>204</v>
      </c>
    </row>
    <row r="207" spans="1:10" s="10" customFormat="1" ht="14.45">
      <c r="A207" s="13">
        <v>205</v>
      </c>
      <c r="B207" s="28"/>
      <c r="C207" s="19" t="s">
        <v>526</v>
      </c>
      <c r="D207" s="14" t="s">
        <v>526</v>
      </c>
      <c r="E207" s="14" t="s">
        <v>526</v>
      </c>
      <c r="F207" s="14" t="s">
        <v>526</v>
      </c>
      <c r="G207" s="18" t="s">
        <v>526</v>
      </c>
      <c r="H207" s="14" t="s">
        <v>526</v>
      </c>
      <c r="I207" s="18" t="s">
        <v>526</v>
      </c>
      <c r="J207" s="14">
        <v>205</v>
      </c>
    </row>
    <row r="208" spans="1:10" s="10" customFormat="1" ht="14.45">
      <c r="A208" s="13">
        <v>206</v>
      </c>
      <c r="B208" s="28"/>
      <c r="C208" s="19" t="s">
        <v>526</v>
      </c>
      <c r="D208" s="14" t="s">
        <v>526</v>
      </c>
      <c r="E208" s="14" t="s">
        <v>526</v>
      </c>
      <c r="F208" s="14" t="s">
        <v>526</v>
      </c>
      <c r="G208" s="18" t="s">
        <v>526</v>
      </c>
      <c r="H208" s="14" t="s">
        <v>526</v>
      </c>
      <c r="I208" s="18" t="s">
        <v>526</v>
      </c>
      <c r="J208" s="14">
        <v>206</v>
      </c>
    </row>
    <row r="209" spans="1:10" s="10" customFormat="1" ht="14.45">
      <c r="A209" s="13">
        <v>207</v>
      </c>
      <c r="B209" s="28"/>
      <c r="C209" s="19" t="s">
        <v>526</v>
      </c>
      <c r="D209" s="14" t="s">
        <v>526</v>
      </c>
      <c r="E209" s="14" t="s">
        <v>526</v>
      </c>
      <c r="F209" s="14" t="s">
        <v>526</v>
      </c>
      <c r="G209" s="18" t="s">
        <v>526</v>
      </c>
      <c r="H209" s="14" t="s">
        <v>526</v>
      </c>
      <c r="I209" s="18" t="s">
        <v>526</v>
      </c>
      <c r="J209" s="14">
        <v>207</v>
      </c>
    </row>
    <row r="210" spans="1:10" s="10" customFormat="1" ht="14.45">
      <c r="A210" s="13">
        <v>208</v>
      </c>
      <c r="B210" s="28"/>
      <c r="C210" s="19" t="s">
        <v>526</v>
      </c>
      <c r="D210" s="14" t="s">
        <v>526</v>
      </c>
      <c r="E210" s="14" t="s">
        <v>526</v>
      </c>
      <c r="F210" s="14" t="s">
        <v>526</v>
      </c>
      <c r="G210" s="18" t="s">
        <v>526</v>
      </c>
      <c r="H210" s="14" t="s">
        <v>526</v>
      </c>
      <c r="I210" s="18" t="s">
        <v>526</v>
      </c>
      <c r="J210" s="14">
        <v>208</v>
      </c>
    </row>
    <row r="211" spans="1:10" s="10" customFormat="1" ht="14.45">
      <c r="A211" s="13">
        <v>209</v>
      </c>
      <c r="B211" s="28"/>
      <c r="C211" s="19" t="s">
        <v>526</v>
      </c>
      <c r="D211" s="14" t="s">
        <v>526</v>
      </c>
      <c r="E211" s="14" t="s">
        <v>526</v>
      </c>
      <c r="F211" s="14" t="s">
        <v>526</v>
      </c>
      <c r="G211" s="18" t="s">
        <v>526</v>
      </c>
      <c r="H211" s="14" t="s">
        <v>526</v>
      </c>
      <c r="I211" s="18" t="s">
        <v>526</v>
      </c>
      <c r="J211" s="14">
        <v>209</v>
      </c>
    </row>
    <row r="212" spans="1:10" s="10" customFormat="1" ht="14.45">
      <c r="A212" s="13">
        <v>210</v>
      </c>
      <c r="B212" s="28"/>
      <c r="C212" s="19" t="s">
        <v>526</v>
      </c>
      <c r="D212" s="14" t="s">
        <v>526</v>
      </c>
      <c r="E212" s="14" t="s">
        <v>526</v>
      </c>
      <c r="F212" s="14" t="s">
        <v>526</v>
      </c>
      <c r="G212" s="18" t="s">
        <v>526</v>
      </c>
      <c r="H212" s="14" t="s">
        <v>526</v>
      </c>
      <c r="I212" s="18" t="s">
        <v>526</v>
      </c>
      <c r="J212" s="14">
        <v>210</v>
      </c>
    </row>
    <row r="213" spans="1:10" s="10" customFormat="1" ht="14.45">
      <c r="A213" s="13">
        <v>211</v>
      </c>
      <c r="B213" s="28"/>
      <c r="C213" s="19" t="s">
        <v>526</v>
      </c>
      <c r="D213" s="14" t="s">
        <v>526</v>
      </c>
      <c r="E213" s="14" t="s">
        <v>526</v>
      </c>
      <c r="F213" s="14" t="s">
        <v>526</v>
      </c>
      <c r="G213" s="18" t="s">
        <v>526</v>
      </c>
      <c r="H213" s="14" t="s">
        <v>526</v>
      </c>
      <c r="I213" s="18" t="s">
        <v>526</v>
      </c>
      <c r="J213" s="14">
        <v>211</v>
      </c>
    </row>
    <row r="214" spans="1:10" s="10" customFormat="1" ht="14.45">
      <c r="A214" s="13">
        <v>212</v>
      </c>
      <c r="B214" s="28"/>
      <c r="C214" s="19" t="s">
        <v>526</v>
      </c>
      <c r="D214" s="14" t="s">
        <v>526</v>
      </c>
      <c r="E214" s="14" t="s">
        <v>526</v>
      </c>
      <c r="F214" s="14" t="s">
        <v>526</v>
      </c>
      <c r="G214" s="18" t="s">
        <v>526</v>
      </c>
      <c r="H214" s="14" t="s">
        <v>526</v>
      </c>
      <c r="I214" s="18" t="s">
        <v>526</v>
      </c>
      <c r="J214" s="14">
        <v>212</v>
      </c>
    </row>
    <row r="215" spans="1:10" s="10" customFormat="1" ht="14.45">
      <c r="A215" s="13">
        <v>213</v>
      </c>
      <c r="B215" s="28"/>
      <c r="C215" s="19" t="s">
        <v>526</v>
      </c>
      <c r="D215" s="14" t="s">
        <v>526</v>
      </c>
      <c r="E215" s="14" t="s">
        <v>526</v>
      </c>
      <c r="F215" s="14" t="s">
        <v>526</v>
      </c>
      <c r="G215" s="18" t="s">
        <v>526</v>
      </c>
      <c r="H215" s="14" t="s">
        <v>526</v>
      </c>
      <c r="I215" s="18" t="s">
        <v>526</v>
      </c>
      <c r="J215" s="14">
        <v>213</v>
      </c>
    </row>
    <row r="216" spans="1:10" s="10" customFormat="1" ht="14.45">
      <c r="A216" s="13">
        <v>214</v>
      </c>
      <c r="B216" s="28"/>
      <c r="C216" s="19" t="s">
        <v>526</v>
      </c>
      <c r="D216" s="14" t="s">
        <v>526</v>
      </c>
      <c r="E216" s="14" t="s">
        <v>526</v>
      </c>
      <c r="F216" s="14" t="s">
        <v>526</v>
      </c>
      <c r="G216" s="18" t="s">
        <v>526</v>
      </c>
      <c r="H216" s="14" t="s">
        <v>526</v>
      </c>
      <c r="I216" s="18" t="s">
        <v>526</v>
      </c>
      <c r="J216" s="14">
        <v>214</v>
      </c>
    </row>
    <row r="217" spans="1:10" s="10" customFormat="1" ht="14.45">
      <c r="A217" s="13">
        <v>215</v>
      </c>
      <c r="B217" s="28"/>
      <c r="C217" s="19" t="s">
        <v>526</v>
      </c>
      <c r="D217" s="14" t="s">
        <v>526</v>
      </c>
      <c r="E217" s="14" t="s">
        <v>526</v>
      </c>
      <c r="F217" s="14" t="s">
        <v>526</v>
      </c>
      <c r="G217" s="18" t="s">
        <v>526</v>
      </c>
      <c r="H217" s="14" t="s">
        <v>526</v>
      </c>
      <c r="I217" s="18" t="s">
        <v>526</v>
      </c>
      <c r="J217" s="14">
        <v>215</v>
      </c>
    </row>
    <row r="218" spans="1:10" s="10" customFormat="1" ht="14.45">
      <c r="A218" s="13">
        <v>216</v>
      </c>
      <c r="B218" s="28"/>
      <c r="C218" s="19" t="s">
        <v>526</v>
      </c>
      <c r="D218" s="14" t="s">
        <v>526</v>
      </c>
      <c r="E218" s="14" t="s">
        <v>526</v>
      </c>
      <c r="F218" s="14" t="s">
        <v>526</v>
      </c>
      <c r="G218" s="18" t="s">
        <v>526</v>
      </c>
      <c r="H218" s="14" t="s">
        <v>526</v>
      </c>
      <c r="I218" s="18" t="s">
        <v>526</v>
      </c>
      <c r="J218" s="14">
        <v>216</v>
      </c>
    </row>
    <row r="219" spans="1:10" s="10" customFormat="1" ht="14.45">
      <c r="A219" s="13">
        <v>217</v>
      </c>
      <c r="B219" s="28"/>
      <c r="C219" s="19" t="s">
        <v>526</v>
      </c>
      <c r="D219" s="14" t="s">
        <v>526</v>
      </c>
      <c r="E219" s="14" t="s">
        <v>526</v>
      </c>
      <c r="F219" s="14" t="s">
        <v>526</v>
      </c>
      <c r="G219" s="18" t="s">
        <v>526</v>
      </c>
      <c r="H219" s="14" t="s">
        <v>526</v>
      </c>
      <c r="I219" s="18" t="s">
        <v>526</v>
      </c>
      <c r="J219" s="14">
        <v>217</v>
      </c>
    </row>
    <row r="220" spans="1:10" s="10" customFormat="1" ht="14.45">
      <c r="A220" s="13">
        <v>218</v>
      </c>
      <c r="B220" s="28"/>
      <c r="C220" s="19" t="s">
        <v>526</v>
      </c>
      <c r="D220" s="14" t="s">
        <v>526</v>
      </c>
      <c r="E220" s="14" t="s">
        <v>526</v>
      </c>
      <c r="F220" s="14" t="s">
        <v>526</v>
      </c>
      <c r="G220" s="18" t="s">
        <v>526</v>
      </c>
      <c r="H220" s="14" t="s">
        <v>526</v>
      </c>
      <c r="I220" s="18" t="s">
        <v>526</v>
      </c>
      <c r="J220" s="14">
        <v>218</v>
      </c>
    </row>
    <row r="221" spans="1:10" s="10" customFormat="1" ht="14.45">
      <c r="A221" s="13">
        <v>219</v>
      </c>
      <c r="B221" s="28"/>
      <c r="C221" s="19" t="s">
        <v>526</v>
      </c>
      <c r="D221" s="14" t="s">
        <v>526</v>
      </c>
      <c r="E221" s="14" t="s">
        <v>526</v>
      </c>
      <c r="F221" s="14" t="s">
        <v>526</v>
      </c>
      <c r="G221" s="18" t="s">
        <v>526</v>
      </c>
      <c r="H221" s="14" t="s">
        <v>526</v>
      </c>
      <c r="I221" s="18" t="s">
        <v>526</v>
      </c>
      <c r="J221" s="14">
        <v>219</v>
      </c>
    </row>
    <row r="222" spans="1:10" s="10" customFormat="1" ht="14.45">
      <c r="A222" s="13">
        <v>220</v>
      </c>
      <c r="B222" s="28"/>
      <c r="C222" s="19" t="s">
        <v>526</v>
      </c>
      <c r="D222" s="14" t="s">
        <v>526</v>
      </c>
      <c r="E222" s="14" t="s">
        <v>526</v>
      </c>
      <c r="F222" s="14" t="s">
        <v>526</v>
      </c>
      <c r="G222" s="18" t="s">
        <v>526</v>
      </c>
      <c r="H222" s="14" t="s">
        <v>526</v>
      </c>
      <c r="I222" s="18" t="s">
        <v>526</v>
      </c>
      <c r="J222" s="14">
        <v>220</v>
      </c>
    </row>
    <row r="223" spans="1:10" s="10" customFormat="1" ht="14.45">
      <c r="A223" s="13">
        <v>221</v>
      </c>
      <c r="B223" s="28"/>
      <c r="C223" s="19" t="s">
        <v>526</v>
      </c>
      <c r="D223" s="14" t="s">
        <v>526</v>
      </c>
      <c r="E223" s="14" t="s">
        <v>526</v>
      </c>
      <c r="F223" s="14" t="s">
        <v>526</v>
      </c>
      <c r="G223" s="18" t="s">
        <v>526</v>
      </c>
      <c r="H223" s="14" t="s">
        <v>526</v>
      </c>
      <c r="I223" s="18" t="s">
        <v>526</v>
      </c>
      <c r="J223" s="14">
        <v>221</v>
      </c>
    </row>
    <row r="224" spans="1:10" s="10" customFormat="1" ht="14.45">
      <c r="A224" s="13">
        <v>222</v>
      </c>
      <c r="B224" s="28"/>
      <c r="C224" s="19" t="s">
        <v>526</v>
      </c>
      <c r="D224" s="14" t="s">
        <v>526</v>
      </c>
      <c r="E224" s="14" t="s">
        <v>526</v>
      </c>
      <c r="F224" s="14" t="s">
        <v>526</v>
      </c>
      <c r="G224" s="18" t="s">
        <v>526</v>
      </c>
      <c r="H224" s="14" t="s">
        <v>526</v>
      </c>
      <c r="I224" s="18" t="s">
        <v>526</v>
      </c>
      <c r="J224" s="14">
        <v>222</v>
      </c>
    </row>
    <row r="225" spans="1:10" s="10" customFormat="1" ht="14.45">
      <c r="A225" s="13">
        <v>223</v>
      </c>
      <c r="B225" s="28"/>
      <c r="C225" s="19" t="s">
        <v>526</v>
      </c>
      <c r="D225" s="14" t="s">
        <v>526</v>
      </c>
      <c r="E225" s="14" t="s">
        <v>526</v>
      </c>
      <c r="F225" s="14" t="s">
        <v>526</v>
      </c>
      <c r="G225" s="18" t="s">
        <v>526</v>
      </c>
      <c r="H225" s="14" t="s">
        <v>526</v>
      </c>
      <c r="I225" s="18" t="s">
        <v>526</v>
      </c>
      <c r="J225" s="14">
        <v>223</v>
      </c>
    </row>
    <row r="226" spans="1:10" s="10" customFormat="1" ht="14.45">
      <c r="A226" s="13">
        <v>224</v>
      </c>
      <c r="B226" s="28"/>
      <c r="C226" s="19" t="s">
        <v>526</v>
      </c>
      <c r="D226" s="14" t="s">
        <v>526</v>
      </c>
      <c r="E226" s="14" t="s">
        <v>526</v>
      </c>
      <c r="F226" s="14" t="s">
        <v>526</v>
      </c>
      <c r="G226" s="18" t="s">
        <v>526</v>
      </c>
      <c r="H226" s="14" t="s">
        <v>526</v>
      </c>
      <c r="I226" s="18" t="s">
        <v>526</v>
      </c>
      <c r="J226" s="14">
        <v>224</v>
      </c>
    </row>
    <row r="227" spans="1:10" s="10" customFormat="1" ht="14.45">
      <c r="A227" s="13">
        <v>225</v>
      </c>
      <c r="B227" s="28"/>
      <c r="C227" s="19" t="s">
        <v>526</v>
      </c>
      <c r="D227" s="14" t="s">
        <v>526</v>
      </c>
      <c r="E227" s="14" t="s">
        <v>526</v>
      </c>
      <c r="F227" s="14" t="s">
        <v>526</v>
      </c>
      <c r="G227" s="18" t="s">
        <v>526</v>
      </c>
      <c r="H227" s="14" t="s">
        <v>526</v>
      </c>
      <c r="I227" s="18" t="s">
        <v>526</v>
      </c>
      <c r="J227" s="14">
        <v>225</v>
      </c>
    </row>
    <row r="228" spans="1:10" s="10" customFormat="1" ht="14.45">
      <c r="A228" s="13">
        <v>226</v>
      </c>
      <c r="B228" s="28"/>
      <c r="C228" s="19" t="s">
        <v>526</v>
      </c>
      <c r="D228" s="14" t="s">
        <v>526</v>
      </c>
      <c r="E228" s="14" t="s">
        <v>526</v>
      </c>
      <c r="F228" s="14" t="s">
        <v>526</v>
      </c>
      <c r="G228" s="18" t="s">
        <v>526</v>
      </c>
      <c r="H228" s="14" t="s">
        <v>526</v>
      </c>
      <c r="I228" s="18" t="s">
        <v>526</v>
      </c>
      <c r="J228" s="14">
        <v>226</v>
      </c>
    </row>
    <row r="229" spans="1:10" s="10" customFormat="1" ht="14.45">
      <c r="A229" s="13">
        <v>227</v>
      </c>
      <c r="B229" s="28"/>
      <c r="C229" s="19" t="s">
        <v>526</v>
      </c>
      <c r="D229" s="14" t="s">
        <v>526</v>
      </c>
      <c r="E229" s="14" t="s">
        <v>526</v>
      </c>
      <c r="F229" s="14" t="s">
        <v>526</v>
      </c>
      <c r="G229" s="18" t="s">
        <v>526</v>
      </c>
      <c r="H229" s="14" t="s">
        <v>526</v>
      </c>
      <c r="I229" s="18" t="s">
        <v>526</v>
      </c>
      <c r="J229" s="14">
        <v>227</v>
      </c>
    </row>
    <row r="230" spans="1:10" s="10" customFormat="1" ht="14.45">
      <c r="A230" s="13">
        <v>228</v>
      </c>
      <c r="B230" s="28"/>
      <c r="C230" s="19" t="s">
        <v>526</v>
      </c>
      <c r="D230" s="14" t="s">
        <v>526</v>
      </c>
      <c r="E230" s="14" t="s">
        <v>526</v>
      </c>
      <c r="F230" s="14" t="s">
        <v>526</v>
      </c>
      <c r="G230" s="18" t="s">
        <v>526</v>
      </c>
      <c r="H230" s="14" t="s">
        <v>526</v>
      </c>
      <c r="I230" s="18" t="s">
        <v>526</v>
      </c>
      <c r="J230" s="14">
        <v>228</v>
      </c>
    </row>
    <row r="231" spans="1:10" s="10" customFormat="1" ht="14.45">
      <c r="A231" s="13">
        <v>229</v>
      </c>
      <c r="B231" s="28"/>
      <c r="C231" s="19" t="s">
        <v>526</v>
      </c>
      <c r="D231" s="14" t="s">
        <v>526</v>
      </c>
      <c r="E231" s="14" t="s">
        <v>526</v>
      </c>
      <c r="F231" s="14" t="s">
        <v>526</v>
      </c>
      <c r="G231" s="18" t="s">
        <v>526</v>
      </c>
      <c r="H231" s="14" t="s">
        <v>526</v>
      </c>
      <c r="I231" s="18" t="s">
        <v>526</v>
      </c>
      <c r="J231" s="14">
        <v>229</v>
      </c>
    </row>
    <row r="232" spans="1:10" s="10" customFormat="1" ht="14.45">
      <c r="A232" s="13">
        <v>230</v>
      </c>
      <c r="B232" s="28"/>
      <c r="C232" s="19" t="s">
        <v>526</v>
      </c>
      <c r="D232" s="14" t="s">
        <v>526</v>
      </c>
      <c r="E232" s="14" t="s">
        <v>526</v>
      </c>
      <c r="F232" s="14" t="s">
        <v>526</v>
      </c>
      <c r="G232" s="18" t="s">
        <v>526</v>
      </c>
      <c r="H232" s="14" t="s">
        <v>526</v>
      </c>
      <c r="I232" s="18" t="s">
        <v>526</v>
      </c>
      <c r="J232" s="14">
        <v>230</v>
      </c>
    </row>
    <row r="233" spans="1:10" s="10" customFormat="1" ht="14.45">
      <c r="A233" s="13">
        <v>231</v>
      </c>
      <c r="B233" s="28"/>
      <c r="C233" s="19" t="s">
        <v>526</v>
      </c>
      <c r="D233" s="14" t="s">
        <v>526</v>
      </c>
      <c r="E233" s="14" t="s">
        <v>526</v>
      </c>
      <c r="F233" s="14" t="s">
        <v>526</v>
      </c>
      <c r="G233" s="18" t="s">
        <v>526</v>
      </c>
      <c r="H233" s="14" t="s">
        <v>526</v>
      </c>
      <c r="I233" s="18" t="s">
        <v>526</v>
      </c>
      <c r="J233" s="14">
        <v>231</v>
      </c>
    </row>
    <row r="234" spans="1:10" s="10" customFormat="1" ht="14.45">
      <c r="A234" s="13">
        <v>232</v>
      </c>
      <c r="B234" s="28"/>
      <c r="C234" s="19" t="s">
        <v>526</v>
      </c>
      <c r="D234" s="14" t="s">
        <v>526</v>
      </c>
      <c r="E234" s="14" t="s">
        <v>526</v>
      </c>
      <c r="F234" s="14" t="s">
        <v>526</v>
      </c>
      <c r="G234" s="18" t="s">
        <v>526</v>
      </c>
      <c r="H234" s="14" t="s">
        <v>526</v>
      </c>
      <c r="I234" s="18" t="s">
        <v>526</v>
      </c>
      <c r="J234" s="14">
        <v>232</v>
      </c>
    </row>
    <row r="235" spans="1:10" s="10" customFormat="1" ht="14.45">
      <c r="A235" s="13">
        <v>233</v>
      </c>
      <c r="B235" s="28"/>
      <c r="C235" s="19" t="s">
        <v>526</v>
      </c>
      <c r="D235" s="14" t="s">
        <v>526</v>
      </c>
      <c r="E235" s="14" t="s">
        <v>526</v>
      </c>
      <c r="F235" s="14" t="s">
        <v>526</v>
      </c>
      <c r="G235" s="18" t="s">
        <v>526</v>
      </c>
      <c r="H235" s="14" t="s">
        <v>526</v>
      </c>
      <c r="I235" s="18" t="s">
        <v>526</v>
      </c>
      <c r="J235" s="14">
        <v>233</v>
      </c>
    </row>
    <row r="236" spans="1:10" s="10" customFormat="1" ht="14.45">
      <c r="A236" s="13">
        <v>234</v>
      </c>
      <c r="B236" s="28"/>
      <c r="C236" s="19" t="s">
        <v>526</v>
      </c>
      <c r="D236" s="14" t="s">
        <v>526</v>
      </c>
      <c r="E236" s="14" t="s">
        <v>526</v>
      </c>
      <c r="F236" s="14" t="s">
        <v>526</v>
      </c>
      <c r="G236" s="18" t="s">
        <v>526</v>
      </c>
      <c r="H236" s="14" t="s">
        <v>526</v>
      </c>
      <c r="I236" s="18" t="s">
        <v>526</v>
      </c>
      <c r="J236" s="14">
        <v>234</v>
      </c>
    </row>
    <row r="237" spans="1:10" s="10" customFormat="1" ht="14.45">
      <c r="A237" s="13">
        <v>235</v>
      </c>
      <c r="B237" s="28"/>
      <c r="C237" s="19" t="s">
        <v>526</v>
      </c>
      <c r="D237" s="14" t="s">
        <v>526</v>
      </c>
      <c r="E237" s="14" t="s">
        <v>526</v>
      </c>
      <c r="F237" s="14" t="s">
        <v>526</v>
      </c>
      <c r="G237" s="18" t="s">
        <v>526</v>
      </c>
      <c r="H237" s="14" t="s">
        <v>526</v>
      </c>
      <c r="I237" s="18" t="s">
        <v>526</v>
      </c>
      <c r="J237" s="14">
        <v>235</v>
      </c>
    </row>
    <row r="238" spans="1:10" s="10" customFormat="1" ht="14.45">
      <c r="A238" s="13">
        <v>236</v>
      </c>
      <c r="B238" s="28"/>
      <c r="C238" s="19" t="s">
        <v>526</v>
      </c>
      <c r="D238" s="14" t="s">
        <v>526</v>
      </c>
      <c r="E238" s="14" t="s">
        <v>526</v>
      </c>
      <c r="F238" s="14" t="s">
        <v>526</v>
      </c>
      <c r="G238" s="18" t="s">
        <v>526</v>
      </c>
      <c r="H238" s="14" t="s">
        <v>526</v>
      </c>
      <c r="I238" s="18" t="s">
        <v>526</v>
      </c>
      <c r="J238" s="14">
        <v>236</v>
      </c>
    </row>
    <row r="239" spans="1:10" s="10" customFormat="1" ht="14.45">
      <c r="A239" s="13">
        <v>237</v>
      </c>
      <c r="B239" s="28"/>
      <c r="C239" s="19" t="s">
        <v>526</v>
      </c>
      <c r="D239" s="14" t="s">
        <v>526</v>
      </c>
      <c r="E239" s="14" t="s">
        <v>526</v>
      </c>
      <c r="F239" s="14" t="s">
        <v>526</v>
      </c>
      <c r="G239" s="18" t="s">
        <v>526</v>
      </c>
      <c r="H239" s="14" t="s">
        <v>526</v>
      </c>
      <c r="I239" s="18" t="s">
        <v>526</v>
      </c>
      <c r="J239" s="14">
        <v>237</v>
      </c>
    </row>
    <row r="240" spans="1:10" s="10" customFormat="1" ht="14.45">
      <c r="A240" s="13">
        <v>238</v>
      </c>
      <c r="B240" s="28"/>
      <c r="C240" s="19" t="s">
        <v>526</v>
      </c>
      <c r="D240" s="14" t="s">
        <v>526</v>
      </c>
      <c r="E240" s="14" t="s">
        <v>526</v>
      </c>
      <c r="F240" s="14" t="s">
        <v>526</v>
      </c>
      <c r="G240" s="18" t="s">
        <v>526</v>
      </c>
      <c r="H240" s="14" t="s">
        <v>526</v>
      </c>
      <c r="I240" s="18" t="s">
        <v>526</v>
      </c>
      <c r="J240" s="14">
        <v>238</v>
      </c>
    </row>
    <row r="241" spans="1:10" s="10" customFormat="1" ht="14.45">
      <c r="A241" s="13">
        <v>239</v>
      </c>
      <c r="B241" s="28"/>
      <c r="C241" s="19" t="s">
        <v>526</v>
      </c>
      <c r="D241" s="14" t="s">
        <v>526</v>
      </c>
      <c r="E241" s="14" t="s">
        <v>526</v>
      </c>
      <c r="F241" s="14" t="s">
        <v>526</v>
      </c>
      <c r="G241" s="18" t="s">
        <v>526</v>
      </c>
      <c r="H241" s="14" t="s">
        <v>526</v>
      </c>
      <c r="I241" s="18" t="s">
        <v>526</v>
      </c>
      <c r="J241" s="14">
        <v>239</v>
      </c>
    </row>
    <row r="242" spans="1:10" s="10" customFormat="1" ht="14.45">
      <c r="A242" s="13">
        <v>240</v>
      </c>
      <c r="B242" s="28"/>
      <c r="C242" s="19" t="s">
        <v>526</v>
      </c>
      <c r="D242" s="14" t="s">
        <v>526</v>
      </c>
      <c r="E242" s="14" t="s">
        <v>526</v>
      </c>
      <c r="F242" s="14" t="s">
        <v>526</v>
      </c>
      <c r="G242" s="18" t="s">
        <v>526</v>
      </c>
      <c r="H242" s="14" t="s">
        <v>526</v>
      </c>
      <c r="I242" s="18" t="s">
        <v>526</v>
      </c>
      <c r="J242" s="14">
        <v>240</v>
      </c>
    </row>
    <row r="243" spans="1:10" s="10" customFormat="1" ht="14.45">
      <c r="A243" s="13">
        <v>241</v>
      </c>
      <c r="B243" s="28"/>
      <c r="C243" s="19" t="s">
        <v>526</v>
      </c>
      <c r="D243" s="14" t="s">
        <v>526</v>
      </c>
      <c r="E243" s="14" t="s">
        <v>526</v>
      </c>
      <c r="F243" s="14" t="s">
        <v>526</v>
      </c>
      <c r="G243" s="18" t="s">
        <v>526</v>
      </c>
      <c r="H243" s="14" t="s">
        <v>526</v>
      </c>
      <c r="I243" s="18" t="s">
        <v>526</v>
      </c>
      <c r="J243" s="14">
        <v>241</v>
      </c>
    </row>
    <row r="244" spans="1:10" s="10" customFormat="1" ht="14.45">
      <c r="A244" s="13">
        <v>242</v>
      </c>
      <c r="B244" s="28"/>
      <c r="C244" s="19" t="s">
        <v>526</v>
      </c>
      <c r="D244" s="14" t="s">
        <v>526</v>
      </c>
      <c r="E244" s="14" t="s">
        <v>526</v>
      </c>
      <c r="F244" s="14" t="s">
        <v>526</v>
      </c>
      <c r="G244" s="18" t="s">
        <v>526</v>
      </c>
      <c r="H244" s="14" t="s">
        <v>526</v>
      </c>
      <c r="I244" s="18" t="s">
        <v>526</v>
      </c>
      <c r="J244" s="14">
        <v>242</v>
      </c>
    </row>
    <row r="245" spans="1:10" s="10" customFormat="1" ht="14.45">
      <c r="A245" s="13">
        <v>243</v>
      </c>
      <c r="B245" s="28"/>
      <c r="C245" s="19" t="s">
        <v>526</v>
      </c>
      <c r="D245" s="14" t="s">
        <v>526</v>
      </c>
      <c r="E245" s="14" t="s">
        <v>526</v>
      </c>
      <c r="F245" s="14" t="s">
        <v>526</v>
      </c>
      <c r="G245" s="18" t="s">
        <v>526</v>
      </c>
      <c r="H245" s="14" t="s">
        <v>526</v>
      </c>
      <c r="I245" s="18" t="s">
        <v>526</v>
      </c>
      <c r="J245" s="14">
        <v>243</v>
      </c>
    </row>
    <row r="246" spans="1:10" s="10" customFormat="1" ht="14.45">
      <c r="A246" s="13">
        <v>244</v>
      </c>
      <c r="B246" s="28"/>
      <c r="C246" s="19" t="s">
        <v>526</v>
      </c>
      <c r="D246" s="14" t="s">
        <v>526</v>
      </c>
      <c r="E246" s="14" t="s">
        <v>526</v>
      </c>
      <c r="F246" s="14" t="s">
        <v>526</v>
      </c>
      <c r="G246" s="18" t="s">
        <v>526</v>
      </c>
      <c r="H246" s="14" t="s">
        <v>526</v>
      </c>
      <c r="I246" s="18" t="s">
        <v>526</v>
      </c>
      <c r="J246" s="14">
        <v>244</v>
      </c>
    </row>
    <row r="247" spans="1:10" s="10" customFormat="1" ht="14.45">
      <c r="A247" s="13">
        <v>245</v>
      </c>
      <c r="B247" s="28"/>
      <c r="C247" s="19" t="s">
        <v>526</v>
      </c>
      <c r="D247" s="14" t="s">
        <v>526</v>
      </c>
      <c r="E247" s="14" t="s">
        <v>526</v>
      </c>
      <c r="F247" s="14" t="s">
        <v>526</v>
      </c>
      <c r="G247" s="18" t="s">
        <v>526</v>
      </c>
      <c r="H247" s="14" t="s">
        <v>526</v>
      </c>
      <c r="I247" s="18" t="s">
        <v>526</v>
      </c>
      <c r="J247" s="14">
        <v>245</v>
      </c>
    </row>
    <row r="248" spans="1:10" s="10" customFormat="1" ht="14.45">
      <c r="A248" s="13">
        <v>246</v>
      </c>
      <c r="B248" s="28"/>
      <c r="C248" s="19" t="s">
        <v>526</v>
      </c>
      <c r="D248" s="14" t="s">
        <v>526</v>
      </c>
      <c r="E248" s="14" t="s">
        <v>526</v>
      </c>
      <c r="F248" s="14" t="s">
        <v>526</v>
      </c>
      <c r="G248" s="18" t="s">
        <v>526</v>
      </c>
      <c r="H248" s="14" t="s">
        <v>526</v>
      </c>
      <c r="I248" s="18" t="s">
        <v>526</v>
      </c>
      <c r="J248" s="14">
        <v>246</v>
      </c>
    </row>
    <row r="249" spans="1:10" s="10" customFormat="1" ht="14.45">
      <c r="A249" s="13">
        <v>247</v>
      </c>
      <c r="B249" s="28"/>
      <c r="C249" s="19" t="s">
        <v>526</v>
      </c>
      <c r="D249" s="14" t="s">
        <v>526</v>
      </c>
      <c r="E249" s="14" t="s">
        <v>526</v>
      </c>
      <c r="F249" s="14" t="s">
        <v>526</v>
      </c>
      <c r="G249" s="18" t="s">
        <v>526</v>
      </c>
      <c r="H249" s="14" t="s">
        <v>526</v>
      </c>
      <c r="I249" s="18" t="s">
        <v>526</v>
      </c>
      <c r="J249" s="14">
        <v>247</v>
      </c>
    </row>
    <row r="250" spans="1:10" s="10" customFormat="1" ht="14.45">
      <c r="A250" s="13">
        <v>248</v>
      </c>
      <c r="B250" s="28"/>
      <c r="C250" s="19" t="s">
        <v>526</v>
      </c>
      <c r="D250" s="14" t="s">
        <v>526</v>
      </c>
      <c r="E250" s="14" t="s">
        <v>526</v>
      </c>
      <c r="F250" s="14" t="s">
        <v>526</v>
      </c>
      <c r="G250" s="18" t="s">
        <v>526</v>
      </c>
      <c r="H250" s="14" t="s">
        <v>526</v>
      </c>
      <c r="I250" s="18" t="s">
        <v>526</v>
      </c>
      <c r="J250" s="14">
        <v>248</v>
      </c>
    </row>
    <row r="251" spans="1:10" s="10" customFormat="1" ht="14.45">
      <c r="A251" s="13">
        <v>249</v>
      </c>
      <c r="B251" s="28"/>
      <c r="C251" s="19" t="s">
        <v>526</v>
      </c>
      <c r="D251" s="14" t="s">
        <v>526</v>
      </c>
      <c r="E251" s="14" t="s">
        <v>526</v>
      </c>
      <c r="F251" s="14" t="s">
        <v>526</v>
      </c>
      <c r="G251" s="18" t="s">
        <v>526</v>
      </c>
      <c r="H251" s="14" t="s">
        <v>526</v>
      </c>
      <c r="I251" s="18" t="s">
        <v>526</v>
      </c>
      <c r="J251" s="14">
        <v>249</v>
      </c>
    </row>
    <row r="252" spans="1:10" s="10" customFormat="1" ht="14.45">
      <c r="A252" s="13">
        <v>250</v>
      </c>
      <c r="B252" s="28"/>
      <c r="C252" s="19" t="s">
        <v>526</v>
      </c>
      <c r="D252" s="14" t="s">
        <v>526</v>
      </c>
      <c r="E252" s="14" t="s">
        <v>526</v>
      </c>
      <c r="F252" s="14" t="s">
        <v>526</v>
      </c>
      <c r="G252" s="18" t="s">
        <v>526</v>
      </c>
      <c r="H252" s="14" t="s">
        <v>526</v>
      </c>
      <c r="I252" s="18" t="s">
        <v>526</v>
      </c>
      <c r="J252" s="14">
        <v>250</v>
      </c>
    </row>
    <row r="253" spans="1:10" s="10" customFormat="1" ht="14.45">
      <c r="A253" s="13">
        <v>251</v>
      </c>
      <c r="B253" s="28"/>
      <c r="C253" s="19" t="s">
        <v>526</v>
      </c>
      <c r="D253" s="14" t="s">
        <v>526</v>
      </c>
      <c r="E253" s="14" t="s">
        <v>526</v>
      </c>
      <c r="F253" s="14" t="s">
        <v>526</v>
      </c>
      <c r="G253" s="18" t="s">
        <v>526</v>
      </c>
      <c r="H253" s="14" t="s">
        <v>526</v>
      </c>
      <c r="I253" s="18" t="s">
        <v>526</v>
      </c>
      <c r="J253" s="14">
        <v>251</v>
      </c>
    </row>
    <row r="254" spans="1:10" s="10" customFormat="1" ht="14.45">
      <c r="A254" s="13">
        <v>252</v>
      </c>
      <c r="B254" s="28"/>
      <c r="C254" s="19" t="s">
        <v>526</v>
      </c>
      <c r="D254" s="14" t="s">
        <v>526</v>
      </c>
      <c r="E254" s="14" t="s">
        <v>526</v>
      </c>
      <c r="F254" s="14" t="s">
        <v>526</v>
      </c>
      <c r="G254" s="18" t="s">
        <v>526</v>
      </c>
      <c r="H254" s="14" t="s">
        <v>526</v>
      </c>
      <c r="I254" s="18" t="s">
        <v>526</v>
      </c>
      <c r="J254" s="14">
        <v>252</v>
      </c>
    </row>
    <row r="255" spans="1:10" s="10" customFormat="1" ht="14.45">
      <c r="A255" s="13">
        <v>253</v>
      </c>
      <c r="B255" s="28"/>
      <c r="C255" s="19" t="s">
        <v>526</v>
      </c>
      <c r="D255" s="14" t="s">
        <v>526</v>
      </c>
      <c r="E255" s="14" t="s">
        <v>526</v>
      </c>
      <c r="F255" s="14" t="s">
        <v>526</v>
      </c>
      <c r="G255" s="18" t="s">
        <v>526</v>
      </c>
      <c r="H255" s="14" t="s">
        <v>526</v>
      </c>
      <c r="I255" s="18" t="s">
        <v>526</v>
      </c>
      <c r="J255" s="14">
        <v>253</v>
      </c>
    </row>
    <row r="256" spans="1:10" s="10" customFormat="1" ht="14.45">
      <c r="A256" s="13">
        <v>254</v>
      </c>
      <c r="B256" s="28"/>
      <c r="C256" s="19" t="s">
        <v>526</v>
      </c>
      <c r="D256" s="14" t="s">
        <v>526</v>
      </c>
      <c r="E256" s="14" t="s">
        <v>526</v>
      </c>
      <c r="F256" s="14" t="s">
        <v>526</v>
      </c>
      <c r="G256" s="18" t="s">
        <v>526</v>
      </c>
      <c r="H256" s="14" t="s">
        <v>526</v>
      </c>
      <c r="I256" s="18" t="s">
        <v>526</v>
      </c>
      <c r="J256" s="14">
        <v>254</v>
      </c>
    </row>
    <row r="257" spans="1:10" s="10" customFormat="1" ht="14.45">
      <c r="A257" s="13">
        <v>255</v>
      </c>
      <c r="B257" s="28"/>
      <c r="C257" s="19" t="s">
        <v>526</v>
      </c>
      <c r="D257" s="14" t="s">
        <v>526</v>
      </c>
      <c r="E257" s="14" t="s">
        <v>526</v>
      </c>
      <c r="F257" s="14" t="s">
        <v>526</v>
      </c>
      <c r="G257" s="18" t="s">
        <v>526</v>
      </c>
      <c r="H257" s="14" t="s">
        <v>526</v>
      </c>
      <c r="I257" s="18" t="s">
        <v>526</v>
      </c>
      <c r="J257" s="14">
        <v>255</v>
      </c>
    </row>
    <row r="258" spans="1:10" s="10" customFormat="1" ht="14.45">
      <c r="A258" s="13">
        <v>256</v>
      </c>
      <c r="B258" s="28"/>
      <c r="C258" s="19" t="s">
        <v>526</v>
      </c>
      <c r="D258" s="14" t="s">
        <v>526</v>
      </c>
      <c r="E258" s="14" t="s">
        <v>526</v>
      </c>
      <c r="F258" s="14" t="s">
        <v>526</v>
      </c>
      <c r="G258" s="18" t="s">
        <v>526</v>
      </c>
      <c r="H258" s="14" t="s">
        <v>526</v>
      </c>
      <c r="I258" s="18" t="s">
        <v>526</v>
      </c>
      <c r="J258" s="14">
        <v>256</v>
      </c>
    </row>
    <row r="259" spans="1:10" s="10" customFormat="1" ht="14.45">
      <c r="A259" s="13">
        <v>257</v>
      </c>
      <c r="B259" s="28"/>
      <c r="C259" s="19" t="s">
        <v>526</v>
      </c>
      <c r="D259" s="14" t="s">
        <v>526</v>
      </c>
      <c r="E259" s="14" t="s">
        <v>526</v>
      </c>
      <c r="F259" s="14" t="s">
        <v>526</v>
      </c>
      <c r="G259" s="18" t="s">
        <v>526</v>
      </c>
      <c r="H259" s="14" t="s">
        <v>526</v>
      </c>
      <c r="I259" s="18" t="s">
        <v>526</v>
      </c>
      <c r="J259" s="14">
        <v>257</v>
      </c>
    </row>
    <row r="260" spans="1:10" s="10" customFormat="1" ht="14.45">
      <c r="A260" s="13">
        <v>258</v>
      </c>
      <c r="B260" s="28"/>
      <c r="C260" s="19" t="s">
        <v>526</v>
      </c>
      <c r="D260" s="14" t="s">
        <v>526</v>
      </c>
      <c r="E260" s="14" t="s">
        <v>526</v>
      </c>
      <c r="F260" s="14" t="s">
        <v>526</v>
      </c>
      <c r="G260" s="18" t="s">
        <v>526</v>
      </c>
      <c r="H260" s="14" t="s">
        <v>526</v>
      </c>
      <c r="I260" s="18" t="s">
        <v>526</v>
      </c>
      <c r="J260" s="14">
        <v>258</v>
      </c>
    </row>
    <row r="261" spans="1:10" s="10" customFormat="1" ht="14.45">
      <c r="A261" s="13">
        <v>259</v>
      </c>
      <c r="B261" s="28"/>
      <c r="C261" s="19" t="s">
        <v>526</v>
      </c>
      <c r="D261" s="14" t="s">
        <v>526</v>
      </c>
      <c r="E261" s="14" t="s">
        <v>526</v>
      </c>
      <c r="F261" s="14" t="s">
        <v>526</v>
      </c>
      <c r="G261" s="18" t="s">
        <v>526</v>
      </c>
      <c r="H261" s="14" t="s">
        <v>526</v>
      </c>
      <c r="I261" s="18" t="s">
        <v>526</v>
      </c>
      <c r="J261" s="14">
        <v>259</v>
      </c>
    </row>
    <row r="262" spans="1:10" s="10" customFormat="1" ht="14.45">
      <c r="A262" s="13">
        <v>260</v>
      </c>
      <c r="B262" s="28"/>
      <c r="C262" s="19" t="s">
        <v>526</v>
      </c>
      <c r="D262" s="14" t="s">
        <v>526</v>
      </c>
      <c r="E262" s="14" t="s">
        <v>526</v>
      </c>
      <c r="F262" s="14" t="s">
        <v>526</v>
      </c>
      <c r="G262" s="18" t="s">
        <v>526</v>
      </c>
      <c r="H262" s="14" t="s">
        <v>526</v>
      </c>
      <c r="I262" s="18" t="s">
        <v>526</v>
      </c>
      <c r="J262" s="14">
        <v>260</v>
      </c>
    </row>
    <row r="263" spans="1:10" s="10" customFormat="1" ht="14.45">
      <c r="A263" s="13">
        <v>261</v>
      </c>
      <c r="B263" s="28"/>
      <c r="C263" s="19" t="s">
        <v>526</v>
      </c>
      <c r="D263" s="14" t="s">
        <v>526</v>
      </c>
      <c r="E263" s="14" t="s">
        <v>526</v>
      </c>
      <c r="F263" s="14" t="s">
        <v>526</v>
      </c>
      <c r="G263" s="18" t="s">
        <v>526</v>
      </c>
      <c r="H263" s="14" t="s">
        <v>526</v>
      </c>
      <c r="I263" s="18" t="s">
        <v>526</v>
      </c>
      <c r="J263" s="14">
        <v>261</v>
      </c>
    </row>
    <row r="264" spans="1:10" s="10" customFormat="1" ht="14.45">
      <c r="A264" s="13">
        <v>262</v>
      </c>
      <c r="B264" s="28"/>
      <c r="C264" s="19" t="s">
        <v>526</v>
      </c>
      <c r="D264" s="14" t="s">
        <v>526</v>
      </c>
      <c r="E264" s="14" t="s">
        <v>526</v>
      </c>
      <c r="F264" s="14" t="s">
        <v>526</v>
      </c>
      <c r="G264" s="18" t="s">
        <v>526</v>
      </c>
      <c r="H264" s="14" t="s">
        <v>526</v>
      </c>
      <c r="I264" s="18" t="s">
        <v>526</v>
      </c>
      <c r="J264" s="14">
        <v>262</v>
      </c>
    </row>
    <row r="265" spans="1:10" s="10" customFormat="1" ht="14.45">
      <c r="A265" s="13">
        <v>263</v>
      </c>
      <c r="B265" s="28"/>
      <c r="C265" s="19" t="s">
        <v>526</v>
      </c>
      <c r="D265" s="14" t="s">
        <v>526</v>
      </c>
      <c r="E265" s="14" t="s">
        <v>526</v>
      </c>
      <c r="F265" s="14" t="s">
        <v>526</v>
      </c>
      <c r="G265" s="18" t="s">
        <v>526</v>
      </c>
      <c r="H265" s="14" t="s">
        <v>526</v>
      </c>
      <c r="I265" s="18" t="s">
        <v>526</v>
      </c>
      <c r="J265" s="14">
        <v>263</v>
      </c>
    </row>
    <row r="266" spans="1:10" s="10" customFormat="1" ht="14.45">
      <c r="A266" s="13">
        <v>264</v>
      </c>
      <c r="B266" s="28"/>
      <c r="C266" s="19" t="s">
        <v>526</v>
      </c>
      <c r="D266" s="14" t="s">
        <v>526</v>
      </c>
      <c r="E266" s="14" t="s">
        <v>526</v>
      </c>
      <c r="F266" s="14" t="s">
        <v>526</v>
      </c>
      <c r="G266" s="18" t="s">
        <v>526</v>
      </c>
      <c r="H266" s="14" t="s">
        <v>526</v>
      </c>
      <c r="I266" s="18" t="s">
        <v>526</v>
      </c>
      <c r="J266" s="14">
        <v>264</v>
      </c>
    </row>
    <row r="267" spans="1:10" s="10" customFormat="1" ht="14.45">
      <c r="A267" s="13">
        <v>265</v>
      </c>
      <c r="B267" s="28"/>
      <c r="C267" s="19" t="s">
        <v>526</v>
      </c>
      <c r="D267" s="14" t="s">
        <v>526</v>
      </c>
      <c r="E267" s="14" t="s">
        <v>526</v>
      </c>
      <c r="F267" s="14" t="s">
        <v>526</v>
      </c>
      <c r="G267" s="18" t="s">
        <v>526</v>
      </c>
      <c r="H267" s="14" t="s">
        <v>526</v>
      </c>
      <c r="I267" s="18" t="s">
        <v>526</v>
      </c>
      <c r="J267" s="14">
        <v>265</v>
      </c>
    </row>
    <row r="268" spans="1:10" s="10" customFormat="1" ht="14.45">
      <c r="A268" s="13">
        <v>266</v>
      </c>
      <c r="B268" s="28"/>
      <c r="C268" s="19" t="s">
        <v>526</v>
      </c>
      <c r="D268" s="14" t="s">
        <v>526</v>
      </c>
      <c r="E268" s="14" t="s">
        <v>526</v>
      </c>
      <c r="F268" s="14" t="s">
        <v>526</v>
      </c>
      <c r="G268" s="18" t="s">
        <v>526</v>
      </c>
      <c r="H268" s="14" t="s">
        <v>526</v>
      </c>
      <c r="I268" s="18" t="s">
        <v>526</v>
      </c>
      <c r="J268" s="14">
        <v>266</v>
      </c>
    </row>
    <row r="269" spans="1:10" s="10" customFormat="1" ht="14.45">
      <c r="A269" s="13">
        <v>267</v>
      </c>
      <c r="B269" s="28"/>
      <c r="C269" s="19" t="s">
        <v>526</v>
      </c>
      <c r="D269" s="14" t="s">
        <v>526</v>
      </c>
      <c r="E269" s="14" t="s">
        <v>526</v>
      </c>
      <c r="F269" s="14" t="s">
        <v>526</v>
      </c>
      <c r="G269" s="18" t="s">
        <v>526</v>
      </c>
      <c r="H269" s="14" t="s">
        <v>526</v>
      </c>
      <c r="I269" s="18" t="s">
        <v>526</v>
      </c>
      <c r="J269" s="14">
        <v>267</v>
      </c>
    </row>
    <row r="270" spans="1:10" s="10" customFormat="1" ht="14.45">
      <c r="A270" s="13">
        <v>268</v>
      </c>
      <c r="B270" s="28"/>
      <c r="C270" s="19" t="s">
        <v>526</v>
      </c>
      <c r="D270" s="14" t="s">
        <v>526</v>
      </c>
      <c r="E270" s="14" t="s">
        <v>526</v>
      </c>
      <c r="F270" s="14" t="s">
        <v>526</v>
      </c>
      <c r="G270" s="18" t="s">
        <v>526</v>
      </c>
      <c r="H270" s="14" t="s">
        <v>526</v>
      </c>
      <c r="I270" s="18" t="s">
        <v>526</v>
      </c>
      <c r="J270" s="14">
        <v>268</v>
      </c>
    </row>
    <row r="271" spans="1:10" s="10" customFormat="1" ht="14.45">
      <c r="A271" s="13">
        <v>269</v>
      </c>
      <c r="B271" s="28"/>
      <c r="C271" s="19" t="s">
        <v>526</v>
      </c>
      <c r="D271" s="14" t="s">
        <v>526</v>
      </c>
      <c r="E271" s="14" t="s">
        <v>526</v>
      </c>
      <c r="F271" s="14" t="s">
        <v>526</v>
      </c>
      <c r="G271" s="18" t="s">
        <v>526</v>
      </c>
      <c r="H271" s="14" t="s">
        <v>526</v>
      </c>
      <c r="I271" s="18" t="s">
        <v>526</v>
      </c>
      <c r="J271" s="14">
        <v>269</v>
      </c>
    </row>
    <row r="272" spans="1:10" s="10" customFormat="1" ht="14.45">
      <c r="A272" s="13">
        <v>270</v>
      </c>
      <c r="B272" s="28"/>
      <c r="C272" s="19" t="s">
        <v>526</v>
      </c>
      <c r="D272" s="14" t="s">
        <v>526</v>
      </c>
      <c r="E272" s="14" t="s">
        <v>526</v>
      </c>
      <c r="F272" s="14" t="s">
        <v>526</v>
      </c>
      <c r="G272" s="18" t="s">
        <v>526</v>
      </c>
      <c r="H272" s="14" t="s">
        <v>526</v>
      </c>
      <c r="I272" s="18" t="s">
        <v>526</v>
      </c>
      <c r="J272" s="14">
        <v>270</v>
      </c>
    </row>
    <row r="273" spans="1:10" s="10" customFormat="1" ht="14.45">
      <c r="A273" s="13">
        <v>271</v>
      </c>
      <c r="B273" s="28"/>
      <c r="C273" s="19" t="s">
        <v>526</v>
      </c>
      <c r="D273" s="14" t="s">
        <v>526</v>
      </c>
      <c r="E273" s="14" t="s">
        <v>526</v>
      </c>
      <c r="F273" s="14" t="s">
        <v>526</v>
      </c>
      <c r="G273" s="18" t="s">
        <v>526</v>
      </c>
      <c r="H273" s="14" t="s">
        <v>526</v>
      </c>
      <c r="I273" s="18" t="s">
        <v>526</v>
      </c>
      <c r="J273" s="14">
        <v>271</v>
      </c>
    </row>
    <row r="274" spans="1:10" s="10" customFormat="1" ht="14.45">
      <c r="A274" s="13">
        <v>272</v>
      </c>
      <c r="B274" s="28"/>
      <c r="C274" s="19" t="s">
        <v>526</v>
      </c>
      <c r="D274" s="14" t="s">
        <v>526</v>
      </c>
      <c r="E274" s="14" t="s">
        <v>526</v>
      </c>
      <c r="F274" s="14" t="s">
        <v>526</v>
      </c>
      <c r="G274" s="18" t="s">
        <v>526</v>
      </c>
      <c r="H274" s="14" t="s">
        <v>526</v>
      </c>
      <c r="I274" s="18" t="s">
        <v>526</v>
      </c>
      <c r="J274" s="14">
        <v>272</v>
      </c>
    </row>
    <row r="275" spans="1:10" s="10" customFormat="1" ht="14.45">
      <c r="A275" s="13">
        <v>273</v>
      </c>
      <c r="B275" s="28"/>
      <c r="C275" s="19" t="s">
        <v>526</v>
      </c>
      <c r="D275" s="14" t="s">
        <v>526</v>
      </c>
      <c r="E275" s="14" t="s">
        <v>526</v>
      </c>
      <c r="F275" s="14" t="s">
        <v>526</v>
      </c>
      <c r="G275" s="18" t="s">
        <v>526</v>
      </c>
      <c r="H275" s="14" t="s">
        <v>526</v>
      </c>
      <c r="I275" s="18" t="s">
        <v>526</v>
      </c>
      <c r="J275" s="14">
        <v>273</v>
      </c>
    </row>
    <row r="276" spans="1:10" s="10" customFormat="1" ht="14.45">
      <c r="A276" s="13">
        <v>274</v>
      </c>
      <c r="B276" s="28"/>
      <c r="C276" s="19" t="s">
        <v>526</v>
      </c>
      <c r="D276" s="14" t="s">
        <v>526</v>
      </c>
      <c r="E276" s="14" t="s">
        <v>526</v>
      </c>
      <c r="F276" s="14" t="s">
        <v>526</v>
      </c>
      <c r="G276" s="18" t="s">
        <v>526</v>
      </c>
      <c r="H276" s="14" t="s">
        <v>526</v>
      </c>
      <c r="I276" s="18" t="s">
        <v>526</v>
      </c>
      <c r="J276" s="14">
        <v>274</v>
      </c>
    </row>
    <row r="277" spans="1:10" s="10" customFormat="1" ht="14.45">
      <c r="A277" s="13">
        <v>275</v>
      </c>
      <c r="B277" s="28"/>
      <c r="C277" s="19" t="s">
        <v>526</v>
      </c>
      <c r="D277" s="14" t="s">
        <v>526</v>
      </c>
      <c r="E277" s="14" t="s">
        <v>526</v>
      </c>
      <c r="F277" s="14" t="s">
        <v>526</v>
      </c>
      <c r="G277" s="18" t="s">
        <v>526</v>
      </c>
      <c r="H277" s="14" t="s">
        <v>526</v>
      </c>
      <c r="I277" s="18" t="s">
        <v>526</v>
      </c>
      <c r="J277" s="14">
        <v>275</v>
      </c>
    </row>
    <row r="278" spans="1:10" s="10" customFormat="1" ht="14.45">
      <c r="A278" s="13">
        <v>276</v>
      </c>
      <c r="B278" s="28"/>
      <c r="C278" s="19" t="s">
        <v>526</v>
      </c>
      <c r="D278" s="14" t="s">
        <v>526</v>
      </c>
      <c r="E278" s="14" t="s">
        <v>526</v>
      </c>
      <c r="F278" s="14" t="s">
        <v>526</v>
      </c>
      <c r="G278" s="18" t="s">
        <v>526</v>
      </c>
      <c r="H278" s="14" t="s">
        <v>526</v>
      </c>
      <c r="I278" s="18" t="s">
        <v>526</v>
      </c>
      <c r="J278" s="14">
        <v>276</v>
      </c>
    </row>
    <row r="279" spans="1:10" s="10" customFormat="1" ht="14.45">
      <c r="A279" s="13">
        <v>277</v>
      </c>
      <c r="B279" s="28"/>
      <c r="C279" s="19" t="s">
        <v>526</v>
      </c>
      <c r="D279" s="14" t="s">
        <v>526</v>
      </c>
      <c r="E279" s="14" t="s">
        <v>526</v>
      </c>
      <c r="F279" s="14" t="s">
        <v>526</v>
      </c>
      <c r="G279" s="18" t="s">
        <v>526</v>
      </c>
      <c r="H279" s="14" t="s">
        <v>526</v>
      </c>
      <c r="I279" s="18" t="s">
        <v>526</v>
      </c>
      <c r="J279" s="14">
        <v>277</v>
      </c>
    </row>
    <row r="280" spans="1:10" s="10" customFormat="1" ht="14.45">
      <c r="A280" s="13">
        <v>278</v>
      </c>
      <c r="B280" s="28"/>
      <c r="C280" s="19" t="s">
        <v>526</v>
      </c>
      <c r="D280" s="14" t="s">
        <v>526</v>
      </c>
      <c r="E280" s="14" t="s">
        <v>526</v>
      </c>
      <c r="F280" s="14" t="s">
        <v>526</v>
      </c>
      <c r="G280" s="18" t="s">
        <v>526</v>
      </c>
      <c r="H280" s="14" t="s">
        <v>526</v>
      </c>
      <c r="I280" s="18" t="s">
        <v>526</v>
      </c>
      <c r="J280" s="14">
        <v>278</v>
      </c>
    </row>
    <row r="281" spans="1:10" s="10" customFormat="1" ht="14.45">
      <c r="A281" s="13">
        <v>279</v>
      </c>
      <c r="B281" s="28"/>
      <c r="C281" s="19" t="s">
        <v>526</v>
      </c>
      <c r="D281" s="14" t="s">
        <v>526</v>
      </c>
      <c r="E281" s="14" t="s">
        <v>526</v>
      </c>
      <c r="F281" s="14" t="s">
        <v>526</v>
      </c>
      <c r="G281" s="18" t="s">
        <v>526</v>
      </c>
      <c r="H281" s="14" t="s">
        <v>526</v>
      </c>
      <c r="I281" s="18" t="s">
        <v>526</v>
      </c>
      <c r="J281" s="14">
        <v>279</v>
      </c>
    </row>
    <row r="282" spans="1:10" s="10" customFormat="1" ht="14.45">
      <c r="A282" s="13">
        <v>280</v>
      </c>
      <c r="B282" s="28"/>
      <c r="C282" s="19" t="s">
        <v>526</v>
      </c>
      <c r="D282" s="14" t="s">
        <v>526</v>
      </c>
      <c r="E282" s="14" t="s">
        <v>526</v>
      </c>
      <c r="F282" s="14" t="s">
        <v>526</v>
      </c>
      <c r="G282" s="18" t="s">
        <v>526</v>
      </c>
      <c r="H282" s="14" t="s">
        <v>526</v>
      </c>
      <c r="I282" s="18" t="s">
        <v>526</v>
      </c>
      <c r="J282" s="14">
        <v>280</v>
      </c>
    </row>
    <row r="283" spans="1:10" s="10" customFormat="1" ht="14.45">
      <c r="A283" s="13">
        <v>281</v>
      </c>
      <c r="B283" s="28"/>
      <c r="C283" s="19" t="s">
        <v>526</v>
      </c>
      <c r="D283" s="14" t="s">
        <v>526</v>
      </c>
      <c r="E283" s="14" t="s">
        <v>526</v>
      </c>
      <c r="F283" s="14" t="s">
        <v>526</v>
      </c>
      <c r="G283" s="18" t="s">
        <v>526</v>
      </c>
      <c r="H283" s="14" t="s">
        <v>526</v>
      </c>
      <c r="I283" s="18" t="s">
        <v>526</v>
      </c>
      <c r="J283" s="14">
        <v>281</v>
      </c>
    </row>
    <row r="284" spans="1:10" s="10" customFormat="1" ht="14.45">
      <c r="A284" s="13">
        <v>282</v>
      </c>
      <c r="B284" s="28"/>
      <c r="C284" s="19" t="s">
        <v>526</v>
      </c>
      <c r="D284" s="14" t="s">
        <v>526</v>
      </c>
      <c r="E284" s="14" t="s">
        <v>526</v>
      </c>
      <c r="F284" s="14" t="s">
        <v>526</v>
      </c>
      <c r="G284" s="18" t="s">
        <v>526</v>
      </c>
      <c r="H284" s="14" t="s">
        <v>526</v>
      </c>
      <c r="I284" s="18" t="s">
        <v>526</v>
      </c>
      <c r="J284" s="14">
        <v>282</v>
      </c>
    </row>
    <row r="285" spans="1:10" s="10" customFormat="1" ht="14.45">
      <c r="A285" s="13">
        <v>283</v>
      </c>
      <c r="B285" s="28"/>
      <c r="C285" s="19" t="s">
        <v>526</v>
      </c>
      <c r="D285" s="14" t="s">
        <v>526</v>
      </c>
      <c r="E285" s="14" t="s">
        <v>526</v>
      </c>
      <c r="F285" s="14" t="s">
        <v>526</v>
      </c>
      <c r="G285" s="18" t="s">
        <v>526</v>
      </c>
      <c r="H285" s="14" t="s">
        <v>526</v>
      </c>
      <c r="I285" s="18" t="s">
        <v>526</v>
      </c>
      <c r="J285" s="14">
        <v>283</v>
      </c>
    </row>
    <row r="286" spans="1:10" s="10" customFormat="1" ht="14.45">
      <c r="A286" s="13">
        <v>284</v>
      </c>
      <c r="B286" s="28"/>
      <c r="C286" s="19" t="s">
        <v>526</v>
      </c>
      <c r="D286" s="14" t="s">
        <v>526</v>
      </c>
      <c r="E286" s="14" t="s">
        <v>526</v>
      </c>
      <c r="F286" s="14" t="s">
        <v>526</v>
      </c>
      <c r="G286" s="18" t="s">
        <v>526</v>
      </c>
      <c r="H286" s="14" t="s">
        <v>526</v>
      </c>
      <c r="I286" s="18" t="s">
        <v>526</v>
      </c>
      <c r="J286" s="14">
        <v>284</v>
      </c>
    </row>
    <row r="287" spans="1:10" s="10" customFormat="1" ht="14.45">
      <c r="A287" s="13">
        <v>285</v>
      </c>
      <c r="B287" s="28"/>
      <c r="C287" s="19" t="s">
        <v>526</v>
      </c>
      <c r="D287" s="14" t="s">
        <v>526</v>
      </c>
      <c r="E287" s="14" t="s">
        <v>526</v>
      </c>
      <c r="F287" s="14" t="s">
        <v>526</v>
      </c>
      <c r="G287" s="18" t="s">
        <v>526</v>
      </c>
      <c r="H287" s="14" t="s">
        <v>526</v>
      </c>
      <c r="I287" s="18" t="s">
        <v>526</v>
      </c>
      <c r="J287" s="14">
        <v>285</v>
      </c>
    </row>
    <row r="288" spans="1:10" s="10" customFormat="1" ht="14.45">
      <c r="A288" s="13">
        <v>286</v>
      </c>
      <c r="B288" s="28"/>
      <c r="C288" s="19" t="s">
        <v>526</v>
      </c>
      <c r="D288" s="14" t="s">
        <v>526</v>
      </c>
      <c r="E288" s="14" t="s">
        <v>526</v>
      </c>
      <c r="F288" s="14" t="s">
        <v>526</v>
      </c>
      <c r="G288" s="18" t="s">
        <v>526</v>
      </c>
      <c r="H288" s="14" t="s">
        <v>526</v>
      </c>
      <c r="I288" s="18" t="s">
        <v>526</v>
      </c>
      <c r="J288" s="14">
        <v>286</v>
      </c>
    </row>
    <row r="289" spans="1:10" s="10" customFormat="1" ht="14.45">
      <c r="A289" s="13">
        <v>287</v>
      </c>
      <c r="B289" s="28"/>
      <c r="C289" s="19" t="s">
        <v>526</v>
      </c>
      <c r="D289" s="14" t="s">
        <v>526</v>
      </c>
      <c r="E289" s="14" t="s">
        <v>526</v>
      </c>
      <c r="F289" s="14" t="s">
        <v>526</v>
      </c>
      <c r="G289" s="18" t="s">
        <v>526</v>
      </c>
      <c r="H289" s="14" t="s">
        <v>526</v>
      </c>
      <c r="I289" s="18" t="s">
        <v>526</v>
      </c>
      <c r="J289" s="14">
        <v>287</v>
      </c>
    </row>
    <row r="290" spans="1:10" s="10" customFormat="1" ht="14.45">
      <c r="A290" s="13">
        <v>288</v>
      </c>
      <c r="B290" s="28"/>
      <c r="C290" s="19" t="s">
        <v>526</v>
      </c>
      <c r="D290" s="14" t="s">
        <v>526</v>
      </c>
      <c r="E290" s="14" t="s">
        <v>526</v>
      </c>
      <c r="F290" s="14" t="s">
        <v>526</v>
      </c>
      <c r="G290" s="18" t="s">
        <v>526</v>
      </c>
      <c r="H290" s="14" t="s">
        <v>526</v>
      </c>
      <c r="I290" s="18" t="s">
        <v>526</v>
      </c>
      <c r="J290" s="14">
        <v>288</v>
      </c>
    </row>
    <row r="291" spans="1:10" s="10" customFormat="1" ht="14.45">
      <c r="A291" s="13">
        <v>289</v>
      </c>
      <c r="B291" s="28"/>
      <c r="C291" s="19" t="s">
        <v>526</v>
      </c>
      <c r="D291" s="14" t="s">
        <v>526</v>
      </c>
      <c r="E291" s="14" t="s">
        <v>526</v>
      </c>
      <c r="F291" s="14" t="s">
        <v>526</v>
      </c>
      <c r="G291" s="18" t="s">
        <v>526</v>
      </c>
      <c r="H291" s="14" t="s">
        <v>526</v>
      </c>
      <c r="I291" s="18" t="s">
        <v>526</v>
      </c>
      <c r="J291" s="14">
        <v>289</v>
      </c>
    </row>
    <row r="292" spans="1:10" s="10" customFormat="1" ht="14.45">
      <c r="A292" s="13">
        <v>290</v>
      </c>
      <c r="B292" s="28"/>
      <c r="C292" s="19" t="s">
        <v>526</v>
      </c>
      <c r="D292" s="14" t="s">
        <v>526</v>
      </c>
      <c r="E292" s="14" t="s">
        <v>526</v>
      </c>
      <c r="F292" s="14" t="s">
        <v>526</v>
      </c>
      <c r="G292" s="18" t="s">
        <v>526</v>
      </c>
      <c r="H292" s="14" t="s">
        <v>526</v>
      </c>
      <c r="I292" s="18" t="s">
        <v>526</v>
      </c>
      <c r="J292" s="14">
        <v>290</v>
      </c>
    </row>
    <row r="293" spans="1:10" s="10" customFormat="1" ht="14.45">
      <c r="A293" s="13">
        <v>291</v>
      </c>
      <c r="B293" s="28"/>
      <c r="C293" s="19" t="s">
        <v>526</v>
      </c>
      <c r="D293" s="14" t="s">
        <v>526</v>
      </c>
      <c r="E293" s="14" t="s">
        <v>526</v>
      </c>
      <c r="F293" s="14" t="s">
        <v>526</v>
      </c>
      <c r="G293" s="18" t="s">
        <v>526</v>
      </c>
      <c r="H293" s="14" t="s">
        <v>526</v>
      </c>
      <c r="I293" s="18" t="s">
        <v>526</v>
      </c>
      <c r="J293" s="14">
        <v>291</v>
      </c>
    </row>
    <row r="294" spans="1:10" s="10" customFormat="1" ht="14.45">
      <c r="A294" s="13">
        <v>292</v>
      </c>
      <c r="B294" s="28"/>
      <c r="C294" s="19" t="s">
        <v>526</v>
      </c>
      <c r="D294" s="14" t="s">
        <v>526</v>
      </c>
      <c r="E294" s="14" t="s">
        <v>526</v>
      </c>
      <c r="F294" s="14" t="s">
        <v>526</v>
      </c>
      <c r="G294" s="18" t="s">
        <v>526</v>
      </c>
      <c r="H294" s="14" t="s">
        <v>526</v>
      </c>
      <c r="I294" s="18" t="s">
        <v>526</v>
      </c>
      <c r="J294" s="14">
        <v>292</v>
      </c>
    </row>
    <row r="295" spans="1:10" s="10" customFormat="1" ht="14.45">
      <c r="A295" s="13">
        <v>293</v>
      </c>
      <c r="B295" s="28"/>
      <c r="C295" s="19" t="s">
        <v>526</v>
      </c>
      <c r="D295" s="14" t="s">
        <v>526</v>
      </c>
      <c r="E295" s="14" t="s">
        <v>526</v>
      </c>
      <c r="F295" s="14" t="s">
        <v>526</v>
      </c>
      <c r="G295" s="18" t="s">
        <v>526</v>
      </c>
      <c r="H295" s="14" t="s">
        <v>526</v>
      </c>
      <c r="I295" s="18" t="s">
        <v>526</v>
      </c>
      <c r="J295" s="14">
        <v>293</v>
      </c>
    </row>
    <row r="296" spans="1:10" s="10" customFormat="1" ht="14.45">
      <c r="A296" s="13">
        <v>294</v>
      </c>
      <c r="B296" s="28"/>
      <c r="C296" s="19" t="s">
        <v>526</v>
      </c>
      <c r="D296" s="14" t="s">
        <v>526</v>
      </c>
      <c r="E296" s="14" t="s">
        <v>526</v>
      </c>
      <c r="F296" s="14" t="s">
        <v>526</v>
      </c>
      <c r="G296" s="18" t="s">
        <v>526</v>
      </c>
      <c r="H296" s="14" t="s">
        <v>526</v>
      </c>
      <c r="I296" s="18" t="s">
        <v>526</v>
      </c>
      <c r="J296" s="14">
        <v>294</v>
      </c>
    </row>
    <row r="297" spans="1:10" s="10" customFormat="1" ht="14.45">
      <c r="A297" s="13">
        <v>295</v>
      </c>
      <c r="B297" s="28"/>
      <c r="C297" s="19" t="s">
        <v>526</v>
      </c>
      <c r="D297" s="14" t="s">
        <v>526</v>
      </c>
      <c r="E297" s="14" t="s">
        <v>526</v>
      </c>
      <c r="F297" s="14" t="s">
        <v>526</v>
      </c>
      <c r="G297" s="18" t="s">
        <v>526</v>
      </c>
      <c r="H297" s="14" t="s">
        <v>526</v>
      </c>
      <c r="I297" s="18" t="s">
        <v>526</v>
      </c>
      <c r="J297" s="14">
        <v>295</v>
      </c>
    </row>
    <row r="298" spans="1:10" s="10" customFormat="1" ht="14.45">
      <c r="A298" s="13">
        <v>296</v>
      </c>
      <c r="B298" s="28"/>
      <c r="C298" s="19" t="s">
        <v>526</v>
      </c>
      <c r="D298" s="14" t="s">
        <v>526</v>
      </c>
      <c r="E298" s="14" t="s">
        <v>526</v>
      </c>
      <c r="F298" s="14" t="s">
        <v>526</v>
      </c>
      <c r="G298" s="18" t="s">
        <v>526</v>
      </c>
      <c r="H298" s="14" t="s">
        <v>526</v>
      </c>
      <c r="I298" s="18" t="s">
        <v>526</v>
      </c>
      <c r="J298" s="14">
        <v>296</v>
      </c>
    </row>
    <row r="299" spans="1:10" s="10" customFormat="1" ht="14.45">
      <c r="A299" s="13">
        <v>297</v>
      </c>
      <c r="B299" s="28"/>
      <c r="C299" s="19" t="s">
        <v>526</v>
      </c>
      <c r="D299" s="14" t="s">
        <v>526</v>
      </c>
      <c r="E299" s="14" t="s">
        <v>526</v>
      </c>
      <c r="F299" s="14" t="s">
        <v>526</v>
      </c>
      <c r="G299" s="18" t="s">
        <v>526</v>
      </c>
      <c r="H299" s="14" t="s">
        <v>526</v>
      </c>
      <c r="I299" s="18" t="s">
        <v>526</v>
      </c>
      <c r="J299" s="14">
        <v>297</v>
      </c>
    </row>
    <row r="300" spans="1:10" s="10" customFormat="1" ht="14.45">
      <c r="A300" s="13">
        <v>298</v>
      </c>
      <c r="B300" s="28"/>
      <c r="C300" s="19" t="s">
        <v>526</v>
      </c>
      <c r="D300" s="14" t="s">
        <v>526</v>
      </c>
      <c r="E300" s="14" t="s">
        <v>526</v>
      </c>
      <c r="F300" s="14" t="s">
        <v>526</v>
      </c>
      <c r="G300" s="18" t="s">
        <v>526</v>
      </c>
      <c r="H300" s="14" t="s">
        <v>526</v>
      </c>
      <c r="I300" s="18" t="s">
        <v>526</v>
      </c>
      <c r="J300" s="14">
        <v>298</v>
      </c>
    </row>
    <row r="301" spans="1:10" s="10" customFormat="1" ht="14.45">
      <c r="A301" s="13">
        <v>299</v>
      </c>
      <c r="B301" s="28"/>
      <c r="C301" s="19" t="s">
        <v>526</v>
      </c>
      <c r="D301" s="14" t="s">
        <v>526</v>
      </c>
      <c r="E301" s="14" t="s">
        <v>526</v>
      </c>
      <c r="F301" s="14" t="s">
        <v>526</v>
      </c>
      <c r="G301" s="18" t="s">
        <v>526</v>
      </c>
      <c r="H301" s="14" t="s">
        <v>526</v>
      </c>
      <c r="I301" s="18" t="s">
        <v>526</v>
      </c>
      <c r="J301" s="14">
        <v>299</v>
      </c>
    </row>
    <row r="302" spans="1:10" s="10" customFormat="1" ht="14.45">
      <c r="A302" s="13">
        <v>300</v>
      </c>
      <c r="B302" s="28"/>
      <c r="C302" s="19" t="s">
        <v>526</v>
      </c>
      <c r="D302" s="14" t="s">
        <v>526</v>
      </c>
      <c r="E302" s="14" t="s">
        <v>526</v>
      </c>
      <c r="F302" s="14" t="s">
        <v>526</v>
      </c>
      <c r="G302" s="18" t="s">
        <v>526</v>
      </c>
      <c r="H302" s="14" t="s">
        <v>526</v>
      </c>
      <c r="I302" s="18" t="s">
        <v>526</v>
      </c>
      <c r="J302" s="14">
        <v>300</v>
      </c>
    </row>
    <row r="303" spans="1:10" s="10" customFormat="1" ht="14.45">
      <c r="A303" s="13">
        <v>301</v>
      </c>
      <c r="B303" s="28"/>
      <c r="C303" s="19" t="s">
        <v>526</v>
      </c>
      <c r="D303" s="14" t="s">
        <v>526</v>
      </c>
      <c r="E303" s="14" t="s">
        <v>526</v>
      </c>
      <c r="F303" s="14" t="s">
        <v>526</v>
      </c>
      <c r="G303" s="18" t="s">
        <v>526</v>
      </c>
      <c r="H303" s="14" t="s">
        <v>526</v>
      </c>
      <c r="I303" s="18" t="s">
        <v>526</v>
      </c>
      <c r="J303" s="14">
        <v>301</v>
      </c>
    </row>
    <row r="304" spans="1:10" s="10" customFormat="1" ht="14.45">
      <c r="A304" s="13">
        <v>302</v>
      </c>
      <c r="B304" s="28"/>
      <c r="C304" s="19" t="s">
        <v>526</v>
      </c>
      <c r="D304" s="14" t="s">
        <v>526</v>
      </c>
      <c r="E304" s="14" t="s">
        <v>526</v>
      </c>
      <c r="F304" s="14" t="s">
        <v>526</v>
      </c>
      <c r="G304" s="18" t="s">
        <v>526</v>
      </c>
      <c r="H304" s="14" t="s">
        <v>526</v>
      </c>
      <c r="I304" s="18" t="s">
        <v>526</v>
      </c>
      <c r="J304" s="14">
        <v>302</v>
      </c>
    </row>
    <row r="305" spans="1:10" s="10" customFormat="1" ht="14.45">
      <c r="A305" s="13">
        <v>303</v>
      </c>
      <c r="B305" s="28"/>
      <c r="C305" s="19" t="s">
        <v>526</v>
      </c>
      <c r="D305" s="14" t="s">
        <v>526</v>
      </c>
      <c r="E305" s="14" t="s">
        <v>526</v>
      </c>
      <c r="F305" s="14" t="s">
        <v>526</v>
      </c>
      <c r="G305" s="18" t="s">
        <v>526</v>
      </c>
      <c r="H305" s="14" t="s">
        <v>526</v>
      </c>
      <c r="I305" s="18" t="s">
        <v>526</v>
      </c>
      <c r="J305" s="14">
        <v>303</v>
      </c>
    </row>
    <row r="306" spans="1:10" s="10" customFormat="1" ht="14.45">
      <c r="A306" s="13">
        <v>304</v>
      </c>
      <c r="B306" s="28"/>
      <c r="C306" s="19" t="s">
        <v>526</v>
      </c>
      <c r="D306" s="14" t="s">
        <v>526</v>
      </c>
      <c r="E306" s="14" t="s">
        <v>526</v>
      </c>
      <c r="F306" s="14" t="s">
        <v>526</v>
      </c>
      <c r="G306" s="18" t="s">
        <v>526</v>
      </c>
      <c r="H306" s="14" t="s">
        <v>526</v>
      </c>
      <c r="I306" s="18" t="s">
        <v>526</v>
      </c>
      <c r="J306" s="14">
        <v>304</v>
      </c>
    </row>
    <row r="307" spans="1:10" s="10" customFormat="1" ht="14.45">
      <c r="A307" s="13">
        <v>305</v>
      </c>
      <c r="B307" s="28"/>
      <c r="C307" s="19" t="s">
        <v>526</v>
      </c>
      <c r="D307" s="14" t="s">
        <v>526</v>
      </c>
      <c r="E307" s="14" t="s">
        <v>526</v>
      </c>
      <c r="F307" s="14" t="s">
        <v>526</v>
      </c>
      <c r="G307" s="18" t="s">
        <v>526</v>
      </c>
      <c r="H307" s="14" t="s">
        <v>526</v>
      </c>
      <c r="I307" s="18" t="s">
        <v>526</v>
      </c>
      <c r="J307" s="14">
        <v>305</v>
      </c>
    </row>
    <row r="308" spans="1:10" s="10" customFormat="1" ht="14.45">
      <c r="A308" s="13">
        <v>306</v>
      </c>
      <c r="B308" s="28"/>
      <c r="C308" s="19" t="s">
        <v>526</v>
      </c>
      <c r="D308" s="14" t="s">
        <v>526</v>
      </c>
      <c r="E308" s="14" t="s">
        <v>526</v>
      </c>
      <c r="F308" s="14" t="s">
        <v>526</v>
      </c>
      <c r="G308" s="18" t="s">
        <v>526</v>
      </c>
      <c r="H308" s="14" t="s">
        <v>526</v>
      </c>
      <c r="I308" s="18" t="s">
        <v>526</v>
      </c>
      <c r="J308" s="14">
        <v>306</v>
      </c>
    </row>
    <row r="309" spans="1:10" s="10" customFormat="1" ht="14.45">
      <c r="A309" s="13">
        <v>307</v>
      </c>
      <c r="B309" s="28"/>
      <c r="C309" s="19" t="s">
        <v>526</v>
      </c>
      <c r="D309" s="14" t="s">
        <v>526</v>
      </c>
      <c r="E309" s="14" t="s">
        <v>526</v>
      </c>
      <c r="F309" s="14" t="s">
        <v>526</v>
      </c>
      <c r="G309" s="18" t="s">
        <v>526</v>
      </c>
      <c r="H309" s="14" t="s">
        <v>526</v>
      </c>
      <c r="I309" s="18" t="s">
        <v>526</v>
      </c>
      <c r="J309" s="14">
        <v>307</v>
      </c>
    </row>
    <row r="310" spans="1:10" s="10" customFormat="1" ht="14.45">
      <c r="A310" s="13">
        <v>308</v>
      </c>
      <c r="B310" s="28"/>
      <c r="C310" s="19" t="s">
        <v>526</v>
      </c>
      <c r="D310" s="14" t="s">
        <v>526</v>
      </c>
      <c r="E310" s="14" t="s">
        <v>526</v>
      </c>
      <c r="F310" s="14" t="s">
        <v>526</v>
      </c>
      <c r="G310" s="18" t="s">
        <v>526</v>
      </c>
      <c r="H310" s="14" t="s">
        <v>526</v>
      </c>
      <c r="I310" s="18" t="s">
        <v>526</v>
      </c>
      <c r="J310" s="14">
        <v>308</v>
      </c>
    </row>
    <row r="311" spans="1:10" s="10" customFormat="1" ht="14.45">
      <c r="A311" s="13">
        <v>309</v>
      </c>
      <c r="B311" s="28"/>
      <c r="C311" s="19" t="s">
        <v>526</v>
      </c>
      <c r="D311" s="14" t="s">
        <v>526</v>
      </c>
      <c r="E311" s="14" t="s">
        <v>526</v>
      </c>
      <c r="F311" s="14" t="s">
        <v>526</v>
      </c>
      <c r="G311" s="18" t="s">
        <v>526</v>
      </c>
      <c r="H311" s="14" t="s">
        <v>526</v>
      </c>
      <c r="I311" s="18" t="s">
        <v>526</v>
      </c>
      <c r="J311" s="14">
        <v>309</v>
      </c>
    </row>
    <row r="312" spans="1:10" s="10" customFormat="1" ht="14.45">
      <c r="A312" s="13">
        <v>310</v>
      </c>
      <c r="B312" s="28"/>
      <c r="C312" s="19" t="s">
        <v>526</v>
      </c>
      <c r="D312" s="14" t="s">
        <v>526</v>
      </c>
      <c r="E312" s="14" t="s">
        <v>526</v>
      </c>
      <c r="F312" s="14" t="s">
        <v>526</v>
      </c>
      <c r="G312" s="18" t="s">
        <v>526</v>
      </c>
      <c r="H312" s="14" t="s">
        <v>526</v>
      </c>
      <c r="I312" s="18" t="s">
        <v>526</v>
      </c>
      <c r="J312" s="14">
        <v>310</v>
      </c>
    </row>
    <row r="313" spans="1:10" s="10" customFormat="1" ht="14.45">
      <c r="A313" s="13">
        <v>311</v>
      </c>
      <c r="B313" s="28"/>
      <c r="C313" s="19" t="s">
        <v>526</v>
      </c>
      <c r="D313" s="14" t="s">
        <v>526</v>
      </c>
      <c r="E313" s="14" t="s">
        <v>526</v>
      </c>
      <c r="F313" s="14" t="s">
        <v>526</v>
      </c>
      <c r="G313" s="18" t="s">
        <v>526</v>
      </c>
      <c r="H313" s="14" t="s">
        <v>526</v>
      </c>
      <c r="I313" s="18" t="s">
        <v>526</v>
      </c>
      <c r="J313" s="14">
        <v>311</v>
      </c>
    </row>
    <row r="314" spans="1:10" s="10" customFormat="1" ht="14.45">
      <c r="A314" s="13">
        <v>312</v>
      </c>
      <c r="B314" s="28"/>
      <c r="C314" s="19" t="s">
        <v>526</v>
      </c>
      <c r="D314" s="14" t="s">
        <v>526</v>
      </c>
      <c r="E314" s="14" t="s">
        <v>526</v>
      </c>
      <c r="F314" s="14" t="s">
        <v>526</v>
      </c>
      <c r="G314" s="18" t="s">
        <v>526</v>
      </c>
      <c r="H314" s="14" t="s">
        <v>526</v>
      </c>
      <c r="I314" s="18" t="s">
        <v>526</v>
      </c>
      <c r="J314" s="14">
        <v>312</v>
      </c>
    </row>
    <row r="315" spans="1:10" s="10" customFormat="1" ht="14.45">
      <c r="A315" s="13">
        <v>313</v>
      </c>
      <c r="B315" s="28"/>
      <c r="C315" s="19" t="s">
        <v>526</v>
      </c>
      <c r="D315" s="14" t="s">
        <v>526</v>
      </c>
      <c r="E315" s="14" t="s">
        <v>526</v>
      </c>
      <c r="F315" s="14" t="s">
        <v>526</v>
      </c>
      <c r="G315" s="18" t="s">
        <v>526</v>
      </c>
      <c r="H315" s="14" t="s">
        <v>526</v>
      </c>
      <c r="I315" s="18" t="s">
        <v>526</v>
      </c>
      <c r="J315" s="14">
        <v>313</v>
      </c>
    </row>
    <row r="316" spans="1:10" s="10" customFormat="1" ht="14.45">
      <c r="A316" s="13">
        <v>314</v>
      </c>
      <c r="B316" s="28"/>
      <c r="C316" s="19" t="s">
        <v>526</v>
      </c>
      <c r="D316" s="14" t="s">
        <v>526</v>
      </c>
      <c r="E316" s="14" t="s">
        <v>526</v>
      </c>
      <c r="F316" s="14" t="s">
        <v>526</v>
      </c>
      <c r="G316" s="18" t="s">
        <v>526</v>
      </c>
      <c r="H316" s="14" t="s">
        <v>526</v>
      </c>
      <c r="I316" s="18" t="s">
        <v>526</v>
      </c>
      <c r="J316" s="14">
        <v>314</v>
      </c>
    </row>
    <row r="317" spans="1:10" s="10" customFormat="1" ht="14.45">
      <c r="A317" s="13">
        <v>315</v>
      </c>
      <c r="B317" s="28"/>
      <c r="C317" s="19" t="s">
        <v>526</v>
      </c>
      <c r="D317" s="14" t="s">
        <v>526</v>
      </c>
      <c r="E317" s="14" t="s">
        <v>526</v>
      </c>
      <c r="F317" s="14" t="s">
        <v>526</v>
      </c>
      <c r="G317" s="18" t="s">
        <v>526</v>
      </c>
      <c r="H317" s="14" t="s">
        <v>526</v>
      </c>
      <c r="I317" s="18" t="s">
        <v>526</v>
      </c>
      <c r="J317" s="14">
        <v>315</v>
      </c>
    </row>
    <row r="318" spans="1:10" s="10" customFormat="1" ht="14.45">
      <c r="A318" s="13">
        <v>316</v>
      </c>
      <c r="B318" s="28"/>
      <c r="C318" s="19" t="s">
        <v>526</v>
      </c>
      <c r="D318" s="14" t="s">
        <v>526</v>
      </c>
      <c r="E318" s="14" t="s">
        <v>526</v>
      </c>
      <c r="F318" s="14" t="s">
        <v>526</v>
      </c>
      <c r="G318" s="18" t="s">
        <v>526</v>
      </c>
      <c r="H318" s="14" t="s">
        <v>526</v>
      </c>
      <c r="I318" s="18" t="s">
        <v>526</v>
      </c>
      <c r="J318" s="14">
        <v>316</v>
      </c>
    </row>
    <row r="319" spans="1:10" s="10" customFormat="1" ht="14.45">
      <c r="A319" s="13">
        <v>317</v>
      </c>
      <c r="B319" s="28"/>
      <c r="C319" s="19" t="s">
        <v>526</v>
      </c>
      <c r="D319" s="14" t="s">
        <v>526</v>
      </c>
      <c r="E319" s="14" t="s">
        <v>526</v>
      </c>
      <c r="F319" s="14" t="s">
        <v>526</v>
      </c>
      <c r="G319" s="18" t="s">
        <v>526</v>
      </c>
      <c r="H319" s="14" t="s">
        <v>526</v>
      </c>
      <c r="I319" s="18" t="s">
        <v>526</v>
      </c>
      <c r="J319" s="14">
        <v>317</v>
      </c>
    </row>
    <row r="320" spans="1:10" s="10" customFormat="1" ht="14.45">
      <c r="A320" s="13">
        <v>318</v>
      </c>
      <c r="B320" s="28"/>
      <c r="C320" s="19" t="s">
        <v>526</v>
      </c>
      <c r="D320" s="14" t="s">
        <v>526</v>
      </c>
      <c r="E320" s="14" t="s">
        <v>526</v>
      </c>
      <c r="F320" s="14" t="s">
        <v>526</v>
      </c>
      <c r="G320" s="18" t="s">
        <v>526</v>
      </c>
      <c r="H320" s="14" t="s">
        <v>526</v>
      </c>
      <c r="I320" s="18" t="s">
        <v>526</v>
      </c>
      <c r="J320" s="14">
        <v>318</v>
      </c>
    </row>
    <row r="321" spans="1:10" s="10" customFormat="1" ht="14.45">
      <c r="A321" s="13">
        <v>319</v>
      </c>
      <c r="B321" s="28"/>
      <c r="C321" s="19" t="s">
        <v>526</v>
      </c>
      <c r="D321" s="14" t="s">
        <v>526</v>
      </c>
      <c r="E321" s="14" t="s">
        <v>526</v>
      </c>
      <c r="F321" s="14" t="s">
        <v>526</v>
      </c>
      <c r="G321" s="18" t="s">
        <v>526</v>
      </c>
      <c r="H321" s="14" t="s">
        <v>526</v>
      </c>
      <c r="I321" s="18" t="s">
        <v>526</v>
      </c>
      <c r="J321" s="14">
        <v>319</v>
      </c>
    </row>
    <row r="322" spans="1:10" s="10" customFormat="1" ht="14.45">
      <c r="A322" s="13">
        <v>320</v>
      </c>
      <c r="B322" s="28"/>
      <c r="C322" s="19" t="s">
        <v>526</v>
      </c>
      <c r="D322" s="14" t="s">
        <v>526</v>
      </c>
      <c r="E322" s="14" t="s">
        <v>526</v>
      </c>
      <c r="F322" s="14" t="s">
        <v>526</v>
      </c>
      <c r="G322" s="18" t="s">
        <v>526</v>
      </c>
      <c r="H322" s="14" t="s">
        <v>526</v>
      </c>
      <c r="I322" s="18" t="s">
        <v>526</v>
      </c>
      <c r="J322" s="14">
        <v>320</v>
      </c>
    </row>
    <row r="323" spans="1:10" s="10" customFormat="1" ht="14.45">
      <c r="A323" s="13">
        <v>321</v>
      </c>
      <c r="B323" s="28"/>
      <c r="C323" s="19" t="s">
        <v>526</v>
      </c>
      <c r="D323" s="14" t="s">
        <v>526</v>
      </c>
      <c r="E323" s="14" t="s">
        <v>526</v>
      </c>
      <c r="F323" s="14" t="s">
        <v>526</v>
      </c>
      <c r="G323" s="18" t="s">
        <v>526</v>
      </c>
      <c r="H323" s="14" t="s">
        <v>526</v>
      </c>
      <c r="I323" s="18" t="s">
        <v>526</v>
      </c>
      <c r="J323" s="14">
        <v>321</v>
      </c>
    </row>
    <row r="324" spans="1:10" s="10" customFormat="1" ht="14.45">
      <c r="A324" s="13">
        <v>322</v>
      </c>
      <c r="B324" s="28"/>
      <c r="C324" s="19" t="s">
        <v>526</v>
      </c>
      <c r="D324" s="14" t="s">
        <v>526</v>
      </c>
      <c r="E324" s="14" t="s">
        <v>526</v>
      </c>
      <c r="F324" s="14" t="s">
        <v>526</v>
      </c>
      <c r="G324" s="18" t="s">
        <v>526</v>
      </c>
      <c r="H324" s="14" t="s">
        <v>526</v>
      </c>
      <c r="I324" s="18" t="s">
        <v>526</v>
      </c>
      <c r="J324" s="14">
        <v>322</v>
      </c>
    </row>
    <row r="325" spans="1:10" s="10" customFormat="1" ht="14.45">
      <c r="A325" s="13">
        <v>323</v>
      </c>
      <c r="B325" s="28"/>
      <c r="C325" s="19" t="s">
        <v>526</v>
      </c>
      <c r="D325" s="14" t="s">
        <v>526</v>
      </c>
      <c r="E325" s="14" t="s">
        <v>526</v>
      </c>
      <c r="F325" s="14" t="s">
        <v>526</v>
      </c>
      <c r="G325" s="18" t="s">
        <v>526</v>
      </c>
      <c r="H325" s="14" t="s">
        <v>526</v>
      </c>
      <c r="I325" s="18" t="s">
        <v>526</v>
      </c>
      <c r="J325" s="14">
        <v>323</v>
      </c>
    </row>
    <row r="326" spans="1:10" s="10" customFormat="1" ht="14.45">
      <c r="A326" s="13">
        <v>324</v>
      </c>
      <c r="B326" s="28"/>
      <c r="C326" s="19" t="s">
        <v>526</v>
      </c>
      <c r="D326" s="14" t="s">
        <v>526</v>
      </c>
      <c r="E326" s="14" t="s">
        <v>526</v>
      </c>
      <c r="F326" s="14" t="s">
        <v>526</v>
      </c>
      <c r="G326" s="18" t="s">
        <v>526</v>
      </c>
      <c r="H326" s="14" t="s">
        <v>526</v>
      </c>
      <c r="I326" s="18" t="s">
        <v>526</v>
      </c>
      <c r="J326" s="14">
        <v>324</v>
      </c>
    </row>
    <row r="327" spans="1:10" s="10" customFormat="1" ht="14.45">
      <c r="A327" s="13">
        <v>325</v>
      </c>
      <c r="B327" s="28"/>
      <c r="C327" s="19" t="s">
        <v>526</v>
      </c>
      <c r="D327" s="14" t="s">
        <v>526</v>
      </c>
      <c r="E327" s="14" t="s">
        <v>526</v>
      </c>
      <c r="F327" s="14" t="s">
        <v>526</v>
      </c>
      <c r="G327" s="18" t="s">
        <v>526</v>
      </c>
      <c r="H327" s="14" t="s">
        <v>526</v>
      </c>
      <c r="I327" s="18" t="s">
        <v>526</v>
      </c>
      <c r="J327" s="14">
        <v>325</v>
      </c>
    </row>
    <row r="328" spans="1:10" s="10" customFormat="1" ht="14.45">
      <c r="A328" s="13">
        <v>326</v>
      </c>
      <c r="B328" s="28"/>
      <c r="C328" s="19" t="s">
        <v>526</v>
      </c>
      <c r="D328" s="14" t="s">
        <v>526</v>
      </c>
      <c r="E328" s="14" t="s">
        <v>526</v>
      </c>
      <c r="F328" s="14" t="s">
        <v>526</v>
      </c>
      <c r="G328" s="18" t="s">
        <v>526</v>
      </c>
      <c r="H328" s="14" t="s">
        <v>526</v>
      </c>
      <c r="I328" s="18" t="s">
        <v>526</v>
      </c>
      <c r="J328" s="14">
        <v>326</v>
      </c>
    </row>
    <row r="329" spans="1:10" s="10" customFormat="1" ht="14.45">
      <c r="A329" s="13">
        <v>327</v>
      </c>
      <c r="B329" s="28"/>
      <c r="C329" s="19" t="s">
        <v>526</v>
      </c>
      <c r="D329" s="14" t="s">
        <v>526</v>
      </c>
      <c r="E329" s="14" t="s">
        <v>526</v>
      </c>
      <c r="F329" s="14" t="s">
        <v>526</v>
      </c>
      <c r="G329" s="18" t="s">
        <v>526</v>
      </c>
      <c r="H329" s="14" t="s">
        <v>526</v>
      </c>
      <c r="I329" s="18" t="s">
        <v>526</v>
      </c>
      <c r="J329" s="14">
        <v>327</v>
      </c>
    </row>
    <row r="330" spans="1:10" s="10" customFormat="1" ht="14.45">
      <c r="A330" s="13">
        <v>328</v>
      </c>
      <c r="B330" s="28"/>
      <c r="C330" s="19" t="s">
        <v>526</v>
      </c>
      <c r="D330" s="14" t="s">
        <v>526</v>
      </c>
      <c r="E330" s="14" t="s">
        <v>526</v>
      </c>
      <c r="F330" s="14" t="s">
        <v>526</v>
      </c>
      <c r="G330" s="18" t="s">
        <v>526</v>
      </c>
      <c r="H330" s="14" t="s">
        <v>526</v>
      </c>
      <c r="I330" s="18" t="s">
        <v>526</v>
      </c>
      <c r="J330" s="14">
        <v>328</v>
      </c>
    </row>
    <row r="331" spans="1:10" s="10" customFormat="1" ht="14.45">
      <c r="A331" s="13">
        <v>329</v>
      </c>
      <c r="B331" s="28"/>
      <c r="C331" s="19" t="s">
        <v>526</v>
      </c>
      <c r="D331" s="14" t="s">
        <v>526</v>
      </c>
      <c r="E331" s="14" t="s">
        <v>526</v>
      </c>
      <c r="F331" s="14" t="s">
        <v>526</v>
      </c>
      <c r="G331" s="18" t="s">
        <v>526</v>
      </c>
      <c r="H331" s="14" t="s">
        <v>526</v>
      </c>
      <c r="I331" s="18" t="s">
        <v>526</v>
      </c>
      <c r="J331" s="14">
        <v>329</v>
      </c>
    </row>
    <row r="332" spans="1:10" s="10" customFormat="1" ht="14.45">
      <c r="A332" s="13">
        <v>330</v>
      </c>
      <c r="B332" s="28"/>
      <c r="C332" s="19" t="s">
        <v>526</v>
      </c>
      <c r="D332" s="14" t="s">
        <v>526</v>
      </c>
      <c r="E332" s="14" t="s">
        <v>526</v>
      </c>
      <c r="F332" s="14" t="s">
        <v>526</v>
      </c>
      <c r="G332" s="18" t="s">
        <v>526</v>
      </c>
      <c r="H332" s="14" t="s">
        <v>526</v>
      </c>
      <c r="I332" s="18" t="s">
        <v>526</v>
      </c>
      <c r="J332" s="14">
        <v>330</v>
      </c>
    </row>
    <row r="333" spans="1:10" s="10" customFormat="1" ht="14.45">
      <c r="A333" s="13">
        <v>331</v>
      </c>
      <c r="B333" s="28"/>
      <c r="C333" s="19" t="s">
        <v>526</v>
      </c>
      <c r="D333" s="14" t="s">
        <v>526</v>
      </c>
      <c r="E333" s="14" t="s">
        <v>526</v>
      </c>
      <c r="F333" s="14" t="s">
        <v>526</v>
      </c>
      <c r="G333" s="18" t="s">
        <v>526</v>
      </c>
      <c r="H333" s="14" t="s">
        <v>526</v>
      </c>
      <c r="I333" s="18" t="s">
        <v>526</v>
      </c>
      <c r="J333" s="14">
        <v>331</v>
      </c>
    </row>
    <row r="334" spans="1:10" s="10" customFormat="1" ht="14.45">
      <c r="A334" s="13">
        <v>332</v>
      </c>
      <c r="B334" s="28"/>
      <c r="C334" s="19" t="s">
        <v>526</v>
      </c>
      <c r="D334" s="14" t="s">
        <v>526</v>
      </c>
      <c r="E334" s="14" t="s">
        <v>526</v>
      </c>
      <c r="F334" s="14" t="s">
        <v>526</v>
      </c>
      <c r="G334" s="18" t="s">
        <v>526</v>
      </c>
      <c r="H334" s="14" t="s">
        <v>526</v>
      </c>
      <c r="I334" s="18" t="s">
        <v>526</v>
      </c>
      <c r="J334" s="14">
        <v>332</v>
      </c>
    </row>
    <row r="335" spans="1:10" s="10" customFormat="1" ht="14.45">
      <c r="A335" s="13">
        <v>333</v>
      </c>
      <c r="B335" s="28"/>
      <c r="C335" s="19" t="s">
        <v>526</v>
      </c>
      <c r="D335" s="14" t="s">
        <v>526</v>
      </c>
      <c r="E335" s="14" t="s">
        <v>526</v>
      </c>
      <c r="F335" s="14" t="s">
        <v>526</v>
      </c>
      <c r="G335" s="18" t="s">
        <v>526</v>
      </c>
      <c r="H335" s="14" t="s">
        <v>526</v>
      </c>
      <c r="I335" s="18" t="s">
        <v>526</v>
      </c>
      <c r="J335" s="14">
        <v>333</v>
      </c>
    </row>
    <row r="336" spans="1:10" s="10" customFormat="1" ht="14.45">
      <c r="A336" s="13">
        <v>334</v>
      </c>
      <c r="B336" s="28"/>
      <c r="C336" s="19" t="s">
        <v>526</v>
      </c>
      <c r="D336" s="14" t="s">
        <v>526</v>
      </c>
      <c r="E336" s="14" t="s">
        <v>526</v>
      </c>
      <c r="F336" s="14" t="s">
        <v>526</v>
      </c>
      <c r="G336" s="18" t="s">
        <v>526</v>
      </c>
      <c r="H336" s="14" t="s">
        <v>526</v>
      </c>
      <c r="I336" s="18" t="s">
        <v>526</v>
      </c>
      <c r="J336" s="14">
        <v>334</v>
      </c>
    </row>
    <row r="337" spans="1:10" s="10" customFormat="1" ht="14.45">
      <c r="A337" s="13">
        <v>335</v>
      </c>
      <c r="B337" s="28"/>
      <c r="C337" s="19" t="s">
        <v>526</v>
      </c>
      <c r="D337" s="14" t="s">
        <v>526</v>
      </c>
      <c r="E337" s="14" t="s">
        <v>526</v>
      </c>
      <c r="F337" s="14" t="s">
        <v>526</v>
      </c>
      <c r="G337" s="18" t="s">
        <v>526</v>
      </c>
      <c r="H337" s="14" t="s">
        <v>526</v>
      </c>
      <c r="I337" s="18" t="s">
        <v>526</v>
      </c>
      <c r="J337" s="14">
        <v>335</v>
      </c>
    </row>
    <row r="338" spans="1:10" s="10" customFormat="1" ht="14.45">
      <c r="A338" s="13">
        <v>336</v>
      </c>
      <c r="B338" s="28"/>
      <c r="C338" s="19" t="s">
        <v>526</v>
      </c>
      <c r="D338" s="14" t="s">
        <v>526</v>
      </c>
      <c r="E338" s="14" t="s">
        <v>526</v>
      </c>
      <c r="F338" s="14" t="s">
        <v>526</v>
      </c>
      <c r="G338" s="18" t="s">
        <v>526</v>
      </c>
      <c r="H338" s="14" t="s">
        <v>526</v>
      </c>
      <c r="I338" s="18" t="s">
        <v>526</v>
      </c>
      <c r="J338" s="14">
        <v>336</v>
      </c>
    </row>
    <row r="339" spans="1:10" s="10" customFormat="1" ht="14.45">
      <c r="A339" s="13">
        <v>337</v>
      </c>
      <c r="B339" s="28"/>
      <c r="C339" s="19" t="s">
        <v>526</v>
      </c>
      <c r="D339" s="14" t="s">
        <v>526</v>
      </c>
      <c r="E339" s="14" t="s">
        <v>526</v>
      </c>
      <c r="F339" s="14" t="s">
        <v>526</v>
      </c>
      <c r="G339" s="18" t="s">
        <v>526</v>
      </c>
      <c r="H339" s="14" t="s">
        <v>526</v>
      </c>
      <c r="I339" s="18" t="s">
        <v>526</v>
      </c>
      <c r="J339" s="14">
        <v>337</v>
      </c>
    </row>
    <row r="340" spans="1:10" s="10" customFormat="1" ht="14.45">
      <c r="A340" s="13">
        <v>338</v>
      </c>
      <c r="B340" s="28"/>
      <c r="C340" s="19" t="s">
        <v>526</v>
      </c>
      <c r="D340" s="14" t="s">
        <v>526</v>
      </c>
      <c r="E340" s="14" t="s">
        <v>526</v>
      </c>
      <c r="F340" s="14" t="s">
        <v>526</v>
      </c>
      <c r="G340" s="18" t="s">
        <v>526</v>
      </c>
      <c r="H340" s="14" t="s">
        <v>526</v>
      </c>
      <c r="I340" s="18" t="s">
        <v>526</v>
      </c>
      <c r="J340" s="14">
        <v>338</v>
      </c>
    </row>
    <row r="341" spans="1:10" s="10" customFormat="1" ht="14.45">
      <c r="A341" s="13">
        <v>339</v>
      </c>
      <c r="B341" s="28"/>
      <c r="C341" s="19" t="s">
        <v>526</v>
      </c>
      <c r="D341" s="14" t="s">
        <v>526</v>
      </c>
      <c r="E341" s="14" t="s">
        <v>526</v>
      </c>
      <c r="F341" s="14" t="s">
        <v>526</v>
      </c>
      <c r="G341" s="18" t="s">
        <v>526</v>
      </c>
      <c r="H341" s="14" t="s">
        <v>526</v>
      </c>
      <c r="I341" s="18" t="s">
        <v>526</v>
      </c>
      <c r="J341" s="14">
        <v>339</v>
      </c>
    </row>
    <row r="342" spans="1:10" s="10" customFormat="1" ht="14.45">
      <c r="A342" s="13">
        <v>340</v>
      </c>
      <c r="B342" s="28"/>
      <c r="C342" s="19" t="s">
        <v>526</v>
      </c>
      <c r="D342" s="14" t="s">
        <v>526</v>
      </c>
      <c r="E342" s="14" t="s">
        <v>526</v>
      </c>
      <c r="F342" s="14" t="s">
        <v>526</v>
      </c>
      <c r="G342" s="18" t="s">
        <v>526</v>
      </c>
      <c r="H342" s="14" t="s">
        <v>526</v>
      </c>
      <c r="I342" s="18" t="s">
        <v>526</v>
      </c>
      <c r="J342" s="14">
        <v>340</v>
      </c>
    </row>
    <row r="343" spans="1:10" s="10" customFormat="1" ht="14.45">
      <c r="A343" s="13">
        <v>341</v>
      </c>
      <c r="B343" s="28"/>
      <c r="C343" s="19" t="s">
        <v>526</v>
      </c>
      <c r="D343" s="14" t="s">
        <v>526</v>
      </c>
      <c r="E343" s="14" t="s">
        <v>526</v>
      </c>
      <c r="F343" s="14" t="s">
        <v>526</v>
      </c>
      <c r="G343" s="18" t="s">
        <v>526</v>
      </c>
      <c r="H343" s="14" t="s">
        <v>526</v>
      </c>
      <c r="I343" s="18" t="s">
        <v>526</v>
      </c>
      <c r="J343" s="14">
        <v>341</v>
      </c>
    </row>
    <row r="344" spans="1:10" s="10" customFormat="1" ht="14.45">
      <c r="A344" s="13">
        <v>342</v>
      </c>
      <c r="B344" s="28"/>
      <c r="C344" s="19" t="s">
        <v>526</v>
      </c>
      <c r="D344" s="14" t="s">
        <v>526</v>
      </c>
      <c r="E344" s="14" t="s">
        <v>526</v>
      </c>
      <c r="F344" s="14" t="s">
        <v>526</v>
      </c>
      <c r="G344" s="18" t="s">
        <v>526</v>
      </c>
      <c r="H344" s="14" t="s">
        <v>526</v>
      </c>
      <c r="I344" s="18" t="s">
        <v>526</v>
      </c>
      <c r="J344" s="14">
        <v>342</v>
      </c>
    </row>
    <row r="345" spans="1:10" s="10" customFormat="1" ht="14.45">
      <c r="A345" s="13">
        <v>343</v>
      </c>
      <c r="B345" s="28"/>
      <c r="C345" s="19" t="s">
        <v>526</v>
      </c>
      <c r="D345" s="14" t="s">
        <v>526</v>
      </c>
      <c r="E345" s="14" t="s">
        <v>526</v>
      </c>
      <c r="F345" s="14" t="s">
        <v>526</v>
      </c>
      <c r="G345" s="18" t="s">
        <v>526</v>
      </c>
      <c r="H345" s="14" t="s">
        <v>526</v>
      </c>
      <c r="I345" s="18" t="s">
        <v>526</v>
      </c>
      <c r="J345" s="14">
        <v>343</v>
      </c>
    </row>
    <row r="346" spans="1:10" s="10" customFormat="1" ht="14.45">
      <c r="A346" s="13">
        <v>344</v>
      </c>
      <c r="B346" s="28"/>
      <c r="C346" s="19" t="s">
        <v>526</v>
      </c>
      <c r="D346" s="14" t="s">
        <v>526</v>
      </c>
      <c r="E346" s="14" t="s">
        <v>526</v>
      </c>
      <c r="F346" s="14" t="s">
        <v>526</v>
      </c>
      <c r="G346" s="18" t="s">
        <v>526</v>
      </c>
      <c r="H346" s="14" t="s">
        <v>526</v>
      </c>
      <c r="I346" s="18" t="s">
        <v>526</v>
      </c>
      <c r="J346" s="14">
        <v>344</v>
      </c>
    </row>
    <row r="347" spans="1:10" s="10" customFormat="1" ht="14.45">
      <c r="A347" s="13">
        <v>345</v>
      </c>
      <c r="B347" s="28"/>
      <c r="C347" s="19" t="s">
        <v>526</v>
      </c>
      <c r="D347" s="14" t="s">
        <v>526</v>
      </c>
      <c r="E347" s="14" t="s">
        <v>526</v>
      </c>
      <c r="F347" s="14" t="s">
        <v>526</v>
      </c>
      <c r="G347" s="18" t="s">
        <v>526</v>
      </c>
      <c r="H347" s="14" t="s">
        <v>526</v>
      </c>
      <c r="I347" s="18" t="s">
        <v>526</v>
      </c>
      <c r="J347" s="14">
        <v>345</v>
      </c>
    </row>
    <row r="348" spans="1:10" s="10" customFormat="1" ht="14.45">
      <c r="A348" s="13">
        <v>346</v>
      </c>
      <c r="B348" s="28"/>
      <c r="C348" s="19" t="s">
        <v>526</v>
      </c>
      <c r="D348" s="14" t="s">
        <v>526</v>
      </c>
      <c r="E348" s="14" t="s">
        <v>526</v>
      </c>
      <c r="F348" s="14" t="s">
        <v>526</v>
      </c>
      <c r="G348" s="18" t="s">
        <v>526</v>
      </c>
      <c r="H348" s="14" t="s">
        <v>526</v>
      </c>
      <c r="I348" s="18" t="s">
        <v>526</v>
      </c>
      <c r="J348" s="14">
        <v>346</v>
      </c>
    </row>
    <row r="349" spans="1:10" s="10" customFormat="1" ht="14.45">
      <c r="A349" s="13">
        <v>347</v>
      </c>
      <c r="B349" s="28"/>
      <c r="C349" s="19" t="s">
        <v>526</v>
      </c>
      <c r="D349" s="14" t="s">
        <v>526</v>
      </c>
      <c r="E349" s="14" t="s">
        <v>526</v>
      </c>
      <c r="F349" s="14" t="s">
        <v>526</v>
      </c>
      <c r="G349" s="18" t="s">
        <v>526</v>
      </c>
      <c r="H349" s="14" t="s">
        <v>526</v>
      </c>
      <c r="I349" s="18" t="s">
        <v>526</v>
      </c>
      <c r="J349" s="14">
        <v>347</v>
      </c>
    </row>
    <row r="350" spans="1:10" s="10" customFormat="1" ht="14.45">
      <c r="A350" s="13">
        <v>348</v>
      </c>
      <c r="B350" s="28"/>
      <c r="C350" s="19" t="s">
        <v>526</v>
      </c>
      <c r="D350" s="14" t="s">
        <v>526</v>
      </c>
      <c r="E350" s="14" t="s">
        <v>526</v>
      </c>
      <c r="F350" s="14" t="s">
        <v>526</v>
      </c>
      <c r="G350" s="18" t="s">
        <v>526</v>
      </c>
      <c r="H350" s="14" t="s">
        <v>526</v>
      </c>
      <c r="I350" s="18" t="s">
        <v>526</v>
      </c>
      <c r="J350" s="14">
        <v>348</v>
      </c>
    </row>
    <row r="351" spans="1:10" s="10" customFormat="1" ht="14.45">
      <c r="A351" s="13">
        <v>349</v>
      </c>
      <c r="B351" s="28"/>
      <c r="C351" s="19" t="s">
        <v>526</v>
      </c>
      <c r="D351" s="14" t="s">
        <v>526</v>
      </c>
      <c r="E351" s="14" t="s">
        <v>526</v>
      </c>
      <c r="F351" s="14" t="s">
        <v>526</v>
      </c>
      <c r="G351" s="18" t="s">
        <v>526</v>
      </c>
      <c r="H351" s="14" t="s">
        <v>526</v>
      </c>
      <c r="I351" s="18" t="s">
        <v>526</v>
      </c>
      <c r="J351" s="14">
        <v>349</v>
      </c>
    </row>
    <row r="352" spans="1:10" s="10" customFormat="1" ht="14.45">
      <c r="A352" s="13">
        <v>350</v>
      </c>
      <c r="B352" s="28"/>
      <c r="C352" s="19" t="s">
        <v>526</v>
      </c>
      <c r="D352" s="14" t="s">
        <v>526</v>
      </c>
      <c r="E352" s="14" t="s">
        <v>526</v>
      </c>
      <c r="F352" s="14" t="s">
        <v>526</v>
      </c>
      <c r="G352" s="18" t="s">
        <v>526</v>
      </c>
      <c r="H352" s="14" t="s">
        <v>526</v>
      </c>
      <c r="I352" s="18" t="s">
        <v>526</v>
      </c>
      <c r="J352" s="14">
        <v>350</v>
      </c>
    </row>
    <row r="353" spans="1:10" s="10" customFormat="1" ht="14.45">
      <c r="A353" s="13">
        <v>351</v>
      </c>
      <c r="B353" s="28"/>
      <c r="C353" s="19" t="s">
        <v>526</v>
      </c>
      <c r="D353" s="14" t="s">
        <v>526</v>
      </c>
      <c r="E353" s="14" t="s">
        <v>526</v>
      </c>
      <c r="F353" s="14" t="s">
        <v>526</v>
      </c>
      <c r="G353" s="18" t="s">
        <v>526</v>
      </c>
      <c r="H353" s="14" t="s">
        <v>526</v>
      </c>
      <c r="I353" s="18" t="s">
        <v>526</v>
      </c>
      <c r="J353" s="14">
        <v>351</v>
      </c>
    </row>
    <row r="354" spans="1:10" s="10" customFormat="1" ht="14.45">
      <c r="A354" s="13">
        <v>352</v>
      </c>
      <c r="B354" s="28"/>
      <c r="C354" s="19" t="s">
        <v>526</v>
      </c>
      <c r="D354" s="14" t="s">
        <v>526</v>
      </c>
      <c r="E354" s="14" t="s">
        <v>526</v>
      </c>
      <c r="F354" s="14" t="s">
        <v>526</v>
      </c>
      <c r="G354" s="18" t="s">
        <v>526</v>
      </c>
      <c r="H354" s="14" t="s">
        <v>526</v>
      </c>
      <c r="I354" s="18" t="s">
        <v>526</v>
      </c>
      <c r="J354" s="14">
        <v>352</v>
      </c>
    </row>
    <row r="355" spans="1:10" s="10" customFormat="1" ht="14.45">
      <c r="A355" s="13">
        <v>353</v>
      </c>
      <c r="B355" s="28"/>
      <c r="C355" s="19" t="s">
        <v>526</v>
      </c>
      <c r="D355" s="14" t="s">
        <v>526</v>
      </c>
      <c r="E355" s="14" t="s">
        <v>526</v>
      </c>
      <c r="F355" s="14" t="s">
        <v>526</v>
      </c>
      <c r="G355" s="18" t="s">
        <v>526</v>
      </c>
      <c r="H355" s="14" t="s">
        <v>526</v>
      </c>
      <c r="I355" s="18" t="s">
        <v>526</v>
      </c>
      <c r="J355" s="14">
        <v>353</v>
      </c>
    </row>
    <row r="356" spans="1:10" s="10" customFormat="1" ht="14.45">
      <c r="A356" s="13">
        <v>354</v>
      </c>
      <c r="B356" s="28"/>
      <c r="C356" s="19" t="s">
        <v>526</v>
      </c>
      <c r="D356" s="14" t="s">
        <v>526</v>
      </c>
      <c r="E356" s="14" t="s">
        <v>526</v>
      </c>
      <c r="F356" s="14" t="s">
        <v>526</v>
      </c>
      <c r="G356" s="18" t="s">
        <v>526</v>
      </c>
      <c r="H356" s="14" t="s">
        <v>526</v>
      </c>
      <c r="I356" s="18" t="s">
        <v>526</v>
      </c>
      <c r="J356" s="14">
        <v>354</v>
      </c>
    </row>
    <row r="357" spans="1:10" s="10" customFormat="1" ht="14.45">
      <c r="A357" s="13">
        <v>355</v>
      </c>
      <c r="B357" s="28"/>
      <c r="C357" s="19" t="s">
        <v>526</v>
      </c>
      <c r="D357" s="14" t="s">
        <v>526</v>
      </c>
      <c r="E357" s="14" t="s">
        <v>526</v>
      </c>
      <c r="F357" s="14" t="s">
        <v>526</v>
      </c>
      <c r="G357" s="18" t="s">
        <v>526</v>
      </c>
      <c r="H357" s="14" t="s">
        <v>526</v>
      </c>
      <c r="I357" s="18" t="s">
        <v>526</v>
      </c>
      <c r="J357" s="14">
        <v>355</v>
      </c>
    </row>
    <row r="358" spans="1:10" s="10" customFormat="1" ht="14.45">
      <c r="A358" s="13">
        <v>356</v>
      </c>
      <c r="B358" s="28"/>
      <c r="C358" s="19" t="s">
        <v>526</v>
      </c>
      <c r="D358" s="14" t="s">
        <v>526</v>
      </c>
      <c r="E358" s="14" t="s">
        <v>526</v>
      </c>
      <c r="F358" s="14" t="s">
        <v>526</v>
      </c>
      <c r="G358" s="18" t="s">
        <v>526</v>
      </c>
      <c r="H358" s="14" t="s">
        <v>526</v>
      </c>
      <c r="I358" s="18" t="s">
        <v>526</v>
      </c>
      <c r="J358" s="14">
        <v>356</v>
      </c>
    </row>
    <row r="359" spans="1:10" s="10" customFormat="1" ht="14.45">
      <c r="A359" s="13">
        <v>357</v>
      </c>
      <c r="B359" s="28"/>
      <c r="C359" s="19" t="s">
        <v>526</v>
      </c>
      <c r="D359" s="14" t="s">
        <v>526</v>
      </c>
      <c r="E359" s="14" t="s">
        <v>526</v>
      </c>
      <c r="F359" s="14" t="s">
        <v>526</v>
      </c>
      <c r="G359" s="18" t="s">
        <v>526</v>
      </c>
      <c r="H359" s="14" t="s">
        <v>526</v>
      </c>
      <c r="I359" s="18" t="s">
        <v>526</v>
      </c>
      <c r="J359" s="14">
        <v>357</v>
      </c>
    </row>
    <row r="360" spans="1:10" s="10" customFormat="1" ht="14.45">
      <c r="A360" s="13">
        <v>358</v>
      </c>
      <c r="B360" s="28"/>
      <c r="C360" s="19" t="s">
        <v>526</v>
      </c>
      <c r="D360" s="14" t="s">
        <v>526</v>
      </c>
      <c r="E360" s="14" t="s">
        <v>526</v>
      </c>
      <c r="F360" s="14" t="s">
        <v>526</v>
      </c>
      <c r="G360" s="18" t="s">
        <v>526</v>
      </c>
      <c r="H360" s="14" t="s">
        <v>526</v>
      </c>
      <c r="I360" s="18" t="s">
        <v>526</v>
      </c>
      <c r="J360" s="14">
        <v>358</v>
      </c>
    </row>
    <row r="361" spans="1:10" s="10" customFormat="1" ht="14.45">
      <c r="A361" s="13">
        <v>359</v>
      </c>
      <c r="B361" s="28"/>
      <c r="C361" s="19" t="s">
        <v>526</v>
      </c>
      <c r="D361" s="14" t="s">
        <v>526</v>
      </c>
      <c r="E361" s="14" t="s">
        <v>526</v>
      </c>
      <c r="F361" s="14" t="s">
        <v>526</v>
      </c>
      <c r="G361" s="18" t="s">
        <v>526</v>
      </c>
      <c r="H361" s="14" t="s">
        <v>526</v>
      </c>
      <c r="I361" s="18" t="s">
        <v>526</v>
      </c>
      <c r="J361" s="14">
        <v>359</v>
      </c>
    </row>
    <row r="362" spans="1:10" s="10" customFormat="1" ht="14.45">
      <c r="A362" s="13">
        <v>360</v>
      </c>
      <c r="B362" s="28"/>
      <c r="C362" s="19" t="s">
        <v>526</v>
      </c>
      <c r="D362" s="14" t="s">
        <v>526</v>
      </c>
      <c r="E362" s="14" t="s">
        <v>526</v>
      </c>
      <c r="F362" s="14" t="s">
        <v>526</v>
      </c>
      <c r="G362" s="18" t="s">
        <v>526</v>
      </c>
      <c r="H362" s="14" t="s">
        <v>526</v>
      </c>
      <c r="I362" s="18" t="s">
        <v>526</v>
      </c>
      <c r="J362" s="14">
        <v>360</v>
      </c>
    </row>
    <row r="363" spans="1:10" s="10" customFormat="1" ht="14.45">
      <c r="A363" s="13">
        <v>361</v>
      </c>
      <c r="B363" s="28"/>
      <c r="C363" s="19" t="s">
        <v>526</v>
      </c>
      <c r="D363" s="14" t="s">
        <v>526</v>
      </c>
      <c r="E363" s="14" t="s">
        <v>526</v>
      </c>
      <c r="F363" s="14" t="s">
        <v>526</v>
      </c>
      <c r="G363" s="18" t="s">
        <v>526</v>
      </c>
      <c r="H363" s="14" t="s">
        <v>526</v>
      </c>
      <c r="I363" s="18" t="s">
        <v>526</v>
      </c>
      <c r="J363" s="14">
        <v>361</v>
      </c>
    </row>
    <row r="364" spans="1:10" s="10" customFormat="1" ht="14.45">
      <c r="A364" s="13">
        <v>362</v>
      </c>
      <c r="B364" s="28"/>
      <c r="C364" s="19" t="s">
        <v>526</v>
      </c>
      <c r="D364" s="14" t="s">
        <v>526</v>
      </c>
      <c r="E364" s="14" t="s">
        <v>526</v>
      </c>
      <c r="F364" s="14" t="s">
        <v>526</v>
      </c>
      <c r="G364" s="18" t="s">
        <v>526</v>
      </c>
      <c r="H364" s="14" t="s">
        <v>526</v>
      </c>
      <c r="I364" s="18" t="s">
        <v>526</v>
      </c>
      <c r="J364" s="14">
        <v>362</v>
      </c>
    </row>
    <row r="365" spans="1:10" s="10" customFormat="1" ht="14.45">
      <c r="A365" s="13">
        <v>363</v>
      </c>
      <c r="B365" s="28"/>
      <c r="C365" s="19" t="s">
        <v>526</v>
      </c>
      <c r="D365" s="14" t="s">
        <v>526</v>
      </c>
      <c r="E365" s="14" t="s">
        <v>526</v>
      </c>
      <c r="F365" s="14" t="s">
        <v>526</v>
      </c>
      <c r="G365" s="18" t="s">
        <v>526</v>
      </c>
      <c r="H365" s="14" t="s">
        <v>526</v>
      </c>
      <c r="I365" s="18" t="s">
        <v>526</v>
      </c>
      <c r="J365" s="14">
        <v>363</v>
      </c>
    </row>
    <row r="366" spans="1:10" s="10" customFormat="1" ht="14.45">
      <c r="A366" s="13">
        <v>364</v>
      </c>
      <c r="B366" s="28"/>
      <c r="C366" s="19" t="s">
        <v>526</v>
      </c>
      <c r="D366" s="14" t="s">
        <v>526</v>
      </c>
      <c r="E366" s="14" t="s">
        <v>526</v>
      </c>
      <c r="F366" s="14" t="s">
        <v>526</v>
      </c>
      <c r="G366" s="18" t="s">
        <v>526</v>
      </c>
      <c r="H366" s="14" t="s">
        <v>526</v>
      </c>
      <c r="I366" s="18" t="s">
        <v>526</v>
      </c>
      <c r="J366" s="14">
        <v>364</v>
      </c>
    </row>
    <row r="367" spans="1:10" s="10" customFormat="1" ht="14.45">
      <c r="A367" s="13">
        <v>365</v>
      </c>
      <c r="B367" s="28"/>
      <c r="C367" s="19" t="s">
        <v>526</v>
      </c>
      <c r="D367" s="14" t="s">
        <v>526</v>
      </c>
      <c r="E367" s="14" t="s">
        <v>526</v>
      </c>
      <c r="F367" s="14" t="s">
        <v>526</v>
      </c>
      <c r="G367" s="18" t="s">
        <v>526</v>
      </c>
      <c r="H367" s="14" t="s">
        <v>526</v>
      </c>
      <c r="I367" s="18" t="s">
        <v>526</v>
      </c>
      <c r="J367" s="14">
        <v>365</v>
      </c>
    </row>
    <row r="368" spans="1:10" s="10" customFormat="1" ht="14.45">
      <c r="A368" s="13">
        <v>366</v>
      </c>
      <c r="B368" s="28"/>
      <c r="C368" s="19" t="s">
        <v>526</v>
      </c>
      <c r="D368" s="14" t="s">
        <v>526</v>
      </c>
      <c r="E368" s="14" t="s">
        <v>526</v>
      </c>
      <c r="F368" s="14" t="s">
        <v>526</v>
      </c>
      <c r="G368" s="18" t="s">
        <v>526</v>
      </c>
      <c r="H368" s="14" t="s">
        <v>526</v>
      </c>
      <c r="I368" s="18" t="s">
        <v>526</v>
      </c>
      <c r="J368" s="14">
        <v>366</v>
      </c>
    </row>
    <row r="369" spans="1:10" s="10" customFormat="1" ht="14.45">
      <c r="A369" s="13">
        <v>367</v>
      </c>
      <c r="B369" s="28"/>
      <c r="C369" s="19" t="s">
        <v>526</v>
      </c>
      <c r="D369" s="14" t="s">
        <v>526</v>
      </c>
      <c r="E369" s="14" t="s">
        <v>526</v>
      </c>
      <c r="F369" s="14" t="s">
        <v>526</v>
      </c>
      <c r="G369" s="18" t="s">
        <v>526</v>
      </c>
      <c r="H369" s="14" t="s">
        <v>526</v>
      </c>
      <c r="I369" s="18" t="s">
        <v>526</v>
      </c>
      <c r="J369" s="14">
        <v>367</v>
      </c>
    </row>
    <row r="370" spans="1:10" s="10" customFormat="1" ht="14.45">
      <c r="A370" s="13">
        <v>368</v>
      </c>
      <c r="B370" s="28"/>
      <c r="C370" s="19" t="s">
        <v>526</v>
      </c>
      <c r="D370" s="14" t="s">
        <v>526</v>
      </c>
      <c r="E370" s="14" t="s">
        <v>526</v>
      </c>
      <c r="F370" s="14" t="s">
        <v>526</v>
      </c>
      <c r="G370" s="18" t="s">
        <v>526</v>
      </c>
      <c r="H370" s="14" t="s">
        <v>526</v>
      </c>
      <c r="I370" s="18" t="s">
        <v>526</v>
      </c>
      <c r="J370" s="14">
        <v>368</v>
      </c>
    </row>
    <row r="371" spans="1:10" s="10" customFormat="1" ht="14.45">
      <c r="A371" s="13">
        <v>369</v>
      </c>
      <c r="B371" s="28"/>
      <c r="C371" s="19" t="s">
        <v>526</v>
      </c>
      <c r="D371" s="14" t="s">
        <v>526</v>
      </c>
      <c r="E371" s="14" t="s">
        <v>526</v>
      </c>
      <c r="F371" s="14" t="s">
        <v>526</v>
      </c>
      <c r="G371" s="18" t="s">
        <v>526</v>
      </c>
      <c r="H371" s="14" t="s">
        <v>526</v>
      </c>
      <c r="I371" s="18" t="s">
        <v>526</v>
      </c>
      <c r="J371" s="14">
        <v>369</v>
      </c>
    </row>
    <row r="372" spans="1:10" s="10" customFormat="1" ht="14.45">
      <c r="A372" s="13">
        <v>370</v>
      </c>
      <c r="B372" s="28"/>
      <c r="C372" s="19" t="s">
        <v>526</v>
      </c>
      <c r="D372" s="14" t="s">
        <v>526</v>
      </c>
      <c r="E372" s="14" t="s">
        <v>526</v>
      </c>
      <c r="F372" s="14" t="s">
        <v>526</v>
      </c>
      <c r="G372" s="18" t="s">
        <v>526</v>
      </c>
      <c r="H372" s="14" t="s">
        <v>526</v>
      </c>
      <c r="I372" s="18" t="s">
        <v>526</v>
      </c>
      <c r="J372" s="14">
        <v>370</v>
      </c>
    </row>
    <row r="373" spans="1:10" s="10" customFormat="1" ht="14.45">
      <c r="A373" s="13">
        <v>371</v>
      </c>
      <c r="B373" s="28"/>
      <c r="C373" s="19" t="s">
        <v>526</v>
      </c>
      <c r="D373" s="14" t="s">
        <v>526</v>
      </c>
      <c r="E373" s="14" t="s">
        <v>526</v>
      </c>
      <c r="F373" s="14" t="s">
        <v>526</v>
      </c>
      <c r="G373" s="18" t="s">
        <v>526</v>
      </c>
      <c r="H373" s="14" t="s">
        <v>526</v>
      </c>
      <c r="I373" s="18" t="s">
        <v>526</v>
      </c>
      <c r="J373" s="14">
        <v>371</v>
      </c>
    </row>
    <row r="374" spans="1:10" s="10" customFormat="1" ht="14.45">
      <c r="A374" s="13">
        <v>372</v>
      </c>
      <c r="B374" s="28"/>
      <c r="C374" s="19" t="s">
        <v>526</v>
      </c>
      <c r="D374" s="14" t="s">
        <v>526</v>
      </c>
      <c r="E374" s="14" t="s">
        <v>526</v>
      </c>
      <c r="F374" s="14" t="s">
        <v>526</v>
      </c>
      <c r="G374" s="18" t="s">
        <v>526</v>
      </c>
      <c r="H374" s="14" t="s">
        <v>526</v>
      </c>
      <c r="I374" s="18" t="s">
        <v>526</v>
      </c>
      <c r="J374" s="14">
        <v>372</v>
      </c>
    </row>
    <row r="375" spans="1:10" s="10" customFormat="1" ht="14.45">
      <c r="A375" s="13">
        <v>373</v>
      </c>
      <c r="B375" s="28"/>
      <c r="C375" s="19" t="s">
        <v>526</v>
      </c>
      <c r="D375" s="14" t="s">
        <v>526</v>
      </c>
      <c r="E375" s="14" t="s">
        <v>526</v>
      </c>
      <c r="F375" s="14" t="s">
        <v>526</v>
      </c>
      <c r="G375" s="18" t="s">
        <v>526</v>
      </c>
      <c r="H375" s="14" t="s">
        <v>526</v>
      </c>
      <c r="I375" s="18" t="s">
        <v>526</v>
      </c>
      <c r="J375" s="14">
        <v>373</v>
      </c>
    </row>
    <row r="376" spans="1:10" s="10" customFormat="1" ht="14.45">
      <c r="A376" s="13">
        <v>374</v>
      </c>
      <c r="B376" s="28"/>
      <c r="C376" s="19" t="s">
        <v>526</v>
      </c>
      <c r="D376" s="14" t="s">
        <v>526</v>
      </c>
      <c r="E376" s="14" t="s">
        <v>526</v>
      </c>
      <c r="F376" s="14" t="s">
        <v>526</v>
      </c>
      <c r="G376" s="18" t="s">
        <v>526</v>
      </c>
      <c r="H376" s="14" t="s">
        <v>526</v>
      </c>
      <c r="I376" s="18" t="s">
        <v>526</v>
      </c>
      <c r="J376" s="14">
        <v>374</v>
      </c>
    </row>
    <row r="377" spans="1:10" s="10" customFormat="1" ht="14.45">
      <c r="A377" s="13">
        <v>375</v>
      </c>
      <c r="B377" s="28"/>
      <c r="C377" s="19" t="s">
        <v>526</v>
      </c>
      <c r="D377" s="14" t="s">
        <v>526</v>
      </c>
      <c r="E377" s="14" t="s">
        <v>526</v>
      </c>
      <c r="F377" s="14" t="s">
        <v>526</v>
      </c>
      <c r="G377" s="18" t="s">
        <v>526</v>
      </c>
      <c r="H377" s="14" t="s">
        <v>526</v>
      </c>
      <c r="I377" s="18" t="s">
        <v>526</v>
      </c>
      <c r="J377" s="14">
        <v>375</v>
      </c>
    </row>
    <row r="378" spans="1:10" s="10" customFormat="1" ht="14.45">
      <c r="A378" s="13">
        <v>376</v>
      </c>
      <c r="B378" s="28"/>
      <c r="C378" s="19" t="s">
        <v>526</v>
      </c>
      <c r="D378" s="14" t="s">
        <v>526</v>
      </c>
      <c r="E378" s="14" t="s">
        <v>526</v>
      </c>
      <c r="F378" s="14" t="s">
        <v>526</v>
      </c>
      <c r="G378" s="18" t="s">
        <v>526</v>
      </c>
      <c r="H378" s="14" t="s">
        <v>526</v>
      </c>
      <c r="I378" s="18" t="s">
        <v>526</v>
      </c>
      <c r="J378" s="14">
        <v>376</v>
      </c>
    </row>
    <row r="379" spans="1:10" s="10" customFormat="1" ht="14.45">
      <c r="A379" s="13">
        <v>377</v>
      </c>
      <c r="B379" s="28"/>
      <c r="C379" s="19" t="s">
        <v>526</v>
      </c>
      <c r="D379" s="14" t="s">
        <v>526</v>
      </c>
      <c r="E379" s="14" t="s">
        <v>526</v>
      </c>
      <c r="F379" s="14" t="s">
        <v>526</v>
      </c>
      <c r="G379" s="18" t="s">
        <v>526</v>
      </c>
      <c r="H379" s="14" t="s">
        <v>526</v>
      </c>
      <c r="I379" s="18" t="s">
        <v>526</v>
      </c>
      <c r="J379" s="14">
        <v>377</v>
      </c>
    </row>
    <row r="380" spans="1:10" s="10" customFormat="1" ht="14.45">
      <c r="A380" s="13">
        <v>378</v>
      </c>
      <c r="B380" s="28"/>
      <c r="C380" s="19" t="s">
        <v>526</v>
      </c>
      <c r="D380" s="14" t="s">
        <v>526</v>
      </c>
      <c r="E380" s="14" t="s">
        <v>526</v>
      </c>
      <c r="F380" s="14" t="s">
        <v>526</v>
      </c>
      <c r="G380" s="18" t="s">
        <v>526</v>
      </c>
      <c r="H380" s="14" t="s">
        <v>526</v>
      </c>
      <c r="I380" s="18" t="s">
        <v>526</v>
      </c>
      <c r="J380" s="14">
        <v>378</v>
      </c>
    </row>
    <row r="381" spans="1:10" s="10" customFormat="1" ht="14.45">
      <c r="A381" s="13">
        <v>379</v>
      </c>
      <c r="B381" s="28"/>
      <c r="C381" s="19" t="s">
        <v>526</v>
      </c>
      <c r="D381" s="14" t="s">
        <v>526</v>
      </c>
      <c r="E381" s="14" t="s">
        <v>526</v>
      </c>
      <c r="F381" s="14" t="s">
        <v>526</v>
      </c>
      <c r="G381" s="18" t="s">
        <v>526</v>
      </c>
      <c r="H381" s="14" t="s">
        <v>526</v>
      </c>
      <c r="I381" s="18" t="s">
        <v>526</v>
      </c>
      <c r="J381" s="14">
        <v>379</v>
      </c>
    </row>
    <row r="382" spans="1:10" s="10" customFormat="1" ht="14.45">
      <c r="A382" s="13">
        <v>380</v>
      </c>
      <c r="B382" s="28"/>
      <c r="C382" s="19" t="s">
        <v>526</v>
      </c>
      <c r="D382" s="14" t="s">
        <v>526</v>
      </c>
      <c r="E382" s="14" t="s">
        <v>526</v>
      </c>
      <c r="F382" s="14" t="s">
        <v>526</v>
      </c>
      <c r="G382" s="18" t="s">
        <v>526</v>
      </c>
      <c r="H382" s="14" t="s">
        <v>526</v>
      </c>
      <c r="I382" s="18" t="s">
        <v>526</v>
      </c>
      <c r="J382" s="14">
        <v>380</v>
      </c>
    </row>
    <row r="383" spans="1:10" s="10" customFormat="1" ht="14.45">
      <c r="A383" s="13">
        <v>381</v>
      </c>
      <c r="B383" s="28"/>
      <c r="C383" s="19" t="s">
        <v>526</v>
      </c>
      <c r="D383" s="14" t="s">
        <v>526</v>
      </c>
      <c r="E383" s="14" t="s">
        <v>526</v>
      </c>
      <c r="F383" s="14" t="s">
        <v>526</v>
      </c>
      <c r="G383" s="18" t="s">
        <v>526</v>
      </c>
      <c r="H383" s="14" t="s">
        <v>526</v>
      </c>
      <c r="I383" s="18" t="s">
        <v>526</v>
      </c>
      <c r="J383" s="14">
        <v>381</v>
      </c>
    </row>
    <row r="384" spans="1:10" s="10" customFormat="1" ht="14.45">
      <c r="A384" s="13">
        <v>382</v>
      </c>
      <c r="B384" s="28"/>
      <c r="C384" s="19" t="s">
        <v>526</v>
      </c>
      <c r="D384" s="14" t="s">
        <v>526</v>
      </c>
      <c r="E384" s="14" t="s">
        <v>526</v>
      </c>
      <c r="F384" s="14" t="s">
        <v>526</v>
      </c>
      <c r="G384" s="18" t="s">
        <v>526</v>
      </c>
      <c r="H384" s="14" t="s">
        <v>526</v>
      </c>
      <c r="I384" s="18" t="s">
        <v>526</v>
      </c>
      <c r="J384" s="14">
        <v>382</v>
      </c>
    </row>
    <row r="385" spans="1:10" s="10" customFormat="1" ht="14.45">
      <c r="A385" s="13">
        <v>383</v>
      </c>
      <c r="B385" s="28"/>
      <c r="C385" s="19" t="s">
        <v>526</v>
      </c>
      <c r="D385" s="14" t="s">
        <v>526</v>
      </c>
      <c r="E385" s="14" t="s">
        <v>526</v>
      </c>
      <c r="F385" s="14" t="s">
        <v>526</v>
      </c>
      <c r="G385" s="18" t="s">
        <v>526</v>
      </c>
      <c r="H385" s="14" t="s">
        <v>526</v>
      </c>
      <c r="I385" s="18" t="s">
        <v>526</v>
      </c>
      <c r="J385" s="14">
        <v>383</v>
      </c>
    </row>
    <row r="386" spans="1:10" s="10" customFormat="1" ht="14.45">
      <c r="A386" s="13">
        <v>384</v>
      </c>
      <c r="B386" s="28"/>
      <c r="C386" s="19" t="s">
        <v>526</v>
      </c>
      <c r="D386" s="14" t="s">
        <v>526</v>
      </c>
      <c r="E386" s="14" t="s">
        <v>526</v>
      </c>
      <c r="F386" s="14" t="s">
        <v>526</v>
      </c>
      <c r="G386" s="18" t="s">
        <v>526</v>
      </c>
      <c r="H386" s="14" t="s">
        <v>526</v>
      </c>
      <c r="I386" s="18" t="s">
        <v>526</v>
      </c>
      <c r="J386" s="14">
        <v>384</v>
      </c>
    </row>
    <row r="387" spans="1:10" s="10" customFormat="1" ht="14.45">
      <c r="A387" s="13">
        <v>385</v>
      </c>
      <c r="B387" s="28"/>
      <c r="C387" s="19" t="s">
        <v>526</v>
      </c>
      <c r="D387" s="14" t="s">
        <v>526</v>
      </c>
      <c r="E387" s="14" t="s">
        <v>526</v>
      </c>
      <c r="F387" s="14" t="s">
        <v>526</v>
      </c>
      <c r="G387" s="18" t="s">
        <v>526</v>
      </c>
      <c r="H387" s="14" t="s">
        <v>526</v>
      </c>
      <c r="I387" s="18" t="s">
        <v>526</v>
      </c>
      <c r="J387" s="14">
        <v>385</v>
      </c>
    </row>
    <row r="388" spans="1:10" s="10" customFormat="1" ht="14.45">
      <c r="A388" s="13">
        <v>386</v>
      </c>
      <c r="B388" s="28"/>
      <c r="C388" s="19" t="s">
        <v>526</v>
      </c>
      <c r="D388" s="14" t="s">
        <v>526</v>
      </c>
      <c r="E388" s="14" t="s">
        <v>526</v>
      </c>
      <c r="F388" s="14" t="s">
        <v>526</v>
      </c>
      <c r="G388" s="18" t="s">
        <v>526</v>
      </c>
      <c r="H388" s="14" t="s">
        <v>526</v>
      </c>
      <c r="I388" s="18" t="s">
        <v>526</v>
      </c>
      <c r="J388" s="14">
        <v>386</v>
      </c>
    </row>
    <row r="389" spans="1:10" s="10" customFormat="1" ht="14.45">
      <c r="A389" s="13">
        <v>387</v>
      </c>
      <c r="B389" s="28"/>
      <c r="C389" s="19" t="s">
        <v>526</v>
      </c>
      <c r="D389" s="14" t="s">
        <v>526</v>
      </c>
      <c r="E389" s="14" t="s">
        <v>526</v>
      </c>
      <c r="F389" s="14" t="s">
        <v>526</v>
      </c>
      <c r="G389" s="18" t="s">
        <v>526</v>
      </c>
      <c r="H389" s="14" t="s">
        <v>526</v>
      </c>
      <c r="I389" s="18" t="s">
        <v>526</v>
      </c>
      <c r="J389" s="14">
        <v>387</v>
      </c>
    </row>
    <row r="390" spans="1:10" s="10" customFormat="1" ht="14.45">
      <c r="A390" s="13">
        <v>388</v>
      </c>
      <c r="B390" s="28"/>
      <c r="C390" s="19" t="s">
        <v>526</v>
      </c>
      <c r="D390" s="14" t="s">
        <v>526</v>
      </c>
      <c r="E390" s="14" t="s">
        <v>526</v>
      </c>
      <c r="F390" s="14" t="s">
        <v>526</v>
      </c>
      <c r="G390" s="18" t="s">
        <v>526</v>
      </c>
      <c r="H390" s="14" t="s">
        <v>526</v>
      </c>
      <c r="I390" s="18" t="s">
        <v>526</v>
      </c>
      <c r="J390" s="14">
        <v>388</v>
      </c>
    </row>
    <row r="391" spans="1:10" s="10" customFormat="1" ht="14.45">
      <c r="A391" s="13">
        <v>389</v>
      </c>
      <c r="B391" s="28"/>
      <c r="C391" s="19" t="s">
        <v>526</v>
      </c>
      <c r="D391" s="14" t="s">
        <v>526</v>
      </c>
      <c r="E391" s="14" t="s">
        <v>526</v>
      </c>
      <c r="F391" s="14" t="s">
        <v>526</v>
      </c>
      <c r="G391" s="18" t="s">
        <v>526</v>
      </c>
      <c r="H391" s="14" t="s">
        <v>526</v>
      </c>
      <c r="I391" s="18" t="s">
        <v>526</v>
      </c>
      <c r="J391" s="14">
        <v>389</v>
      </c>
    </row>
    <row r="392" spans="1:10" s="10" customFormat="1" ht="14.45">
      <c r="A392" s="13">
        <v>390</v>
      </c>
      <c r="B392" s="28"/>
      <c r="C392" s="19" t="s">
        <v>526</v>
      </c>
      <c r="D392" s="14" t="s">
        <v>526</v>
      </c>
      <c r="E392" s="14" t="s">
        <v>526</v>
      </c>
      <c r="F392" s="14" t="s">
        <v>526</v>
      </c>
      <c r="G392" s="18" t="s">
        <v>526</v>
      </c>
      <c r="H392" s="14" t="s">
        <v>526</v>
      </c>
      <c r="I392" s="18" t="s">
        <v>526</v>
      </c>
      <c r="J392" s="14">
        <v>390</v>
      </c>
    </row>
    <row r="393" spans="1:10" s="10" customFormat="1" ht="14.45">
      <c r="A393" s="13">
        <v>391</v>
      </c>
      <c r="B393" s="28"/>
      <c r="C393" s="19" t="s">
        <v>526</v>
      </c>
      <c r="D393" s="14" t="s">
        <v>526</v>
      </c>
      <c r="E393" s="14" t="s">
        <v>526</v>
      </c>
      <c r="F393" s="14" t="s">
        <v>526</v>
      </c>
      <c r="G393" s="18" t="s">
        <v>526</v>
      </c>
      <c r="H393" s="14" t="s">
        <v>526</v>
      </c>
      <c r="I393" s="18" t="s">
        <v>526</v>
      </c>
      <c r="J393" s="14">
        <v>391</v>
      </c>
    </row>
    <row r="394" spans="1:10" s="10" customFormat="1" ht="14.45">
      <c r="A394" s="13">
        <v>392</v>
      </c>
      <c r="B394" s="28"/>
      <c r="C394" s="19" t="s">
        <v>526</v>
      </c>
      <c r="D394" s="14" t="s">
        <v>526</v>
      </c>
      <c r="E394" s="14" t="s">
        <v>526</v>
      </c>
      <c r="F394" s="14" t="s">
        <v>526</v>
      </c>
      <c r="G394" s="18" t="s">
        <v>526</v>
      </c>
      <c r="H394" s="14" t="s">
        <v>526</v>
      </c>
      <c r="I394" s="18" t="s">
        <v>526</v>
      </c>
      <c r="J394" s="14">
        <v>392</v>
      </c>
    </row>
    <row r="395" spans="1:10" s="10" customFormat="1" ht="14.45">
      <c r="A395" s="13">
        <v>393</v>
      </c>
      <c r="B395" s="28"/>
      <c r="C395" s="19" t="s">
        <v>526</v>
      </c>
      <c r="D395" s="14" t="s">
        <v>526</v>
      </c>
      <c r="E395" s="14" t="s">
        <v>526</v>
      </c>
      <c r="F395" s="14" t="s">
        <v>526</v>
      </c>
      <c r="G395" s="18" t="s">
        <v>526</v>
      </c>
      <c r="H395" s="14" t="s">
        <v>526</v>
      </c>
      <c r="I395" s="18" t="s">
        <v>526</v>
      </c>
      <c r="J395" s="14">
        <v>393</v>
      </c>
    </row>
    <row r="396" spans="1:10" s="10" customFormat="1" ht="14.45">
      <c r="A396" s="13">
        <v>394</v>
      </c>
      <c r="B396" s="28"/>
      <c r="C396" s="19" t="s">
        <v>526</v>
      </c>
      <c r="D396" s="14" t="s">
        <v>526</v>
      </c>
      <c r="E396" s="14" t="s">
        <v>526</v>
      </c>
      <c r="F396" s="14" t="s">
        <v>526</v>
      </c>
      <c r="G396" s="18" t="s">
        <v>526</v>
      </c>
      <c r="H396" s="14" t="s">
        <v>526</v>
      </c>
      <c r="I396" s="18" t="s">
        <v>526</v>
      </c>
      <c r="J396" s="14">
        <v>394</v>
      </c>
    </row>
    <row r="397" spans="1:10" s="10" customFormat="1" ht="14.45">
      <c r="A397" s="13">
        <v>395</v>
      </c>
      <c r="B397" s="28"/>
      <c r="C397" s="19" t="s">
        <v>526</v>
      </c>
      <c r="D397" s="14" t="s">
        <v>526</v>
      </c>
      <c r="E397" s="14" t="s">
        <v>526</v>
      </c>
      <c r="F397" s="14" t="s">
        <v>526</v>
      </c>
      <c r="G397" s="18" t="s">
        <v>526</v>
      </c>
      <c r="H397" s="14" t="s">
        <v>526</v>
      </c>
      <c r="I397" s="18" t="s">
        <v>526</v>
      </c>
      <c r="J397" s="14">
        <v>395</v>
      </c>
    </row>
    <row r="398" spans="1:10" s="10" customFormat="1" ht="14.45">
      <c r="A398" s="13">
        <v>396</v>
      </c>
      <c r="B398" s="28"/>
      <c r="C398" s="19" t="s">
        <v>526</v>
      </c>
      <c r="D398" s="14" t="s">
        <v>526</v>
      </c>
      <c r="E398" s="14" t="s">
        <v>526</v>
      </c>
      <c r="F398" s="14" t="s">
        <v>526</v>
      </c>
      <c r="G398" s="18" t="s">
        <v>526</v>
      </c>
      <c r="H398" s="14" t="s">
        <v>526</v>
      </c>
      <c r="I398" s="18" t="s">
        <v>526</v>
      </c>
      <c r="J398" s="14">
        <v>396</v>
      </c>
    </row>
    <row r="399" spans="1:10" s="10" customFormat="1" ht="14.45">
      <c r="A399" s="13">
        <v>397</v>
      </c>
      <c r="B399" s="28"/>
      <c r="C399" s="19" t="s">
        <v>526</v>
      </c>
      <c r="D399" s="14" t="s">
        <v>526</v>
      </c>
      <c r="E399" s="14" t="s">
        <v>526</v>
      </c>
      <c r="F399" s="14" t="s">
        <v>526</v>
      </c>
      <c r="G399" s="18" t="s">
        <v>526</v>
      </c>
      <c r="H399" s="14" t="s">
        <v>526</v>
      </c>
      <c r="I399" s="18" t="s">
        <v>526</v>
      </c>
      <c r="J399" s="14">
        <v>397</v>
      </c>
    </row>
    <row r="400" spans="1:10" s="10" customFormat="1" ht="14.45">
      <c r="A400" s="13">
        <v>398</v>
      </c>
      <c r="B400" s="28"/>
      <c r="C400" s="19" t="s">
        <v>526</v>
      </c>
      <c r="D400" s="14" t="s">
        <v>526</v>
      </c>
      <c r="E400" s="14" t="s">
        <v>526</v>
      </c>
      <c r="F400" s="14" t="s">
        <v>526</v>
      </c>
      <c r="G400" s="18" t="s">
        <v>526</v>
      </c>
      <c r="H400" s="14" t="s">
        <v>526</v>
      </c>
      <c r="I400" s="18" t="s">
        <v>526</v>
      </c>
      <c r="J400" s="14">
        <v>398</v>
      </c>
    </row>
    <row r="401" spans="1:10" s="10" customFormat="1" ht="14.45">
      <c r="A401" s="13">
        <v>399</v>
      </c>
      <c r="B401" s="28"/>
      <c r="C401" s="19" t="s">
        <v>526</v>
      </c>
      <c r="D401" s="14" t="s">
        <v>526</v>
      </c>
      <c r="E401" s="14" t="s">
        <v>526</v>
      </c>
      <c r="F401" s="14" t="s">
        <v>526</v>
      </c>
      <c r="G401" s="18" t="s">
        <v>526</v>
      </c>
      <c r="H401" s="14" t="s">
        <v>526</v>
      </c>
      <c r="I401" s="18" t="s">
        <v>526</v>
      </c>
      <c r="J401" s="14">
        <v>399</v>
      </c>
    </row>
    <row r="402" spans="1:10" s="10" customFormat="1" ht="14.45">
      <c r="A402" s="13">
        <v>400</v>
      </c>
      <c r="B402" s="28"/>
      <c r="C402" s="19" t="s">
        <v>526</v>
      </c>
      <c r="D402" s="14" t="s">
        <v>526</v>
      </c>
      <c r="E402" s="14" t="s">
        <v>526</v>
      </c>
      <c r="F402" s="14" t="s">
        <v>526</v>
      </c>
      <c r="G402" s="18" t="s">
        <v>526</v>
      </c>
      <c r="H402" s="14" t="s">
        <v>526</v>
      </c>
      <c r="I402" s="18" t="s">
        <v>526</v>
      </c>
      <c r="J402" s="14">
        <v>400</v>
      </c>
    </row>
    <row r="403" spans="1:10" s="10" customFormat="1" ht="14.45">
      <c r="A403" s="13">
        <v>401</v>
      </c>
      <c r="B403" s="28"/>
      <c r="C403" s="19" t="s">
        <v>526</v>
      </c>
      <c r="D403" s="14" t="s">
        <v>526</v>
      </c>
      <c r="E403" s="14" t="s">
        <v>526</v>
      </c>
      <c r="F403" s="14" t="s">
        <v>526</v>
      </c>
      <c r="G403" s="18" t="s">
        <v>526</v>
      </c>
      <c r="H403" s="14" t="s">
        <v>526</v>
      </c>
      <c r="I403" s="18" t="s">
        <v>526</v>
      </c>
      <c r="J403" s="14">
        <v>401</v>
      </c>
    </row>
    <row r="404" spans="1:10" s="10" customFormat="1" ht="14.45">
      <c r="A404" s="13">
        <v>402</v>
      </c>
      <c r="B404" s="28"/>
      <c r="C404" s="19" t="s">
        <v>526</v>
      </c>
      <c r="D404" s="14" t="s">
        <v>526</v>
      </c>
      <c r="E404" s="14" t="s">
        <v>526</v>
      </c>
      <c r="F404" s="14" t="s">
        <v>526</v>
      </c>
      <c r="G404" s="18" t="s">
        <v>526</v>
      </c>
      <c r="H404" s="14" t="s">
        <v>526</v>
      </c>
      <c r="I404" s="18" t="s">
        <v>526</v>
      </c>
      <c r="J404" s="14">
        <v>402</v>
      </c>
    </row>
    <row r="405" spans="1:10" s="10" customFormat="1" ht="14.45">
      <c r="A405" s="13">
        <v>403</v>
      </c>
      <c r="B405" s="28"/>
      <c r="C405" s="19" t="s">
        <v>526</v>
      </c>
      <c r="D405" s="14" t="s">
        <v>526</v>
      </c>
      <c r="E405" s="14" t="s">
        <v>526</v>
      </c>
      <c r="F405" s="14" t="s">
        <v>526</v>
      </c>
      <c r="G405" s="18" t="s">
        <v>526</v>
      </c>
      <c r="H405" s="14" t="s">
        <v>526</v>
      </c>
      <c r="I405" s="18" t="s">
        <v>526</v>
      </c>
      <c r="J405" s="14">
        <v>403</v>
      </c>
    </row>
    <row r="406" spans="1:10" s="10" customFormat="1" ht="14.45">
      <c r="A406" s="13">
        <v>404</v>
      </c>
      <c r="B406" s="28"/>
      <c r="C406" s="19" t="s">
        <v>526</v>
      </c>
      <c r="D406" s="14" t="s">
        <v>526</v>
      </c>
      <c r="E406" s="14" t="s">
        <v>526</v>
      </c>
      <c r="F406" s="14" t="s">
        <v>526</v>
      </c>
      <c r="G406" s="18" t="s">
        <v>526</v>
      </c>
      <c r="H406" s="14" t="s">
        <v>526</v>
      </c>
      <c r="I406" s="18" t="s">
        <v>526</v>
      </c>
      <c r="J406" s="14">
        <v>404</v>
      </c>
    </row>
    <row r="407" spans="1:10" s="10" customFormat="1" ht="14.45">
      <c r="A407" s="13">
        <v>405</v>
      </c>
      <c r="B407" s="28"/>
      <c r="C407" s="19" t="s">
        <v>526</v>
      </c>
      <c r="D407" s="14" t="s">
        <v>526</v>
      </c>
      <c r="E407" s="14" t="s">
        <v>526</v>
      </c>
      <c r="F407" s="14" t="s">
        <v>526</v>
      </c>
      <c r="G407" s="18" t="s">
        <v>526</v>
      </c>
      <c r="H407" s="14" t="s">
        <v>526</v>
      </c>
      <c r="I407" s="18" t="s">
        <v>526</v>
      </c>
      <c r="J407" s="14">
        <v>405</v>
      </c>
    </row>
    <row r="408" spans="1:10" s="10" customFormat="1" ht="14.45">
      <c r="A408" s="13">
        <v>406</v>
      </c>
      <c r="B408" s="28"/>
      <c r="C408" s="19" t="s">
        <v>526</v>
      </c>
      <c r="D408" s="14" t="s">
        <v>526</v>
      </c>
      <c r="E408" s="14" t="s">
        <v>526</v>
      </c>
      <c r="F408" s="14" t="s">
        <v>526</v>
      </c>
      <c r="G408" s="18" t="s">
        <v>526</v>
      </c>
      <c r="H408" s="14" t="s">
        <v>526</v>
      </c>
      <c r="I408" s="18" t="s">
        <v>526</v>
      </c>
      <c r="J408" s="14">
        <v>406</v>
      </c>
    </row>
    <row r="409" spans="1:10" s="10" customFormat="1" ht="14.45">
      <c r="A409" s="13">
        <v>407</v>
      </c>
      <c r="B409" s="28"/>
      <c r="C409" s="19" t="s">
        <v>526</v>
      </c>
      <c r="D409" s="14" t="s">
        <v>526</v>
      </c>
      <c r="E409" s="14" t="s">
        <v>526</v>
      </c>
      <c r="F409" s="14" t="s">
        <v>526</v>
      </c>
      <c r="G409" s="18" t="s">
        <v>526</v>
      </c>
      <c r="H409" s="14" t="s">
        <v>526</v>
      </c>
      <c r="I409" s="18" t="s">
        <v>526</v>
      </c>
      <c r="J409" s="14">
        <v>407</v>
      </c>
    </row>
    <row r="410" spans="1:10" s="10" customFormat="1" ht="14.45">
      <c r="A410" s="13">
        <v>408</v>
      </c>
      <c r="B410" s="28"/>
      <c r="C410" s="19" t="s">
        <v>526</v>
      </c>
      <c r="D410" s="14" t="s">
        <v>526</v>
      </c>
      <c r="E410" s="14" t="s">
        <v>526</v>
      </c>
      <c r="F410" s="14" t="s">
        <v>526</v>
      </c>
      <c r="G410" s="18" t="s">
        <v>526</v>
      </c>
      <c r="H410" s="14" t="s">
        <v>526</v>
      </c>
      <c r="I410" s="18" t="s">
        <v>526</v>
      </c>
      <c r="J410" s="14">
        <v>408</v>
      </c>
    </row>
    <row r="411" spans="1:10" s="10" customFormat="1" ht="14.45">
      <c r="A411" s="13">
        <v>409</v>
      </c>
      <c r="B411" s="28"/>
      <c r="C411" s="19" t="s">
        <v>526</v>
      </c>
      <c r="D411" s="14" t="s">
        <v>526</v>
      </c>
      <c r="E411" s="14" t="s">
        <v>526</v>
      </c>
      <c r="F411" s="14" t="s">
        <v>526</v>
      </c>
      <c r="G411" s="18" t="s">
        <v>526</v>
      </c>
      <c r="H411" s="14" t="s">
        <v>526</v>
      </c>
      <c r="I411" s="18" t="s">
        <v>526</v>
      </c>
      <c r="J411" s="14">
        <v>409</v>
      </c>
    </row>
    <row r="412" spans="1:10" s="10" customFormat="1" ht="14.45">
      <c r="A412" s="13">
        <v>410</v>
      </c>
      <c r="B412" s="28"/>
      <c r="C412" s="19" t="s">
        <v>526</v>
      </c>
      <c r="D412" s="14" t="s">
        <v>526</v>
      </c>
      <c r="E412" s="14" t="s">
        <v>526</v>
      </c>
      <c r="F412" s="14" t="s">
        <v>526</v>
      </c>
      <c r="G412" s="18" t="s">
        <v>526</v>
      </c>
      <c r="H412" s="14" t="s">
        <v>526</v>
      </c>
      <c r="I412" s="18" t="s">
        <v>526</v>
      </c>
      <c r="J412" s="14">
        <v>410</v>
      </c>
    </row>
    <row r="413" spans="1:10" s="10" customFormat="1" ht="14.45">
      <c r="A413" s="13">
        <v>411</v>
      </c>
      <c r="B413" s="28"/>
      <c r="C413" s="19" t="s">
        <v>526</v>
      </c>
      <c r="D413" s="14" t="s">
        <v>526</v>
      </c>
      <c r="E413" s="14" t="s">
        <v>526</v>
      </c>
      <c r="F413" s="14" t="s">
        <v>526</v>
      </c>
      <c r="G413" s="18" t="s">
        <v>526</v>
      </c>
      <c r="H413" s="14" t="s">
        <v>526</v>
      </c>
      <c r="I413" s="18" t="s">
        <v>526</v>
      </c>
      <c r="J413" s="14">
        <v>411</v>
      </c>
    </row>
    <row r="414" spans="1:10" s="10" customFormat="1" ht="14.45">
      <c r="A414" s="13">
        <v>412</v>
      </c>
      <c r="B414" s="28"/>
      <c r="C414" s="19" t="s">
        <v>526</v>
      </c>
      <c r="D414" s="14" t="s">
        <v>526</v>
      </c>
      <c r="E414" s="14" t="s">
        <v>526</v>
      </c>
      <c r="F414" s="14" t="s">
        <v>526</v>
      </c>
      <c r="G414" s="18" t="s">
        <v>526</v>
      </c>
      <c r="H414" s="14" t="s">
        <v>526</v>
      </c>
      <c r="I414" s="18" t="s">
        <v>526</v>
      </c>
      <c r="J414" s="14">
        <v>412</v>
      </c>
    </row>
    <row r="415" spans="1:10" s="10" customFormat="1" ht="14.45">
      <c r="A415" s="13">
        <v>413</v>
      </c>
      <c r="B415" s="28"/>
      <c r="C415" s="19" t="s">
        <v>526</v>
      </c>
      <c r="D415" s="14" t="s">
        <v>526</v>
      </c>
      <c r="E415" s="14" t="s">
        <v>526</v>
      </c>
      <c r="F415" s="14" t="s">
        <v>526</v>
      </c>
      <c r="G415" s="18" t="s">
        <v>526</v>
      </c>
      <c r="H415" s="14" t="s">
        <v>526</v>
      </c>
      <c r="I415" s="18" t="s">
        <v>526</v>
      </c>
      <c r="J415" s="14">
        <v>413</v>
      </c>
    </row>
    <row r="416" spans="1:10" s="10" customFormat="1" ht="14.45">
      <c r="A416" s="13">
        <v>414</v>
      </c>
      <c r="B416" s="28"/>
      <c r="C416" s="19" t="s">
        <v>526</v>
      </c>
      <c r="D416" s="14" t="s">
        <v>526</v>
      </c>
      <c r="E416" s="14" t="s">
        <v>526</v>
      </c>
      <c r="F416" s="14" t="s">
        <v>526</v>
      </c>
      <c r="G416" s="18" t="s">
        <v>526</v>
      </c>
      <c r="H416" s="14" t="s">
        <v>526</v>
      </c>
      <c r="I416" s="18" t="s">
        <v>526</v>
      </c>
      <c r="J416" s="14">
        <v>414</v>
      </c>
    </row>
    <row r="417" spans="1:10" s="10" customFormat="1" ht="14.45">
      <c r="A417" s="13">
        <v>415</v>
      </c>
      <c r="B417" s="28"/>
      <c r="C417" s="19" t="s">
        <v>526</v>
      </c>
      <c r="D417" s="14" t="s">
        <v>526</v>
      </c>
      <c r="E417" s="14" t="s">
        <v>526</v>
      </c>
      <c r="F417" s="14" t="s">
        <v>526</v>
      </c>
      <c r="G417" s="18" t="s">
        <v>526</v>
      </c>
      <c r="H417" s="14" t="s">
        <v>526</v>
      </c>
      <c r="I417" s="18" t="s">
        <v>526</v>
      </c>
      <c r="J417" s="14">
        <v>415</v>
      </c>
    </row>
    <row r="418" spans="1:10" s="10" customFormat="1" ht="14.45">
      <c r="A418" s="13">
        <v>416</v>
      </c>
      <c r="B418" s="28"/>
      <c r="C418" s="19" t="s">
        <v>526</v>
      </c>
      <c r="D418" s="14" t="s">
        <v>526</v>
      </c>
      <c r="E418" s="14" t="s">
        <v>526</v>
      </c>
      <c r="F418" s="14" t="s">
        <v>526</v>
      </c>
      <c r="G418" s="18" t="s">
        <v>526</v>
      </c>
      <c r="H418" s="14" t="s">
        <v>526</v>
      </c>
      <c r="I418" s="18" t="s">
        <v>526</v>
      </c>
      <c r="J418" s="14">
        <v>416</v>
      </c>
    </row>
    <row r="419" spans="1:10" s="10" customFormat="1" ht="14.45">
      <c r="A419" s="13">
        <v>417</v>
      </c>
      <c r="B419" s="28"/>
      <c r="C419" s="19" t="s">
        <v>526</v>
      </c>
      <c r="D419" s="14" t="s">
        <v>526</v>
      </c>
      <c r="E419" s="14" t="s">
        <v>526</v>
      </c>
      <c r="F419" s="14" t="s">
        <v>526</v>
      </c>
      <c r="G419" s="18" t="s">
        <v>526</v>
      </c>
      <c r="H419" s="14" t="s">
        <v>526</v>
      </c>
      <c r="I419" s="18" t="s">
        <v>526</v>
      </c>
      <c r="J419" s="14">
        <v>417</v>
      </c>
    </row>
    <row r="420" spans="1:10" s="10" customFormat="1" ht="14.45">
      <c r="A420" s="13">
        <v>418</v>
      </c>
      <c r="B420" s="28"/>
      <c r="C420" s="19" t="s">
        <v>526</v>
      </c>
      <c r="D420" s="14" t="s">
        <v>526</v>
      </c>
      <c r="E420" s="14" t="s">
        <v>526</v>
      </c>
      <c r="F420" s="14" t="s">
        <v>526</v>
      </c>
      <c r="G420" s="18" t="s">
        <v>526</v>
      </c>
      <c r="H420" s="14" t="s">
        <v>526</v>
      </c>
      <c r="I420" s="18" t="s">
        <v>526</v>
      </c>
      <c r="J420" s="14">
        <v>418</v>
      </c>
    </row>
    <row r="421" spans="1:10" s="10" customFormat="1" ht="14.45">
      <c r="A421" s="13">
        <v>419</v>
      </c>
      <c r="B421" s="28"/>
      <c r="C421" s="19" t="s">
        <v>526</v>
      </c>
      <c r="D421" s="14" t="s">
        <v>526</v>
      </c>
      <c r="E421" s="14" t="s">
        <v>526</v>
      </c>
      <c r="F421" s="14" t="s">
        <v>526</v>
      </c>
      <c r="G421" s="18" t="s">
        <v>526</v>
      </c>
      <c r="H421" s="14" t="s">
        <v>526</v>
      </c>
      <c r="I421" s="18" t="s">
        <v>526</v>
      </c>
      <c r="J421" s="14">
        <v>419</v>
      </c>
    </row>
    <row r="422" spans="1:10" s="10" customFormat="1" ht="14.45">
      <c r="A422" s="13">
        <v>420</v>
      </c>
      <c r="B422" s="28"/>
      <c r="C422" s="19" t="s">
        <v>526</v>
      </c>
      <c r="D422" s="14" t="s">
        <v>526</v>
      </c>
      <c r="E422" s="14" t="s">
        <v>526</v>
      </c>
      <c r="F422" s="14" t="s">
        <v>526</v>
      </c>
      <c r="G422" s="18" t="s">
        <v>526</v>
      </c>
      <c r="H422" s="14" t="s">
        <v>526</v>
      </c>
      <c r="I422" s="18" t="s">
        <v>526</v>
      </c>
      <c r="J422" s="14">
        <v>420</v>
      </c>
    </row>
    <row r="423" spans="1:10" s="10" customFormat="1" ht="14.45">
      <c r="A423" s="13">
        <v>421</v>
      </c>
      <c r="B423" s="28"/>
      <c r="C423" s="19" t="s">
        <v>526</v>
      </c>
      <c r="D423" s="14" t="s">
        <v>526</v>
      </c>
      <c r="E423" s="14" t="s">
        <v>526</v>
      </c>
      <c r="F423" s="14" t="s">
        <v>526</v>
      </c>
      <c r="G423" s="18" t="s">
        <v>526</v>
      </c>
      <c r="H423" s="14" t="s">
        <v>526</v>
      </c>
      <c r="I423" s="18" t="s">
        <v>526</v>
      </c>
      <c r="J423" s="14">
        <v>421</v>
      </c>
    </row>
    <row r="424" spans="1:10" s="10" customFormat="1" ht="14.45">
      <c r="A424" s="13">
        <v>422</v>
      </c>
      <c r="B424" s="28"/>
      <c r="C424" s="19" t="s">
        <v>526</v>
      </c>
      <c r="D424" s="14" t="s">
        <v>526</v>
      </c>
      <c r="E424" s="14" t="s">
        <v>526</v>
      </c>
      <c r="F424" s="14" t="s">
        <v>526</v>
      </c>
      <c r="G424" s="18" t="s">
        <v>526</v>
      </c>
      <c r="H424" s="14" t="s">
        <v>526</v>
      </c>
      <c r="I424" s="18" t="s">
        <v>526</v>
      </c>
      <c r="J424" s="14">
        <v>422</v>
      </c>
    </row>
    <row r="425" spans="1:10" s="10" customFormat="1" ht="14.45">
      <c r="A425" s="13">
        <v>423</v>
      </c>
      <c r="B425" s="28"/>
      <c r="C425" s="19" t="s">
        <v>526</v>
      </c>
      <c r="D425" s="14" t="s">
        <v>526</v>
      </c>
      <c r="E425" s="14" t="s">
        <v>526</v>
      </c>
      <c r="F425" s="14" t="s">
        <v>526</v>
      </c>
      <c r="G425" s="18" t="s">
        <v>526</v>
      </c>
      <c r="H425" s="14" t="s">
        <v>526</v>
      </c>
      <c r="I425" s="18" t="s">
        <v>526</v>
      </c>
      <c r="J425" s="14">
        <v>423</v>
      </c>
    </row>
    <row r="426" spans="1:10" s="10" customFormat="1" ht="14.45">
      <c r="A426" s="13">
        <v>424</v>
      </c>
      <c r="B426" s="28"/>
      <c r="C426" s="19" t="s">
        <v>526</v>
      </c>
      <c r="D426" s="14" t="s">
        <v>526</v>
      </c>
      <c r="E426" s="14" t="s">
        <v>526</v>
      </c>
      <c r="F426" s="14" t="s">
        <v>526</v>
      </c>
      <c r="G426" s="18" t="s">
        <v>526</v>
      </c>
      <c r="H426" s="14" t="s">
        <v>526</v>
      </c>
      <c r="I426" s="18" t="s">
        <v>526</v>
      </c>
      <c r="J426" s="14">
        <v>424</v>
      </c>
    </row>
    <row r="427" spans="1:10" s="10" customFormat="1" ht="14.45">
      <c r="A427" s="13">
        <v>425</v>
      </c>
      <c r="B427" s="28"/>
      <c r="C427" s="19" t="s">
        <v>526</v>
      </c>
      <c r="D427" s="14" t="s">
        <v>526</v>
      </c>
      <c r="E427" s="14" t="s">
        <v>526</v>
      </c>
      <c r="F427" s="14" t="s">
        <v>526</v>
      </c>
      <c r="G427" s="18" t="s">
        <v>526</v>
      </c>
      <c r="H427" s="14" t="s">
        <v>526</v>
      </c>
      <c r="I427" s="18" t="s">
        <v>526</v>
      </c>
      <c r="J427" s="14">
        <v>425</v>
      </c>
    </row>
    <row r="428" spans="1:10" s="10" customFormat="1" ht="14.45">
      <c r="A428" s="13">
        <v>426</v>
      </c>
      <c r="B428" s="28"/>
      <c r="C428" s="19" t="s">
        <v>526</v>
      </c>
      <c r="D428" s="14" t="s">
        <v>526</v>
      </c>
      <c r="E428" s="14" t="s">
        <v>526</v>
      </c>
      <c r="F428" s="14" t="s">
        <v>526</v>
      </c>
      <c r="G428" s="18" t="s">
        <v>526</v>
      </c>
      <c r="H428" s="14" t="s">
        <v>526</v>
      </c>
      <c r="I428" s="18" t="s">
        <v>526</v>
      </c>
      <c r="J428" s="14">
        <v>426</v>
      </c>
    </row>
    <row r="429" spans="1:10" s="10" customFormat="1" ht="14.45">
      <c r="A429" s="13">
        <v>427</v>
      </c>
      <c r="B429" s="28"/>
      <c r="C429" s="19" t="s">
        <v>526</v>
      </c>
      <c r="D429" s="14" t="s">
        <v>526</v>
      </c>
      <c r="E429" s="14" t="s">
        <v>526</v>
      </c>
      <c r="F429" s="14" t="s">
        <v>526</v>
      </c>
      <c r="G429" s="18" t="s">
        <v>526</v>
      </c>
      <c r="H429" s="14" t="s">
        <v>526</v>
      </c>
      <c r="I429" s="18" t="s">
        <v>526</v>
      </c>
      <c r="J429" s="14">
        <v>427</v>
      </c>
    </row>
    <row r="430" spans="1:10" s="10" customFormat="1" ht="14.45">
      <c r="A430" s="13">
        <v>428</v>
      </c>
      <c r="B430" s="28"/>
      <c r="C430" s="19" t="s">
        <v>526</v>
      </c>
      <c r="D430" s="14" t="s">
        <v>526</v>
      </c>
      <c r="E430" s="14" t="s">
        <v>526</v>
      </c>
      <c r="F430" s="14" t="s">
        <v>526</v>
      </c>
      <c r="G430" s="18" t="s">
        <v>526</v>
      </c>
      <c r="H430" s="14" t="s">
        <v>526</v>
      </c>
      <c r="I430" s="18" t="s">
        <v>526</v>
      </c>
      <c r="J430" s="14">
        <v>428</v>
      </c>
    </row>
    <row r="431" spans="1:10" s="10" customFormat="1" ht="14.45">
      <c r="A431" s="13">
        <v>429</v>
      </c>
      <c r="B431" s="28"/>
      <c r="C431" s="19" t="s">
        <v>526</v>
      </c>
      <c r="D431" s="14" t="s">
        <v>526</v>
      </c>
      <c r="E431" s="14" t="s">
        <v>526</v>
      </c>
      <c r="F431" s="14" t="s">
        <v>526</v>
      </c>
      <c r="G431" s="18" t="s">
        <v>526</v>
      </c>
      <c r="H431" s="14" t="s">
        <v>526</v>
      </c>
      <c r="I431" s="18" t="s">
        <v>526</v>
      </c>
      <c r="J431" s="14">
        <v>429</v>
      </c>
    </row>
    <row r="432" spans="1:10" s="10" customFormat="1" ht="14.45">
      <c r="A432" s="13">
        <v>430</v>
      </c>
      <c r="B432" s="28"/>
      <c r="C432" s="19" t="s">
        <v>526</v>
      </c>
      <c r="D432" s="14" t="s">
        <v>526</v>
      </c>
      <c r="E432" s="14" t="s">
        <v>526</v>
      </c>
      <c r="F432" s="14" t="s">
        <v>526</v>
      </c>
      <c r="G432" s="18" t="s">
        <v>526</v>
      </c>
      <c r="H432" s="14" t="s">
        <v>526</v>
      </c>
      <c r="I432" s="18" t="s">
        <v>526</v>
      </c>
      <c r="J432" s="14">
        <v>430</v>
      </c>
    </row>
    <row r="433" spans="1:10" s="10" customFormat="1" ht="14.45">
      <c r="A433" s="13">
        <v>431</v>
      </c>
      <c r="B433" s="28"/>
      <c r="C433" s="19" t="s">
        <v>526</v>
      </c>
      <c r="D433" s="14" t="s">
        <v>526</v>
      </c>
      <c r="E433" s="14" t="s">
        <v>526</v>
      </c>
      <c r="F433" s="14" t="s">
        <v>526</v>
      </c>
      <c r="G433" s="18" t="s">
        <v>526</v>
      </c>
      <c r="H433" s="14" t="s">
        <v>526</v>
      </c>
      <c r="I433" s="18" t="s">
        <v>526</v>
      </c>
      <c r="J433" s="14">
        <v>431</v>
      </c>
    </row>
    <row r="434" spans="1:10" s="10" customFormat="1" ht="14.45">
      <c r="A434" s="13">
        <v>432</v>
      </c>
      <c r="B434" s="28"/>
      <c r="C434" s="19" t="s">
        <v>526</v>
      </c>
      <c r="D434" s="14" t="s">
        <v>526</v>
      </c>
      <c r="E434" s="14" t="s">
        <v>526</v>
      </c>
      <c r="F434" s="14" t="s">
        <v>526</v>
      </c>
      <c r="G434" s="18" t="s">
        <v>526</v>
      </c>
      <c r="H434" s="14" t="s">
        <v>526</v>
      </c>
      <c r="I434" s="18" t="s">
        <v>526</v>
      </c>
      <c r="J434" s="14">
        <v>432</v>
      </c>
    </row>
    <row r="435" spans="1:10" s="10" customFormat="1" ht="14.45">
      <c r="A435" s="13">
        <v>433</v>
      </c>
      <c r="B435" s="28"/>
      <c r="C435" s="19" t="s">
        <v>526</v>
      </c>
      <c r="D435" s="14" t="s">
        <v>526</v>
      </c>
      <c r="E435" s="14" t="s">
        <v>526</v>
      </c>
      <c r="F435" s="14" t="s">
        <v>526</v>
      </c>
      <c r="G435" s="18" t="s">
        <v>526</v>
      </c>
      <c r="H435" s="14" t="s">
        <v>526</v>
      </c>
      <c r="I435" s="18" t="s">
        <v>526</v>
      </c>
      <c r="J435" s="14">
        <v>433</v>
      </c>
    </row>
    <row r="436" spans="1:10" s="10" customFormat="1" ht="14.45">
      <c r="A436" s="13">
        <v>434</v>
      </c>
      <c r="B436" s="28"/>
      <c r="C436" s="19" t="s">
        <v>526</v>
      </c>
      <c r="D436" s="14" t="s">
        <v>526</v>
      </c>
      <c r="E436" s="14" t="s">
        <v>526</v>
      </c>
      <c r="F436" s="14" t="s">
        <v>526</v>
      </c>
      <c r="G436" s="18" t="s">
        <v>526</v>
      </c>
      <c r="H436" s="14" t="s">
        <v>526</v>
      </c>
      <c r="I436" s="18" t="s">
        <v>526</v>
      </c>
      <c r="J436" s="14">
        <v>434</v>
      </c>
    </row>
    <row r="437" spans="1:10" s="10" customFormat="1" ht="14.45">
      <c r="A437" s="13">
        <v>435</v>
      </c>
      <c r="B437" s="28"/>
      <c r="C437" s="19" t="s">
        <v>526</v>
      </c>
      <c r="D437" s="14" t="s">
        <v>526</v>
      </c>
      <c r="E437" s="14" t="s">
        <v>526</v>
      </c>
      <c r="F437" s="14" t="s">
        <v>526</v>
      </c>
      <c r="G437" s="18" t="s">
        <v>526</v>
      </c>
      <c r="H437" s="14" t="s">
        <v>526</v>
      </c>
      <c r="I437" s="18" t="s">
        <v>526</v>
      </c>
      <c r="J437" s="14">
        <v>435</v>
      </c>
    </row>
    <row r="438" spans="1:10" s="10" customFormat="1" ht="14.45">
      <c r="A438" s="13">
        <v>436</v>
      </c>
      <c r="B438" s="28"/>
      <c r="C438" s="19" t="s">
        <v>526</v>
      </c>
      <c r="D438" s="14" t="s">
        <v>526</v>
      </c>
      <c r="E438" s="14" t="s">
        <v>526</v>
      </c>
      <c r="F438" s="14" t="s">
        <v>526</v>
      </c>
      <c r="G438" s="18" t="s">
        <v>526</v>
      </c>
      <c r="H438" s="14" t="s">
        <v>526</v>
      </c>
      <c r="I438" s="18" t="s">
        <v>526</v>
      </c>
      <c r="J438" s="14">
        <v>436</v>
      </c>
    </row>
    <row r="439" spans="1:10" s="10" customFormat="1" ht="14.45">
      <c r="A439" s="13">
        <v>437</v>
      </c>
      <c r="B439" s="28"/>
      <c r="C439" s="19" t="s">
        <v>526</v>
      </c>
      <c r="D439" s="14" t="s">
        <v>526</v>
      </c>
      <c r="E439" s="14" t="s">
        <v>526</v>
      </c>
      <c r="F439" s="14" t="s">
        <v>526</v>
      </c>
      <c r="G439" s="18" t="s">
        <v>526</v>
      </c>
      <c r="H439" s="14" t="s">
        <v>526</v>
      </c>
      <c r="I439" s="18" t="s">
        <v>526</v>
      </c>
      <c r="J439" s="14">
        <v>437</v>
      </c>
    </row>
    <row r="440" spans="1:10" s="10" customFormat="1" ht="14.45">
      <c r="A440" s="13">
        <v>438</v>
      </c>
      <c r="B440" s="28"/>
      <c r="C440" s="19" t="s">
        <v>526</v>
      </c>
      <c r="D440" s="14" t="s">
        <v>526</v>
      </c>
      <c r="E440" s="14" t="s">
        <v>526</v>
      </c>
      <c r="F440" s="14" t="s">
        <v>526</v>
      </c>
      <c r="G440" s="18" t="s">
        <v>526</v>
      </c>
      <c r="H440" s="14" t="s">
        <v>526</v>
      </c>
      <c r="I440" s="18" t="s">
        <v>526</v>
      </c>
      <c r="J440" s="14">
        <v>438</v>
      </c>
    </row>
    <row r="441" spans="1:10" s="10" customFormat="1" ht="14.45">
      <c r="A441" s="13">
        <v>439</v>
      </c>
      <c r="B441" s="28"/>
      <c r="C441" s="19" t="s">
        <v>526</v>
      </c>
      <c r="D441" s="14" t="s">
        <v>526</v>
      </c>
      <c r="E441" s="14" t="s">
        <v>526</v>
      </c>
      <c r="F441" s="14" t="s">
        <v>526</v>
      </c>
      <c r="G441" s="18" t="s">
        <v>526</v>
      </c>
      <c r="H441" s="14" t="s">
        <v>526</v>
      </c>
      <c r="I441" s="18" t="s">
        <v>526</v>
      </c>
      <c r="J441" s="14">
        <v>439</v>
      </c>
    </row>
    <row r="442" spans="1:10" s="10" customFormat="1" ht="14.45">
      <c r="A442" s="13">
        <v>440</v>
      </c>
      <c r="B442" s="28"/>
      <c r="C442" s="19" t="s">
        <v>526</v>
      </c>
      <c r="D442" s="14" t="s">
        <v>526</v>
      </c>
      <c r="E442" s="14" t="s">
        <v>526</v>
      </c>
      <c r="F442" s="14" t="s">
        <v>526</v>
      </c>
      <c r="G442" s="18" t="s">
        <v>526</v>
      </c>
      <c r="H442" s="14" t="s">
        <v>526</v>
      </c>
      <c r="I442" s="18" t="s">
        <v>526</v>
      </c>
      <c r="J442" s="14">
        <v>440</v>
      </c>
    </row>
    <row r="443" spans="1:10" s="10" customFormat="1" ht="14.45">
      <c r="A443" s="13">
        <v>441</v>
      </c>
      <c r="B443" s="28"/>
      <c r="C443" s="19" t="s">
        <v>526</v>
      </c>
      <c r="D443" s="14" t="s">
        <v>526</v>
      </c>
      <c r="E443" s="14" t="s">
        <v>526</v>
      </c>
      <c r="F443" s="14" t="s">
        <v>526</v>
      </c>
      <c r="G443" s="18" t="s">
        <v>526</v>
      </c>
      <c r="H443" s="14" t="s">
        <v>526</v>
      </c>
      <c r="I443" s="18" t="s">
        <v>526</v>
      </c>
      <c r="J443" s="14">
        <v>441</v>
      </c>
    </row>
    <row r="444" spans="1:10" s="10" customFormat="1" ht="14.45">
      <c r="A444" s="13">
        <v>442</v>
      </c>
      <c r="B444" s="28"/>
      <c r="C444" s="19" t="s">
        <v>526</v>
      </c>
      <c r="D444" s="14" t="s">
        <v>526</v>
      </c>
      <c r="E444" s="14" t="s">
        <v>526</v>
      </c>
      <c r="F444" s="14" t="s">
        <v>526</v>
      </c>
      <c r="G444" s="18" t="s">
        <v>526</v>
      </c>
      <c r="H444" s="14" t="s">
        <v>526</v>
      </c>
      <c r="I444" s="18" t="s">
        <v>526</v>
      </c>
      <c r="J444" s="14">
        <v>442</v>
      </c>
    </row>
    <row r="445" spans="1:10" s="10" customFormat="1" ht="14.45">
      <c r="A445" s="13">
        <v>443</v>
      </c>
      <c r="B445" s="28"/>
      <c r="C445" s="19" t="s">
        <v>526</v>
      </c>
      <c r="D445" s="14" t="s">
        <v>526</v>
      </c>
      <c r="E445" s="14" t="s">
        <v>526</v>
      </c>
      <c r="F445" s="14" t="s">
        <v>526</v>
      </c>
      <c r="G445" s="18" t="s">
        <v>526</v>
      </c>
      <c r="H445" s="14" t="s">
        <v>526</v>
      </c>
      <c r="I445" s="18" t="s">
        <v>526</v>
      </c>
      <c r="J445" s="14">
        <v>443</v>
      </c>
    </row>
    <row r="446" spans="1:10" s="10" customFormat="1" ht="14.45">
      <c r="A446" s="13">
        <v>444</v>
      </c>
      <c r="B446" s="28"/>
      <c r="C446" s="19" t="s">
        <v>526</v>
      </c>
      <c r="D446" s="14" t="s">
        <v>526</v>
      </c>
      <c r="E446" s="14" t="s">
        <v>526</v>
      </c>
      <c r="F446" s="14" t="s">
        <v>526</v>
      </c>
      <c r="G446" s="18" t="s">
        <v>526</v>
      </c>
      <c r="H446" s="14" t="s">
        <v>526</v>
      </c>
      <c r="I446" s="18" t="s">
        <v>526</v>
      </c>
      <c r="J446" s="14">
        <v>444</v>
      </c>
    </row>
    <row r="447" spans="1:10" s="10" customFormat="1" ht="14.45">
      <c r="A447" s="13">
        <v>445</v>
      </c>
      <c r="B447" s="28"/>
      <c r="C447" s="19" t="s">
        <v>526</v>
      </c>
      <c r="D447" s="14" t="s">
        <v>526</v>
      </c>
      <c r="E447" s="14" t="s">
        <v>526</v>
      </c>
      <c r="F447" s="14" t="s">
        <v>526</v>
      </c>
      <c r="G447" s="18" t="s">
        <v>526</v>
      </c>
      <c r="H447" s="14" t="s">
        <v>526</v>
      </c>
      <c r="I447" s="18" t="s">
        <v>526</v>
      </c>
      <c r="J447" s="14">
        <v>445</v>
      </c>
    </row>
    <row r="448" spans="1:10" s="10" customFormat="1" ht="14.45">
      <c r="A448" s="13">
        <v>446</v>
      </c>
      <c r="B448" s="28"/>
      <c r="C448" s="19" t="s">
        <v>526</v>
      </c>
      <c r="D448" s="14" t="s">
        <v>526</v>
      </c>
      <c r="E448" s="14" t="s">
        <v>526</v>
      </c>
      <c r="F448" s="14" t="s">
        <v>526</v>
      </c>
      <c r="G448" s="18" t="s">
        <v>526</v>
      </c>
      <c r="H448" s="14" t="s">
        <v>526</v>
      </c>
      <c r="I448" s="18" t="s">
        <v>526</v>
      </c>
      <c r="J448" s="14">
        <v>446</v>
      </c>
    </row>
    <row r="449" spans="1:10" s="10" customFormat="1" ht="14.45">
      <c r="A449" s="13">
        <v>447</v>
      </c>
      <c r="B449" s="28"/>
      <c r="C449" s="19" t="s">
        <v>526</v>
      </c>
      <c r="D449" s="14" t="s">
        <v>526</v>
      </c>
      <c r="E449" s="14" t="s">
        <v>526</v>
      </c>
      <c r="F449" s="14" t="s">
        <v>526</v>
      </c>
      <c r="G449" s="18" t="s">
        <v>526</v>
      </c>
      <c r="H449" s="14" t="s">
        <v>526</v>
      </c>
      <c r="I449" s="18" t="s">
        <v>526</v>
      </c>
      <c r="J449" s="14">
        <v>447</v>
      </c>
    </row>
    <row r="450" spans="1:10" s="10" customFormat="1" ht="14.45">
      <c r="A450" s="13">
        <v>448</v>
      </c>
      <c r="B450" s="28"/>
      <c r="C450" s="19" t="s">
        <v>526</v>
      </c>
      <c r="D450" s="14" t="s">
        <v>526</v>
      </c>
      <c r="E450" s="14" t="s">
        <v>526</v>
      </c>
      <c r="F450" s="14" t="s">
        <v>526</v>
      </c>
      <c r="G450" s="18" t="s">
        <v>526</v>
      </c>
      <c r="H450" s="14" t="s">
        <v>526</v>
      </c>
      <c r="I450" s="18" t="s">
        <v>526</v>
      </c>
      <c r="J450" s="14">
        <v>448</v>
      </c>
    </row>
    <row r="451" spans="1:10" s="10" customFormat="1" ht="14.45">
      <c r="A451" s="13">
        <v>449</v>
      </c>
      <c r="B451" s="28"/>
      <c r="C451" s="19" t="s">
        <v>526</v>
      </c>
      <c r="D451" s="14" t="s">
        <v>526</v>
      </c>
      <c r="E451" s="14" t="s">
        <v>526</v>
      </c>
      <c r="F451" s="14" t="s">
        <v>526</v>
      </c>
      <c r="G451" s="18" t="s">
        <v>526</v>
      </c>
      <c r="H451" s="14" t="s">
        <v>526</v>
      </c>
      <c r="I451" s="18" t="s">
        <v>526</v>
      </c>
      <c r="J451" s="14">
        <v>449</v>
      </c>
    </row>
    <row r="452" spans="1:10" s="10" customFormat="1" ht="14.45">
      <c r="A452" s="13">
        <v>450</v>
      </c>
      <c r="B452" s="28"/>
      <c r="C452" s="19" t="s">
        <v>526</v>
      </c>
      <c r="D452" s="14" t="s">
        <v>526</v>
      </c>
      <c r="E452" s="14" t="s">
        <v>526</v>
      </c>
      <c r="F452" s="14" t="s">
        <v>526</v>
      </c>
      <c r="G452" s="18" t="s">
        <v>526</v>
      </c>
      <c r="H452" s="14" t="s">
        <v>526</v>
      </c>
      <c r="I452" s="18" t="s">
        <v>526</v>
      </c>
      <c r="J452" s="14">
        <v>450</v>
      </c>
    </row>
    <row r="453" spans="1:10" s="10" customFormat="1" ht="14.45">
      <c r="A453" s="13">
        <v>451</v>
      </c>
      <c r="B453" s="28"/>
      <c r="C453" s="19" t="s">
        <v>526</v>
      </c>
      <c r="D453" s="14" t="s">
        <v>526</v>
      </c>
      <c r="E453" s="14" t="s">
        <v>526</v>
      </c>
      <c r="F453" s="14" t="s">
        <v>526</v>
      </c>
      <c r="G453" s="18" t="s">
        <v>526</v>
      </c>
      <c r="H453" s="14" t="s">
        <v>526</v>
      </c>
      <c r="I453" s="18" t="s">
        <v>526</v>
      </c>
      <c r="J453" s="14">
        <v>451</v>
      </c>
    </row>
    <row r="454" spans="1:10" s="10" customFormat="1" ht="14.45">
      <c r="A454" s="13">
        <v>452</v>
      </c>
      <c r="B454" s="28"/>
      <c r="C454" s="19" t="s">
        <v>526</v>
      </c>
      <c r="D454" s="14" t="s">
        <v>526</v>
      </c>
      <c r="E454" s="14" t="s">
        <v>526</v>
      </c>
      <c r="F454" s="14" t="s">
        <v>526</v>
      </c>
      <c r="G454" s="18" t="s">
        <v>526</v>
      </c>
      <c r="H454" s="14" t="s">
        <v>526</v>
      </c>
      <c r="I454" s="18" t="s">
        <v>526</v>
      </c>
      <c r="J454" s="14">
        <v>452</v>
      </c>
    </row>
    <row r="455" spans="1:10" s="10" customFormat="1" ht="14.45">
      <c r="A455" s="13">
        <v>453</v>
      </c>
      <c r="B455" s="28"/>
      <c r="C455" s="19" t="s">
        <v>526</v>
      </c>
      <c r="D455" s="14" t="s">
        <v>526</v>
      </c>
      <c r="E455" s="14" t="s">
        <v>526</v>
      </c>
      <c r="F455" s="14" t="s">
        <v>526</v>
      </c>
      <c r="G455" s="18" t="s">
        <v>526</v>
      </c>
      <c r="H455" s="14" t="s">
        <v>526</v>
      </c>
      <c r="I455" s="18" t="s">
        <v>526</v>
      </c>
      <c r="J455" s="14">
        <v>453</v>
      </c>
    </row>
    <row r="456" spans="1:10" s="10" customFormat="1" ht="14.45">
      <c r="A456" s="13">
        <v>454</v>
      </c>
      <c r="B456" s="28"/>
      <c r="C456" s="19" t="s">
        <v>526</v>
      </c>
      <c r="D456" s="14" t="s">
        <v>526</v>
      </c>
      <c r="E456" s="14" t="s">
        <v>526</v>
      </c>
      <c r="F456" s="14" t="s">
        <v>526</v>
      </c>
      <c r="G456" s="18" t="s">
        <v>526</v>
      </c>
      <c r="H456" s="14" t="s">
        <v>526</v>
      </c>
      <c r="I456" s="18" t="s">
        <v>526</v>
      </c>
      <c r="J456" s="14">
        <v>454</v>
      </c>
    </row>
    <row r="457" spans="1:10" s="10" customFormat="1" ht="14.45">
      <c r="A457" s="13">
        <v>455</v>
      </c>
      <c r="B457" s="28"/>
      <c r="C457" s="19" t="s">
        <v>526</v>
      </c>
      <c r="D457" s="14" t="s">
        <v>526</v>
      </c>
      <c r="E457" s="14" t="s">
        <v>526</v>
      </c>
      <c r="F457" s="14" t="s">
        <v>526</v>
      </c>
      <c r="G457" s="18" t="s">
        <v>526</v>
      </c>
      <c r="H457" s="14" t="s">
        <v>526</v>
      </c>
      <c r="I457" s="18" t="s">
        <v>526</v>
      </c>
      <c r="J457" s="14">
        <v>455</v>
      </c>
    </row>
    <row r="458" spans="1:10" s="10" customFormat="1" ht="14.45">
      <c r="A458" s="13">
        <v>456</v>
      </c>
      <c r="B458" s="28"/>
      <c r="C458" s="19" t="s">
        <v>526</v>
      </c>
      <c r="D458" s="14" t="s">
        <v>526</v>
      </c>
      <c r="E458" s="14" t="s">
        <v>526</v>
      </c>
      <c r="F458" s="14" t="s">
        <v>526</v>
      </c>
      <c r="G458" s="18" t="s">
        <v>526</v>
      </c>
      <c r="H458" s="14" t="s">
        <v>526</v>
      </c>
      <c r="I458" s="18" t="s">
        <v>526</v>
      </c>
      <c r="J458" s="14">
        <v>456</v>
      </c>
    </row>
    <row r="459" spans="1:10" s="10" customFormat="1" ht="14.45">
      <c r="A459" s="13">
        <v>457</v>
      </c>
      <c r="B459" s="28"/>
      <c r="C459" s="19" t="s">
        <v>526</v>
      </c>
      <c r="D459" s="14" t="s">
        <v>526</v>
      </c>
      <c r="E459" s="14" t="s">
        <v>526</v>
      </c>
      <c r="F459" s="14" t="s">
        <v>526</v>
      </c>
      <c r="G459" s="18" t="s">
        <v>526</v>
      </c>
      <c r="H459" s="14" t="s">
        <v>526</v>
      </c>
      <c r="I459" s="18" t="s">
        <v>526</v>
      </c>
      <c r="J459" s="14">
        <v>457</v>
      </c>
    </row>
    <row r="460" spans="1:10" s="10" customFormat="1" ht="14.45">
      <c r="A460" s="13">
        <v>458</v>
      </c>
      <c r="B460" s="28"/>
      <c r="C460" s="19" t="s">
        <v>526</v>
      </c>
      <c r="D460" s="14" t="s">
        <v>526</v>
      </c>
      <c r="E460" s="14" t="s">
        <v>526</v>
      </c>
      <c r="F460" s="14" t="s">
        <v>526</v>
      </c>
      <c r="G460" s="18" t="s">
        <v>526</v>
      </c>
      <c r="H460" s="14" t="s">
        <v>526</v>
      </c>
      <c r="I460" s="18" t="s">
        <v>526</v>
      </c>
      <c r="J460" s="14">
        <v>458</v>
      </c>
    </row>
    <row r="461" spans="1:10" s="10" customFormat="1" ht="14.45">
      <c r="A461" s="13">
        <v>459</v>
      </c>
      <c r="B461" s="28"/>
      <c r="C461" s="19" t="s">
        <v>526</v>
      </c>
      <c r="D461" s="14" t="s">
        <v>526</v>
      </c>
      <c r="E461" s="14" t="s">
        <v>526</v>
      </c>
      <c r="F461" s="14" t="s">
        <v>526</v>
      </c>
      <c r="G461" s="18" t="s">
        <v>526</v>
      </c>
      <c r="H461" s="14" t="s">
        <v>526</v>
      </c>
      <c r="I461" s="18" t="s">
        <v>526</v>
      </c>
      <c r="J461" s="14">
        <v>459</v>
      </c>
    </row>
    <row r="462" spans="1:10" s="10" customFormat="1" ht="14.45">
      <c r="A462" s="13">
        <v>460</v>
      </c>
      <c r="B462" s="28"/>
      <c r="C462" s="19" t="s">
        <v>526</v>
      </c>
      <c r="D462" s="14" t="s">
        <v>526</v>
      </c>
      <c r="E462" s="14" t="s">
        <v>526</v>
      </c>
      <c r="F462" s="14" t="s">
        <v>526</v>
      </c>
      <c r="G462" s="18" t="s">
        <v>526</v>
      </c>
      <c r="H462" s="14" t="s">
        <v>526</v>
      </c>
      <c r="I462" s="18" t="s">
        <v>526</v>
      </c>
      <c r="J462" s="14">
        <v>460</v>
      </c>
    </row>
    <row r="463" spans="1:10" s="10" customFormat="1" ht="14.45">
      <c r="A463" s="13">
        <v>461</v>
      </c>
      <c r="B463" s="28"/>
      <c r="C463" s="19" t="s">
        <v>526</v>
      </c>
      <c r="D463" s="14" t="s">
        <v>526</v>
      </c>
      <c r="E463" s="14" t="s">
        <v>526</v>
      </c>
      <c r="F463" s="14" t="s">
        <v>526</v>
      </c>
      <c r="G463" s="18" t="s">
        <v>526</v>
      </c>
      <c r="H463" s="14" t="s">
        <v>526</v>
      </c>
      <c r="I463" s="18" t="s">
        <v>526</v>
      </c>
      <c r="J463" s="14">
        <v>461</v>
      </c>
    </row>
    <row r="464" spans="1:10" s="10" customFormat="1" ht="14.45">
      <c r="A464" s="13">
        <v>462</v>
      </c>
      <c r="B464" s="28"/>
      <c r="C464" s="19" t="s">
        <v>526</v>
      </c>
      <c r="D464" s="14" t="s">
        <v>526</v>
      </c>
      <c r="E464" s="14" t="s">
        <v>526</v>
      </c>
      <c r="F464" s="14" t="s">
        <v>526</v>
      </c>
      <c r="G464" s="18" t="s">
        <v>526</v>
      </c>
      <c r="H464" s="14" t="s">
        <v>526</v>
      </c>
      <c r="I464" s="18" t="s">
        <v>526</v>
      </c>
      <c r="J464" s="14">
        <v>462</v>
      </c>
    </row>
    <row r="465" spans="1:10" s="10" customFormat="1" ht="14.45">
      <c r="A465" s="13">
        <v>463</v>
      </c>
      <c r="B465" s="28"/>
      <c r="C465" s="19" t="s">
        <v>526</v>
      </c>
      <c r="D465" s="14" t="s">
        <v>526</v>
      </c>
      <c r="E465" s="14" t="s">
        <v>526</v>
      </c>
      <c r="F465" s="14" t="s">
        <v>526</v>
      </c>
      <c r="G465" s="18" t="s">
        <v>526</v>
      </c>
      <c r="H465" s="14" t="s">
        <v>526</v>
      </c>
      <c r="I465" s="18" t="s">
        <v>526</v>
      </c>
      <c r="J465" s="14">
        <v>463</v>
      </c>
    </row>
    <row r="466" spans="1:10" s="10" customFormat="1" ht="14.45">
      <c r="A466" s="13">
        <v>464</v>
      </c>
      <c r="B466" s="28"/>
      <c r="C466" s="19" t="s">
        <v>526</v>
      </c>
      <c r="D466" s="14" t="s">
        <v>526</v>
      </c>
      <c r="E466" s="14" t="s">
        <v>526</v>
      </c>
      <c r="F466" s="14" t="s">
        <v>526</v>
      </c>
      <c r="G466" s="18" t="s">
        <v>526</v>
      </c>
      <c r="H466" s="14" t="s">
        <v>526</v>
      </c>
      <c r="I466" s="18" t="s">
        <v>526</v>
      </c>
      <c r="J466" s="14">
        <v>464</v>
      </c>
    </row>
    <row r="467" spans="1:10" s="10" customFormat="1" ht="14.45">
      <c r="A467" s="13">
        <v>465</v>
      </c>
      <c r="B467" s="28"/>
      <c r="C467" s="19" t="s">
        <v>526</v>
      </c>
      <c r="D467" s="14" t="s">
        <v>526</v>
      </c>
      <c r="E467" s="14" t="s">
        <v>526</v>
      </c>
      <c r="F467" s="14" t="s">
        <v>526</v>
      </c>
      <c r="G467" s="18" t="s">
        <v>526</v>
      </c>
      <c r="H467" s="14" t="s">
        <v>526</v>
      </c>
      <c r="I467" s="18" t="s">
        <v>526</v>
      </c>
      <c r="J467" s="14">
        <v>465</v>
      </c>
    </row>
    <row r="468" spans="1:10" s="10" customFormat="1" ht="14.45">
      <c r="A468" s="13">
        <v>466</v>
      </c>
      <c r="B468" s="28"/>
      <c r="C468" s="19" t="s">
        <v>526</v>
      </c>
      <c r="D468" s="14" t="s">
        <v>526</v>
      </c>
      <c r="E468" s="14" t="s">
        <v>526</v>
      </c>
      <c r="F468" s="14" t="s">
        <v>526</v>
      </c>
      <c r="G468" s="18" t="s">
        <v>526</v>
      </c>
      <c r="H468" s="14" t="s">
        <v>526</v>
      </c>
      <c r="I468" s="18" t="s">
        <v>526</v>
      </c>
      <c r="J468" s="14">
        <v>466</v>
      </c>
    </row>
    <row r="469" spans="1:10" s="10" customFormat="1" ht="14.45">
      <c r="A469" s="13">
        <v>467</v>
      </c>
      <c r="B469" s="28"/>
      <c r="C469" s="19" t="s">
        <v>526</v>
      </c>
      <c r="D469" s="14" t="s">
        <v>526</v>
      </c>
      <c r="E469" s="14" t="s">
        <v>526</v>
      </c>
      <c r="F469" s="14" t="s">
        <v>526</v>
      </c>
      <c r="G469" s="18" t="s">
        <v>526</v>
      </c>
      <c r="H469" s="14" t="s">
        <v>526</v>
      </c>
      <c r="I469" s="18" t="s">
        <v>526</v>
      </c>
      <c r="J469" s="14">
        <v>467</v>
      </c>
    </row>
    <row r="470" spans="1:10" s="10" customFormat="1" ht="14.45">
      <c r="A470" s="13">
        <v>468</v>
      </c>
      <c r="B470" s="28"/>
      <c r="C470" s="19" t="s">
        <v>526</v>
      </c>
      <c r="D470" s="14" t="s">
        <v>526</v>
      </c>
      <c r="E470" s="14" t="s">
        <v>526</v>
      </c>
      <c r="F470" s="14" t="s">
        <v>526</v>
      </c>
      <c r="G470" s="18" t="s">
        <v>526</v>
      </c>
      <c r="H470" s="14" t="s">
        <v>526</v>
      </c>
      <c r="I470" s="18" t="s">
        <v>526</v>
      </c>
      <c r="J470" s="14">
        <v>468</v>
      </c>
    </row>
    <row r="471" spans="1:10" s="10" customFormat="1" ht="14.45">
      <c r="A471" s="13">
        <v>469</v>
      </c>
      <c r="B471" s="28"/>
      <c r="C471" s="19" t="s">
        <v>526</v>
      </c>
      <c r="D471" s="14" t="s">
        <v>526</v>
      </c>
      <c r="E471" s="14" t="s">
        <v>526</v>
      </c>
      <c r="F471" s="14" t="s">
        <v>526</v>
      </c>
      <c r="G471" s="18" t="s">
        <v>526</v>
      </c>
      <c r="H471" s="14" t="s">
        <v>526</v>
      </c>
      <c r="I471" s="18" t="s">
        <v>526</v>
      </c>
      <c r="J471" s="14">
        <v>469</v>
      </c>
    </row>
    <row r="472" spans="1:10" s="10" customFormat="1" ht="14.45">
      <c r="A472" s="13">
        <v>470</v>
      </c>
      <c r="B472" s="28"/>
      <c r="C472" s="19" t="s">
        <v>526</v>
      </c>
      <c r="D472" s="14" t="s">
        <v>526</v>
      </c>
      <c r="E472" s="14" t="s">
        <v>526</v>
      </c>
      <c r="F472" s="14" t="s">
        <v>526</v>
      </c>
      <c r="G472" s="18" t="s">
        <v>526</v>
      </c>
      <c r="H472" s="14" t="s">
        <v>526</v>
      </c>
      <c r="I472" s="18" t="s">
        <v>526</v>
      </c>
      <c r="J472" s="14">
        <v>470</v>
      </c>
    </row>
    <row r="473" spans="1:10" s="10" customFormat="1" ht="14.45">
      <c r="A473" s="13">
        <v>471</v>
      </c>
      <c r="B473" s="28"/>
      <c r="C473" s="19" t="s">
        <v>526</v>
      </c>
      <c r="D473" s="14" t="s">
        <v>526</v>
      </c>
      <c r="E473" s="14" t="s">
        <v>526</v>
      </c>
      <c r="F473" s="14" t="s">
        <v>526</v>
      </c>
      <c r="G473" s="18" t="s">
        <v>526</v>
      </c>
      <c r="H473" s="14" t="s">
        <v>526</v>
      </c>
      <c r="I473" s="18" t="s">
        <v>526</v>
      </c>
      <c r="J473" s="14">
        <v>471</v>
      </c>
    </row>
    <row r="474" spans="1:10" s="10" customFormat="1" ht="14.45">
      <c r="A474" s="13">
        <v>472</v>
      </c>
      <c r="B474" s="28"/>
      <c r="C474" s="19" t="s">
        <v>526</v>
      </c>
      <c r="D474" s="14" t="s">
        <v>526</v>
      </c>
      <c r="E474" s="14" t="s">
        <v>526</v>
      </c>
      <c r="F474" s="14" t="s">
        <v>526</v>
      </c>
      <c r="G474" s="18" t="s">
        <v>526</v>
      </c>
      <c r="H474" s="14" t="s">
        <v>526</v>
      </c>
      <c r="I474" s="18" t="s">
        <v>526</v>
      </c>
      <c r="J474" s="14">
        <v>472</v>
      </c>
    </row>
    <row r="475" spans="1:10" s="10" customFormat="1" ht="14.45">
      <c r="A475" s="13">
        <v>473</v>
      </c>
      <c r="B475" s="28"/>
      <c r="C475" s="19" t="s">
        <v>526</v>
      </c>
      <c r="D475" s="14" t="s">
        <v>526</v>
      </c>
      <c r="E475" s="14" t="s">
        <v>526</v>
      </c>
      <c r="F475" s="14" t="s">
        <v>526</v>
      </c>
      <c r="G475" s="18" t="s">
        <v>526</v>
      </c>
      <c r="H475" s="14" t="s">
        <v>526</v>
      </c>
      <c r="I475" s="18" t="s">
        <v>526</v>
      </c>
      <c r="J475" s="14">
        <v>473</v>
      </c>
    </row>
    <row r="476" spans="1:10" s="10" customFormat="1" ht="14.45">
      <c r="A476" s="13">
        <v>474</v>
      </c>
      <c r="B476" s="28"/>
      <c r="C476" s="19" t="s">
        <v>526</v>
      </c>
      <c r="D476" s="14" t="s">
        <v>526</v>
      </c>
      <c r="E476" s="14" t="s">
        <v>526</v>
      </c>
      <c r="F476" s="14" t="s">
        <v>526</v>
      </c>
      <c r="G476" s="18" t="s">
        <v>526</v>
      </c>
      <c r="H476" s="14" t="s">
        <v>526</v>
      </c>
      <c r="I476" s="18" t="s">
        <v>526</v>
      </c>
      <c r="J476" s="14">
        <v>474</v>
      </c>
    </row>
    <row r="477" spans="1:10" s="10" customFormat="1" ht="14.45">
      <c r="A477" s="13">
        <v>475</v>
      </c>
      <c r="B477" s="28"/>
      <c r="C477" s="19" t="s">
        <v>526</v>
      </c>
      <c r="D477" s="14" t="s">
        <v>526</v>
      </c>
      <c r="E477" s="14" t="s">
        <v>526</v>
      </c>
      <c r="F477" s="14" t="s">
        <v>526</v>
      </c>
      <c r="G477" s="18" t="s">
        <v>526</v>
      </c>
      <c r="H477" s="14" t="s">
        <v>526</v>
      </c>
      <c r="I477" s="18" t="s">
        <v>526</v>
      </c>
      <c r="J477" s="14">
        <v>475</v>
      </c>
    </row>
    <row r="478" spans="1:10" s="10" customFormat="1" ht="14.45">
      <c r="A478" s="13">
        <v>476</v>
      </c>
      <c r="B478" s="28"/>
      <c r="C478" s="19" t="s">
        <v>526</v>
      </c>
      <c r="D478" s="14" t="s">
        <v>526</v>
      </c>
      <c r="E478" s="14" t="s">
        <v>526</v>
      </c>
      <c r="F478" s="14" t="s">
        <v>526</v>
      </c>
      <c r="G478" s="18" t="s">
        <v>526</v>
      </c>
      <c r="H478" s="14" t="s">
        <v>526</v>
      </c>
      <c r="I478" s="18" t="s">
        <v>526</v>
      </c>
      <c r="J478" s="14">
        <v>476</v>
      </c>
    </row>
    <row r="479" spans="1:10" s="10" customFormat="1" ht="14.45">
      <c r="A479" s="13">
        <v>477</v>
      </c>
      <c r="B479" s="28"/>
      <c r="C479" s="19" t="s">
        <v>526</v>
      </c>
      <c r="D479" s="14" t="s">
        <v>526</v>
      </c>
      <c r="E479" s="14" t="s">
        <v>526</v>
      </c>
      <c r="F479" s="14" t="s">
        <v>526</v>
      </c>
      <c r="G479" s="18" t="s">
        <v>526</v>
      </c>
      <c r="H479" s="14" t="s">
        <v>526</v>
      </c>
      <c r="I479" s="18" t="s">
        <v>526</v>
      </c>
      <c r="J479" s="14">
        <v>477</v>
      </c>
    </row>
    <row r="480" spans="1:10" s="10" customFormat="1" ht="14.45">
      <c r="A480" s="13">
        <v>478</v>
      </c>
      <c r="B480" s="28"/>
      <c r="C480" s="19" t="s">
        <v>526</v>
      </c>
      <c r="D480" s="14" t="s">
        <v>526</v>
      </c>
      <c r="E480" s="14" t="s">
        <v>526</v>
      </c>
      <c r="F480" s="14" t="s">
        <v>526</v>
      </c>
      <c r="G480" s="18" t="s">
        <v>526</v>
      </c>
      <c r="H480" s="14" t="s">
        <v>526</v>
      </c>
      <c r="I480" s="18" t="s">
        <v>526</v>
      </c>
      <c r="J480" s="14">
        <v>478</v>
      </c>
    </row>
    <row r="481" spans="1:10" s="10" customFormat="1" ht="14.45">
      <c r="A481" s="13">
        <v>479</v>
      </c>
      <c r="B481" s="28"/>
      <c r="C481" s="19" t="s">
        <v>526</v>
      </c>
      <c r="D481" s="14" t="s">
        <v>526</v>
      </c>
      <c r="E481" s="14" t="s">
        <v>526</v>
      </c>
      <c r="F481" s="14" t="s">
        <v>526</v>
      </c>
      <c r="G481" s="18" t="s">
        <v>526</v>
      </c>
      <c r="H481" s="14" t="s">
        <v>526</v>
      </c>
      <c r="I481" s="18" t="s">
        <v>526</v>
      </c>
      <c r="J481" s="14">
        <v>479</v>
      </c>
    </row>
    <row r="482" spans="1:10" s="10" customFormat="1" ht="14.45">
      <c r="A482" s="13">
        <v>480</v>
      </c>
      <c r="B482" s="28"/>
      <c r="C482" s="19" t="s">
        <v>526</v>
      </c>
      <c r="D482" s="14" t="s">
        <v>526</v>
      </c>
      <c r="E482" s="14" t="s">
        <v>526</v>
      </c>
      <c r="F482" s="14" t="s">
        <v>526</v>
      </c>
      <c r="G482" s="18" t="s">
        <v>526</v>
      </c>
      <c r="H482" s="14" t="s">
        <v>526</v>
      </c>
      <c r="I482" s="18" t="s">
        <v>526</v>
      </c>
      <c r="J482" s="14">
        <v>480</v>
      </c>
    </row>
    <row r="483" spans="1:10" s="10" customFormat="1" ht="14.45">
      <c r="A483" s="13">
        <v>481</v>
      </c>
      <c r="B483" s="28"/>
      <c r="C483" s="19" t="s">
        <v>526</v>
      </c>
      <c r="D483" s="14" t="s">
        <v>526</v>
      </c>
      <c r="E483" s="14" t="s">
        <v>526</v>
      </c>
      <c r="F483" s="14" t="s">
        <v>526</v>
      </c>
      <c r="G483" s="18" t="s">
        <v>526</v>
      </c>
      <c r="H483" s="14" t="s">
        <v>526</v>
      </c>
      <c r="I483" s="18" t="s">
        <v>526</v>
      </c>
      <c r="J483" s="14">
        <v>481</v>
      </c>
    </row>
    <row r="484" spans="1:10" s="10" customFormat="1" ht="14.45">
      <c r="A484" s="13">
        <v>482</v>
      </c>
      <c r="B484" s="28"/>
      <c r="C484" s="19" t="s">
        <v>526</v>
      </c>
      <c r="D484" s="14" t="s">
        <v>526</v>
      </c>
      <c r="E484" s="14" t="s">
        <v>526</v>
      </c>
      <c r="F484" s="14" t="s">
        <v>526</v>
      </c>
      <c r="G484" s="18" t="s">
        <v>526</v>
      </c>
      <c r="H484" s="14" t="s">
        <v>526</v>
      </c>
      <c r="I484" s="18" t="s">
        <v>526</v>
      </c>
      <c r="J484" s="14">
        <v>482</v>
      </c>
    </row>
    <row r="485" spans="1:10" s="10" customFormat="1" ht="14.45">
      <c r="A485" s="13">
        <v>483</v>
      </c>
      <c r="B485" s="28"/>
      <c r="C485" s="19" t="s">
        <v>526</v>
      </c>
      <c r="D485" s="14" t="s">
        <v>526</v>
      </c>
      <c r="E485" s="14" t="s">
        <v>526</v>
      </c>
      <c r="F485" s="14" t="s">
        <v>526</v>
      </c>
      <c r="G485" s="18" t="s">
        <v>526</v>
      </c>
      <c r="H485" s="14" t="s">
        <v>526</v>
      </c>
      <c r="I485" s="18" t="s">
        <v>526</v>
      </c>
      <c r="J485" s="14">
        <v>483</v>
      </c>
    </row>
    <row r="486" spans="1:10" s="10" customFormat="1" ht="14.45">
      <c r="A486" s="13">
        <v>484</v>
      </c>
      <c r="B486" s="28"/>
      <c r="C486" s="19" t="s">
        <v>526</v>
      </c>
      <c r="D486" s="14" t="s">
        <v>526</v>
      </c>
      <c r="E486" s="14" t="s">
        <v>526</v>
      </c>
      <c r="F486" s="14" t="s">
        <v>526</v>
      </c>
      <c r="G486" s="18" t="s">
        <v>526</v>
      </c>
      <c r="H486" s="14" t="s">
        <v>526</v>
      </c>
      <c r="I486" s="18" t="s">
        <v>526</v>
      </c>
      <c r="J486" s="14">
        <v>484</v>
      </c>
    </row>
    <row r="487" spans="1:10" s="10" customFormat="1" ht="14.45">
      <c r="A487" s="13">
        <v>485</v>
      </c>
      <c r="B487" s="28"/>
      <c r="C487" s="19" t="s">
        <v>526</v>
      </c>
      <c r="D487" s="14" t="s">
        <v>526</v>
      </c>
      <c r="E487" s="14" t="s">
        <v>526</v>
      </c>
      <c r="F487" s="14" t="s">
        <v>526</v>
      </c>
      <c r="G487" s="18" t="s">
        <v>526</v>
      </c>
      <c r="H487" s="14" t="s">
        <v>526</v>
      </c>
      <c r="I487" s="18" t="s">
        <v>526</v>
      </c>
      <c r="J487" s="14">
        <v>485</v>
      </c>
    </row>
    <row r="488" spans="1:10" s="10" customFormat="1" ht="14.45">
      <c r="A488" s="13">
        <v>486</v>
      </c>
      <c r="B488" s="28"/>
      <c r="C488" s="19" t="s">
        <v>526</v>
      </c>
      <c r="D488" s="14" t="s">
        <v>526</v>
      </c>
      <c r="E488" s="14" t="s">
        <v>526</v>
      </c>
      <c r="F488" s="14" t="s">
        <v>526</v>
      </c>
      <c r="G488" s="18" t="s">
        <v>526</v>
      </c>
      <c r="H488" s="14" t="s">
        <v>526</v>
      </c>
      <c r="I488" s="18" t="s">
        <v>526</v>
      </c>
      <c r="J488" s="14">
        <v>486</v>
      </c>
    </row>
    <row r="489" spans="1:10" s="10" customFormat="1" ht="14.45">
      <c r="A489" s="13">
        <v>487</v>
      </c>
      <c r="B489" s="28"/>
      <c r="C489" s="19" t="s">
        <v>526</v>
      </c>
      <c r="D489" s="14" t="s">
        <v>526</v>
      </c>
      <c r="E489" s="14" t="s">
        <v>526</v>
      </c>
      <c r="F489" s="14" t="s">
        <v>526</v>
      </c>
      <c r="G489" s="18" t="s">
        <v>526</v>
      </c>
      <c r="H489" s="14" t="s">
        <v>526</v>
      </c>
      <c r="I489" s="18" t="s">
        <v>526</v>
      </c>
      <c r="J489" s="14">
        <v>487</v>
      </c>
    </row>
    <row r="490" spans="1:10" s="10" customFormat="1" ht="14.45">
      <c r="A490" s="13">
        <v>488</v>
      </c>
      <c r="B490" s="28"/>
      <c r="C490" s="19" t="s">
        <v>526</v>
      </c>
      <c r="D490" s="14" t="s">
        <v>526</v>
      </c>
      <c r="E490" s="14" t="s">
        <v>526</v>
      </c>
      <c r="F490" s="14" t="s">
        <v>526</v>
      </c>
      <c r="G490" s="18" t="s">
        <v>526</v>
      </c>
      <c r="H490" s="14" t="s">
        <v>526</v>
      </c>
      <c r="I490" s="18" t="s">
        <v>526</v>
      </c>
      <c r="J490" s="14">
        <v>488</v>
      </c>
    </row>
    <row r="491" spans="1:10" s="10" customFormat="1" ht="14.45">
      <c r="A491" s="13">
        <v>489</v>
      </c>
      <c r="B491" s="28"/>
      <c r="C491" s="19" t="s">
        <v>526</v>
      </c>
      <c r="D491" s="14" t="s">
        <v>526</v>
      </c>
      <c r="E491" s="14" t="s">
        <v>526</v>
      </c>
      <c r="F491" s="14" t="s">
        <v>526</v>
      </c>
      <c r="G491" s="18" t="s">
        <v>526</v>
      </c>
      <c r="H491" s="14" t="s">
        <v>526</v>
      </c>
      <c r="I491" s="18" t="s">
        <v>526</v>
      </c>
      <c r="J491" s="14">
        <v>489</v>
      </c>
    </row>
    <row r="492" spans="1:10" s="10" customFormat="1" ht="14.45">
      <c r="A492" s="13">
        <v>490</v>
      </c>
      <c r="B492" s="28"/>
      <c r="C492" s="19" t="s">
        <v>526</v>
      </c>
      <c r="D492" s="14" t="s">
        <v>526</v>
      </c>
      <c r="E492" s="14" t="s">
        <v>526</v>
      </c>
      <c r="F492" s="14" t="s">
        <v>526</v>
      </c>
      <c r="G492" s="18" t="s">
        <v>526</v>
      </c>
      <c r="H492" s="14" t="s">
        <v>526</v>
      </c>
      <c r="I492" s="18" t="s">
        <v>526</v>
      </c>
      <c r="J492" s="14">
        <v>490</v>
      </c>
    </row>
    <row r="493" spans="1:10" s="10" customFormat="1" ht="14.45">
      <c r="A493" s="13">
        <v>491</v>
      </c>
      <c r="B493" s="28"/>
      <c r="C493" s="19" t="s">
        <v>526</v>
      </c>
      <c r="D493" s="14" t="s">
        <v>526</v>
      </c>
      <c r="E493" s="14" t="s">
        <v>526</v>
      </c>
      <c r="F493" s="14" t="s">
        <v>526</v>
      </c>
      <c r="G493" s="18" t="s">
        <v>526</v>
      </c>
      <c r="H493" s="14" t="s">
        <v>526</v>
      </c>
      <c r="I493" s="18" t="s">
        <v>526</v>
      </c>
      <c r="J493" s="14">
        <v>491</v>
      </c>
    </row>
    <row r="494" spans="1:10" s="10" customFormat="1" ht="14.45">
      <c r="A494" s="13">
        <v>492</v>
      </c>
      <c r="B494" s="28"/>
      <c r="C494" s="19" t="s">
        <v>526</v>
      </c>
      <c r="D494" s="14" t="s">
        <v>526</v>
      </c>
      <c r="E494" s="14" t="s">
        <v>526</v>
      </c>
      <c r="F494" s="14" t="s">
        <v>526</v>
      </c>
      <c r="G494" s="18" t="s">
        <v>526</v>
      </c>
      <c r="H494" s="14" t="s">
        <v>526</v>
      </c>
      <c r="I494" s="18" t="s">
        <v>526</v>
      </c>
      <c r="J494" s="14">
        <v>492</v>
      </c>
    </row>
    <row r="495" spans="1:10" s="10" customFormat="1" ht="14.45">
      <c r="A495" s="13">
        <v>493</v>
      </c>
      <c r="B495" s="28"/>
      <c r="C495" s="19" t="s">
        <v>526</v>
      </c>
      <c r="D495" s="14" t="s">
        <v>526</v>
      </c>
      <c r="E495" s="14" t="s">
        <v>526</v>
      </c>
      <c r="F495" s="14" t="s">
        <v>526</v>
      </c>
      <c r="G495" s="18" t="s">
        <v>526</v>
      </c>
      <c r="H495" s="14" t="s">
        <v>526</v>
      </c>
      <c r="I495" s="18" t="s">
        <v>526</v>
      </c>
      <c r="J495" s="14">
        <v>493</v>
      </c>
    </row>
    <row r="496" spans="1:10" s="10" customFormat="1" ht="14.45">
      <c r="A496" s="13">
        <v>494</v>
      </c>
      <c r="B496" s="28"/>
      <c r="C496" s="19" t="s">
        <v>526</v>
      </c>
      <c r="D496" s="14" t="s">
        <v>526</v>
      </c>
      <c r="E496" s="14" t="s">
        <v>526</v>
      </c>
      <c r="F496" s="14" t="s">
        <v>526</v>
      </c>
      <c r="G496" s="18" t="s">
        <v>526</v>
      </c>
      <c r="H496" s="14" t="s">
        <v>526</v>
      </c>
      <c r="I496" s="18" t="s">
        <v>526</v>
      </c>
      <c r="J496" s="14">
        <v>494</v>
      </c>
    </row>
    <row r="497" spans="1:10" s="10" customFormat="1" ht="14.45">
      <c r="A497" s="13">
        <v>495</v>
      </c>
      <c r="B497" s="28"/>
      <c r="C497" s="19" t="s">
        <v>526</v>
      </c>
      <c r="D497" s="14" t="s">
        <v>526</v>
      </c>
      <c r="E497" s="14" t="s">
        <v>526</v>
      </c>
      <c r="F497" s="14" t="s">
        <v>526</v>
      </c>
      <c r="G497" s="18" t="s">
        <v>526</v>
      </c>
      <c r="H497" s="14" t="s">
        <v>526</v>
      </c>
      <c r="I497" s="18" t="s">
        <v>526</v>
      </c>
      <c r="J497" s="14">
        <v>495</v>
      </c>
    </row>
    <row r="498" spans="1:10" s="10" customFormat="1" ht="14.45">
      <c r="A498" s="13">
        <v>496</v>
      </c>
      <c r="B498" s="28"/>
      <c r="C498" s="19" t="s">
        <v>526</v>
      </c>
      <c r="D498" s="14" t="s">
        <v>526</v>
      </c>
      <c r="E498" s="14" t="s">
        <v>526</v>
      </c>
      <c r="F498" s="14" t="s">
        <v>526</v>
      </c>
      <c r="G498" s="18" t="s">
        <v>526</v>
      </c>
      <c r="H498" s="14" t="s">
        <v>526</v>
      </c>
      <c r="I498" s="18" t="s">
        <v>526</v>
      </c>
      <c r="J498" s="14">
        <v>496</v>
      </c>
    </row>
    <row r="499" spans="1:10" s="10" customFormat="1" ht="14.45">
      <c r="A499" s="13">
        <v>497</v>
      </c>
      <c r="B499" s="28"/>
      <c r="C499" s="19" t="s">
        <v>526</v>
      </c>
      <c r="D499" s="14" t="s">
        <v>526</v>
      </c>
      <c r="E499" s="14" t="s">
        <v>526</v>
      </c>
      <c r="F499" s="14" t="s">
        <v>526</v>
      </c>
      <c r="G499" s="18" t="s">
        <v>526</v>
      </c>
      <c r="H499" s="14" t="s">
        <v>526</v>
      </c>
      <c r="I499" s="18" t="s">
        <v>526</v>
      </c>
      <c r="J499" s="14">
        <v>497</v>
      </c>
    </row>
    <row r="500" spans="1:10" s="10" customFormat="1" ht="14.45">
      <c r="A500" s="13">
        <v>498</v>
      </c>
      <c r="B500" s="28"/>
      <c r="C500" s="19" t="s">
        <v>526</v>
      </c>
      <c r="D500" s="14" t="s">
        <v>526</v>
      </c>
      <c r="E500" s="14" t="s">
        <v>526</v>
      </c>
      <c r="F500" s="14" t="s">
        <v>526</v>
      </c>
      <c r="G500" s="18" t="s">
        <v>526</v>
      </c>
      <c r="H500" s="14" t="s">
        <v>526</v>
      </c>
      <c r="I500" s="18" t="s">
        <v>526</v>
      </c>
      <c r="J500" s="14">
        <v>498</v>
      </c>
    </row>
    <row r="501" spans="1:10" s="10" customFormat="1" ht="14.45">
      <c r="A501" s="13">
        <v>499</v>
      </c>
      <c r="B501" s="28"/>
      <c r="C501" s="19" t="s">
        <v>526</v>
      </c>
      <c r="D501" s="14" t="s">
        <v>526</v>
      </c>
      <c r="E501" s="14" t="s">
        <v>526</v>
      </c>
      <c r="F501" s="14" t="s">
        <v>526</v>
      </c>
      <c r="G501" s="18" t="s">
        <v>526</v>
      </c>
      <c r="H501" s="14" t="s">
        <v>526</v>
      </c>
      <c r="I501" s="18" t="s">
        <v>526</v>
      </c>
      <c r="J501" s="14">
        <v>499</v>
      </c>
    </row>
    <row r="502" spans="1:10" s="10" customFormat="1" ht="14.45">
      <c r="A502" s="13">
        <v>500</v>
      </c>
      <c r="B502" s="28"/>
      <c r="C502" s="19" t="s">
        <v>526</v>
      </c>
      <c r="D502" s="14" t="s">
        <v>526</v>
      </c>
      <c r="E502" s="14" t="s">
        <v>526</v>
      </c>
      <c r="F502" s="14" t="s">
        <v>526</v>
      </c>
      <c r="G502" s="18" t="s">
        <v>526</v>
      </c>
      <c r="H502" s="14" t="s">
        <v>526</v>
      </c>
      <c r="I502" s="18" t="s">
        <v>526</v>
      </c>
      <c r="J502" s="14">
        <v>500</v>
      </c>
    </row>
    <row r="503" spans="1:10" s="10" customFormat="1" ht="14.45">
      <c r="A503" s="13">
        <v>501</v>
      </c>
      <c r="B503" s="28"/>
      <c r="C503" s="19" t="s">
        <v>526</v>
      </c>
      <c r="D503" s="14" t="s">
        <v>526</v>
      </c>
      <c r="E503" s="14" t="s">
        <v>526</v>
      </c>
      <c r="F503" s="14" t="s">
        <v>526</v>
      </c>
      <c r="G503" s="18" t="s">
        <v>526</v>
      </c>
      <c r="H503" s="14" t="s">
        <v>526</v>
      </c>
      <c r="I503" s="18" t="s">
        <v>526</v>
      </c>
      <c r="J503" s="14">
        <v>501</v>
      </c>
    </row>
    <row r="504" spans="1:10" s="10" customFormat="1" ht="14.45">
      <c r="A504" s="13">
        <v>502</v>
      </c>
      <c r="B504" s="28"/>
      <c r="C504" s="19" t="s">
        <v>526</v>
      </c>
      <c r="D504" s="14" t="s">
        <v>526</v>
      </c>
      <c r="E504" s="14" t="s">
        <v>526</v>
      </c>
      <c r="F504" s="14" t="s">
        <v>526</v>
      </c>
      <c r="G504" s="18" t="s">
        <v>526</v>
      </c>
      <c r="H504" s="14" t="s">
        <v>526</v>
      </c>
      <c r="I504" s="18" t="s">
        <v>526</v>
      </c>
      <c r="J504" s="14">
        <v>502</v>
      </c>
    </row>
    <row r="505" spans="1:10" s="10" customFormat="1" ht="14.45">
      <c r="A505" s="13">
        <v>503</v>
      </c>
      <c r="B505" s="28"/>
      <c r="C505" s="19" t="s">
        <v>526</v>
      </c>
      <c r="D505" s="14" t="s">
        <v>526</v>
      </c>
      <c r="E505" s="14" t="s">
        <v>526</v>
      </c>
      <c r="F505" s="14" t="s">
        <v>526</v>
      </c>
      <c r="G505" s="18" t="s">
        <v>526</v>
      </c>
      <c r="H505" s="14" t="s">
        <v>526</v>
      </c>
      <c r="I505" s="18" t="s">
        <v>526</v>
      </c>
      <c r="J505" s="14">
        <v>503</v>
      </c>
    </row>
    <row r="506" spans="1:10" s="10" customFormat="1" ht="14.45">
      <c r="A506" s="13">
        <v>504</v>
      </c>
      <c r="B506" s="28"/>
      <c r="C506" s="19" t="s">
        <v>526</v>
      </c>
      <c r="D506" s="14" t="s">
        <v>526</v>
      </c>
      <c r="E506" s="14" t="s">
        <v>526</v>
      </c>
      <c r="F506" s="14" t="s">
        <v>526</v>
      </c>
      <c r="G506" s="18" t="s">
        <v>526</v>
      </c>
      <c r="H506" s="14" t="s">
        <v>526</v>
      </c>
      <c r="I506" s="18" t="s">
        <v>526</v>
      </c>
      <c r="J506" s="14">
        <v>504</v>
      </c>
    </row>
    <row r="507" spans="1:10" s="10" customFormat="1" ht="14.45">
      <c r="A507" s="13">
        <v>505</v>
      </c>
      <c r="B507" s="28"/>
      <c r="C507" s="19" t="s">
        <v>526</v>
      </c>
      <c r="D507" s="14" t="s">
        <v>526</v>
      </c>
      <c r="E507" s="14" t="s">
        <v>526</v>
      </c>
      <c r="F507" s="14" t="s">
        <v>526</v>
      </c>
      <c r="G507" s="18" t="s">
        <v>526</v>
      </c>
      <c r="H507" s="14" t="s">
        <v>526</v>
      </c>
      <c r="I507" s="18" t="s">
        <v>526</v>
      </c>
      <c r="J507" s="14">
        <v>505</v>
      </c>
    </row>
    <row r="508" spans="1:10" s="10" customFormat="1" ht="14.45">
      <c r="A508" s="13">
        <v>506</v>
      </c>
      <c r="B508" s="28"/>
      <c r="C508" s="19" t="s">
        <v>526</v>
      </c>
      <c r="D508" s="14" t="s">
        <v>526</v>
      </c>
      <c r="E508" s="14" t="s">
        <v>526</v>
      </c>
      <c r="F508" s="14" t="s">
        <v>526</v>
      </c>
      <c r="G508" s="18" t="s">
        <v>526</v>
      </c>
      <c r="H508" s="14" t="s">
        <v>526</v>
      </c>
      <c r="I508" s="18" t="s">
        <v>526</v>
      </c>
      <c r="J508" s="14">
        <v>506</v>
      </c>
    </row>
    <row r="509" spans="1:10" s="10" customFormat="1" ht="14.45">
      <c r="A509" s="13">
        <v>507</v>
      </c>
      <c r="B509" s="28"/>
      <c r="C509" s="19" t="s">
        <v>526</v>
      </c>
      <c r="D509" s="14" t="s">
        <v>526</v>
      </c>
      <c r="E509" s="14" t="s">
        <v>526</v>
      </c>
      <c r="F509" s="14" t="s">
        <v>526</v>
      </c>
      <c r="G509" s="18" t="s">
        <v>526</v>
      </c>
      <c r="H509" s="14" t="s">
        <v>526</v>
      </c>
      <c r="I509" s="18" t="s">
        <v>526</v>
      </c>
      <c r="J509" s="14">
        <v>507</v>
      </c>
    </row>
    <row r="510" spans="1:10" s="10" customFormat="1" ht="14.45">
      <c r="A510" s="13">
        <v>508</v>
      </c>
      <c r="B510" s="28"/>
      <c r="C510" s="19" t="s">
        <v>526</v>
      </c>
      <c r="D510" s="14" t="s">
        <v>526</v>
      </c>
      <c r="E510" s="14" t="s">
        <v>526</v>
      </c>
      <c r="F510" s="14" t="s">
        <v>526</v>
      </c>
      <c r="G510" s="18" t="s">
        <v>526</v>
      </c>
      <c r="H510" s="14" t="s">
        <v>526</v>
      </c>
      <c r="I510" s="18" t="s">
        <v>526</v>
      </c>
      <c r="J510" s="14">
        <v>508</v>
      </c>
    </row>
    <row r="511" spans="1:10" s="10" customFormat="1" ht="14.45">
      <c r="A511" s="13">
        <v>509</v>
      </c>
      <c r="B511" s="28"/>
      <c r="C511" s="19" t="s">
        <v>526</v>
      </c>
      <c r="D511" s="14" t="s">
        <v>526</v>
      </c>
      <c r="E511" s="14" t="s">
        <v>526</v>
      </c>
      <c r="F511" s="14" t="s">
        <v>526</v>
      </c>
      <c r="G511" s="18" t="s">
        <v>526</v>
      </c>
      <c r="H511" s="14" t="s">
        <v>526</v>
      </c>
      <c r="I511" s="18" t="s">
        <v>526</v>
      </c>
      <c r="J511" s="14">
        <v>509</v>
      </c>
    </row>
    <row r="512" spans="1:10" s="10" customFormat="1" ht="14.45">
      <c r="A512" s="13">
        <v>510</v>
      </c>
      <c r="B512" s="28"/>
      <c r="C512" s="19" t="s">
        <v>526</v>
      </c>
      <c r="D512" s="14" t="s">
        <v>526</v>
      </c>
      <c r="E512" s="14" t="s">
        <v>526</v>
      </c>
      <c r="F512" s="14" t="s">
        <v>526</v>
      </c>
      <c r="G512" s="18" t="s">
        <v>526</v>
      </c>
      <c r="H512" s="14" t="s">
        <v>526</v>
      </c>
      <c r="I512" s="18" t="s">
        <v>526</v>
      </c>
      <c r="J512" s="14">
        <v>510</v>
      </c>
    </row>
    <row r="513" spans="1:10" s="10" customFormat="1" ht="14.45">
      <c r="A513" s="13">
        <v>511</v>
      </c>
      <c r="B513" s="28"/>
      <c r="C513" s="19" t="s">
        <v>526</v>
      </c>
      <c r="D513" s="14" t="s">
        <v>526</v>
      </c>
      <c r="E513" s="14" t="s">
        <v>526</v>
      </c>
      <c r="F513" s="14" t="s">
        <v>526</v>
      </c>
      <c r="G513" s="18" t="s">
        <v>526</v>
      </c>
      <c r="H513" s="14" t="s">
        <v>526</v>
      </c>
      <c r="I513" s="18" t="s">
        <v>526</v>
      </c>
      <c r="J513" s="14">
        <v>511</v>
      </c>
    </row>
    <row r="514" spans="1:10" s="10" customFormat="1" ht="14.45">
      <c r="A514" s="13">
        <v>512</v>
      </c>
      <c r="B514" s="28"/>
      <c r="C514" s="19" t="s">
        <v>526</v>
      </c>
      <c r="D514" s="14" t="s">
        <v>526</v>
      </c>
      <c r="E514" s="14" t="s">
        <v>526</v>
      </c>
      <c r="F514" s="14" t="s">
        <v>526</v>
      </c>
      <c r="G514" s="18" t="s">
        <v>526</v>
      </c>
      <c r="H514" s="14" t="s">
        <v>526</v>
      </c>
      <c r="I514" s="18" t="s">
        <v>526</v>
      </c>
      <c r="J514" s="14">
        <v>512</v>
      </c>
    </row>
    <row r="515" spans="1:10" s="10" customFormat="1" ht="14.45">
      <c r="A515" s="13">
        <v>513</v>
      </c>
      <c r="B515" s="28"/>
      <c r="C515" s="19" t="s">
        <v>526</v>
      </c>
      <c r="D515" s="14" t="s">
        <v>526</v>
      </c>
      <c r="E515" s="14" t="s">
        <v>526</v>
      </c>
      <c r="F515" s="14" t="s">
        <v>526</v>
      </c>
      <c r="G515" s="18" t="s">
        <v>526</v>
      </c>
      <c r="H515" s="14" t="s">
        <v>526</v>
      </c>
      <c r="I515" s="18" t="s">
        <v>526</v>
      </c>
      <c r="J515" s="14">
        <v>513</v>
      </c>
    </row>
    <row r="516" spans="1:10" s="10" customFormat="1" ht="14.45">
      <c r="A516" s="13">
        <v>514</v>
      </c>
      <c r="B516" s="28"/>
      <c r="C516" s="19" t="s">
        <v>526</v>
      </c>
      <c r="D516" s="14" t="s">
        <v>526</v>
      </c>
      <c r="E516" s="14" t="s">
        <v>526</v>
      </c>
      <c r="F516" s="14" t="s">
        <v>526</v>
      </c>
      <c r="G516" s="18" t="s">
        <v>526</v>
      </c>
      <c r="H516" s="14" t="s">
        <v>526</v>
      </c>
      <c r="I516" s="18" t="s">
        <v>526</v>
      </c>
      <c r="J516" s="14">
        <v>514</v>
      </c>
    </row>
    <row r="517" spans="1:10" s="10" customFormat="1" ht="14.45">
      <c r="A517" s="13">
        <v>515</v>
      </c>
      <c r="B517" s="28"/>
      <c r="C517" s="19" t="s">
        <v>526</v>
      </c>
      <c r="D517" s="14" t="s">
        <v>526</v>
      </c>
      <c r="E517" s="14" t="s">
        <v>526</v>
      </c>
      <c r="F517" s="14" t="s">
        <v>526</v>
      </c>
      <c r="G517" s="18" t="s">
        <v>526</v>
      </c>
      <c r="H517" s="14" t="s">
        <v>526</v>
      </c>
      <c r="I517" s="18" t="s">
        <v>526</v>
      </c>
      <c r="J517" s="14">
        <v>515</v>
      </c>
    </row>
    <row r="518" spans="1:10" s="10" customFormat="1" ht="14.45">
      <c r="A518" s="13">
        <v>516</v>
      </c>
      <c r="B518" s="28"/>
      <c r="C518" s="19" t="s">
        <v>526</v>
      </c>
      <c r="D518" s="14" t="s">
        <v>526</v>
      </c>
      <c r="E518" s="14" t="s">
        <v>526</v>
      </c>
      <c r="F518" s="14" t="s">
        <v>526</v>
      </c>
      <c r="G518" s="18" t="s">
        <v>526</v>
      </c>
      <c r="H518" s="14" t="s">
        <v>526</v>
      </c>
      <c r="I518" s="18" t="s">
        <v>526</v>
      </c>
      <c r="J518" s="14">
        <v>516</v>
      </c>
    </row>
    <row r="519" spans="1:10" s="10" customFormat="1" ht="14.45">
      <c r="A519" s="13">
        <v>517</v>
      </c>
      <c r="B519" s="28"/>
      <c r="C519" s="19" t="s">
        <v>526</v>
      </c>
      <c r="D519" s="14" t="s">
        <v>526</v>
      </c>
      <c r="E519" s="14" t="s">
        <v>526</v>
      </c>
      <c r="F519" s="14" t="s">
        <v>526</v>
      </c>
      <c r="G519" s="18" t="s">
        <v>526</v>
      </c>
      <c r="H519" s="14" t="s">
        <v>526</v>
      </c>
      <c r="I519" s="18" t="s">
        <v>526</v>
      </c>
      <c r="J519" s="14">
        <v>517</v>
      </c>
    </row>
    <row r="520" spans="1:10" s="10" customFormat="1" ht="14.45">
      <c r="A520" s="13">
        <v>518</v>
      </c>
      <c r="B520" s="28"/>
      <c r="C520" s="19" t="s">
        <v>526</v>
      </c>
      <c r="D520" s="14" t="s">
        <v>526</v>
      </c>
      <c r="E520" s="14" t="s">
        <v>526</v>
      </c>
      <c r="F520" s="14" t="s">
        <v>526</v>
      </c>
      <c r="G520" s="18" t="s">
        <v>526</v>
      </c>
      <c r="H520" s="14" t="s">
        <v>526</v>
      </c>
      <c r="I520" s="18" t="s">
        <v>526</v>
      </c>
      <c r="J520" s="14">
        <v>518</v>
      </c>
    </row>
    <row r="521" spans="1:10" s="10" customFormat="1" ht="14.45">
      <c r="A521" s="13">
        <v>519</v>
      </c>
      <c r="B521" s="28"/>
      <c r="C521" s="19" t="s">
        <v>526</v>
      </c>
      <c r="D521" s="14" t="s">
        <v>526</v>
      </c>
      <c r="E521" s="14" t="s">
        <v>526</v>
      </c>
      <c r="F521" s="14" t="s">
        <v>526</v>
      </c>
      <c r="G521" s="18" t="s">
        <v>526</v>
      </c>
      <c r="H521" s="14" t="s">
        <v>526</v>
      </c>
      <c r="I521" s="18" t="s">
        <v>526</v>
      </c>
      <c r="J521" s="14">
        <v>519</v>
      </c>
    </row>
    <row r="522" spans="1:10" s="10" customFormat="1" ht="14.45">
      <c r="A522" s="13">
        <v>520</v>
      </c>
      <c r="B522" s="28"/>
      <c r="C522" s="19" t="s">
        <v>526</v>
      </c>
      <c r="D522" s="14" t="s">
        <v>526</v>
      </c>
      <c r="E522" s="14" t="s">
        <v>526</v>
      </c>
      <c r="F522" s="14" t="s">
        <v>526</v>
      </c>
      <c r="G522" s="18" t="s">
        <v>526</v>
      </c>
      <c r="H522" s="14" t="s">
        <v>526</v>
      </c>
      <c r="I522" s="18" t="s">
        <v>526</v>
      </c>
      <c r="J522" s="14">
        <v>520</v>
      </c>
    </row>
    <row r="523" spans="1:10" s="10" customFormat="1" ht="14.45">
      <c r="A523" s="13">
        <v>521</v>
      </c>
      <c r="B523" s="28"/>
      <c r="C523" s="19" t="s">
        <v>526</v>
      </c>
      <c r="D523" s="14" t="s">
        <v>526</v>
      </c>
      <c r="E523" s="14" t="s">
        <v>526</v>
      </c>
      <c r="F523" s="14" t="s">
        <v>526</v>
      </c>
      <c r="G523" s="18" t="s">
        <v>526</v>
      </c>
      <c r="H523" s="14" t="s">
        <v>526</v>
      </c>
      <c r="I523" s="18" t="s">
        <v>526</v>
      </c>
      <c r="J523" s="14">
        <v>521</v>
      </c>
    </row>
    <row r="524" spans="1:10" s="10" customFormat="1" ht="14.45">
      <c r="A524" s="13">
        <v>522</v>
      </c>
      <c r="B524" s="28"/>
      <c r="C524" s="19" t="s">
        <v>526</v>
      </c>
      <c r="D524" s="14" t="s">
        <v>526</v>
      </c>
      <c r="E524" s="14" t="s">
        <v>526</v>
      </c>
      <c r="F524" s="14" t="s">
        <v>526</v>
      </c>
      <c r="G524" s="18" t="s">
        <v>526</v>
      </c>
      <c r="H524" s="14" t="s">
        <v>526</v>
      </c>
      <c r="I524" s="18" t="s">
        <v>526</v>
      </c>
      <c r="J524" s="14">
        <v>522</v>
      </c>
    </row>
    <row r="525" spans="1:10" s="10" customFormat="1" ht="14.45">
      <c r="A525" s="13">
        <v>523</v>
      </c>
      <c r="B525" s="28"/>
      <c r="C525" s="19" t="s">
        <v>526</v>
      </c>
      <c r="D525" s="14" t="s">
        <v>526</v>
      </c>
      <c r="E525" s="14" t="s">
        <v>526</v>
      </c>
      <c r="F525" s="14" t="s">
        <v>526</v>
      </c>
      <c r="G525" s="18" t="s">
        <v>526</v>
      </c>
      <c r="H525" s="14" t="s">
        <v>526</v>
      </c>
      <c r="I525" s="18" t="s">
        <v>526</v>
      </c>
      <c r="J525" s="14">
        <v>523</v>
      </c>
    </row>
    <row r="526" spans="1:10" s="10" customFormat="1" ht="14.45">
      <c r="A526" s="13">
        <v>524</v>
      </c>
      <c r="B526" s="28"/>
      <c r="C526" s="19" t="s">
        <v>526</v>
      </c>
      <c r="D526" s="14" t="s">
        <v>526</v>
      </c>
      <c r="E526" s="14" t="s">
        <v>526</v>
      </c>
      <c r="F526" s="14" t="s">
        <v>526</v>
      </c>
      <c r="G526" s="18" t="s">
        <v>526</v>
      </c>
      <c r="H526" s="14" t="s">
        <v>526</v>
      </c>
      <c r="I526" s="18" t="s">
        <v>526</v>
      </c>
      <c r="J526" s="14">
        <v>524</v>
      </c>
    </row>
    <row r="527" spans="1:10" s="10" customFormat="1" ht="14.45">
      <c r="A527" s="13">
        <v>525</v>
      </c>
      <c r="B527" s="28"/>
      <c r="C527" s="19" t="s">
        <v>526</v>
      </c>
      <c r="D527" s="14" t="s">
        <v>526</v>
      </c>
      <c r="E527" s="14" t="s">
        <v>526</v>
      </c>
      <c r="F527" s="14" t="s">
        <v>526</v>
      </c>
      <c r="G527" s="18" t="s">
        <v>526</v>
      </c>
      <c r="H527" s="14" t="s">
        <v>526</v>
      </c>
      <c r="I527" s="18" t="s">
        <v>526</v>
      </c>
      <c r="J527" s="14">
        <v>525</v>
      </c>
    </row>
    <row r="528" spans="1:10" s="10" customFormat="1" ht="14.45">
      <c r="A528" s="13">
        <v>526</v>
      </c>
      <c r="B528" s="28"/>
      <c r="C528" s="19" t="s">
        <v>526</v>
      </c>
      <c r="D528" s="14" t="s">
        <v>526</v>
      </c>
      <c r="E528" s="14" t="s">
        <v>526</v>
      </c>
      <c r="F528" s="14" t="s">
        <v>526</v>
      </c>
      <c r="G528" s="18" t="s">
        <v>526</v>
      </c>
      <c r="H528" s="14" t="s">
        <v>526</v>
      </c>
      <c r="I528" s="18" t="s">
        <v>526</v>
      </c>
      <c r="J528" s="14">
        <v>526</v>
      </c>
    </row>
    <row r="529" spans="1:10" s="10" customFormat="1" ht="14.45">
      <c r="A529" s="13">
        <v>527</v>
      </c>
      <c r="B529" s="28"/>
      <c r="C529" s="19" t="s">
        <v>526</v>
      </c>
      <c r="D529" s="14" t="s">
        <v>526</v>
      </c>
      <c r="E529" s="14" t="s">
        <v>526</v>
      </c>
      <c r="F529" s="14" t="s">
        <v>526</v>
      </c>
      <c r="G529" s="18" t="s">
        <v>526</v>
      </c>
      <c r="H529" s="14" t="s">
        <v>526</v>
      </c>
      <c r="I529" s="18" t="s">
        <v>526</v>
      </c>
      <c r="J529" s="14">
        <v>527</v>
      </c>
    </row>
    <row r="530" spans="1:10" s="10" customFormat="1" ht="14.45">
      <c r="A530" s="13">
        <v>528</v>
      </c>
      <c r="B530" s="28"/>
      <c r="C530" s="19" t="s">
        <v>526</v>
      </c>
      <c r="D530" s="14" t="s">
        <v>526</v>
      </c>
      <c r="E530" s="14" t="s">
        <v>526</v>
      </c>
      <c r="F530" s="14" t="s">
        <v>526</v>
      </c>
      <c r="G530" s="18" t="s">
        <v>526</v>
      </c>
      <c r="H530" s="14" t="s">
        <v>526</v>
      </c>
      <c r="I530" s="18" t="s">
        <v>526</v>
      </c>
      <c r="J530" s="14">
        <v>528</v>
      </c>
    </row>
    <row r="531" spans="1:10" s="10" customFormat="1" ht="14.45">
      <c r="A531" s="13">
        <v>529</v>
      </c>
      <c r="B531" s="28"/>
      <c r="C531" s="19" t="s">
        <v>526</v>
      </c>
      <c r="D531" s="14" t="s">
        <v>526</v>
      </c>
      <c r="E531" s="14" t="s">
        <v>526</v>
      </c>
      <c r="F531" s="14" t="s">
        <v>526</v>
      </c>
      <c r="G531" s="18" t="s">
        <v>526</v>
      </c>
      <c r="H531" s="14" t="s">
        <v>526</v>
      </c>
      <c r="I531" s="18" t="s">
        <v>526</v>
      </c>
      <c r="J531" s="14">
        <v>529</v>
      </c>
    </row>
    <row r="532" spans="1:10" s="10" customFormat="1" ht="14.45">
      <c r="A532" s="13">
        <v>530</v>
      </c>
      <c r="B532" s="28"/>
      <c r="C532" s="19" t="s">
        <v>526</v>
      </c>
      <c r="D532" s="14" t="s">
        <v>526</v>
      </c>
      <c r="E532" s="14" t="s">
        <v>526</v>
      </c>
      <c r="F532" s="14" t="s">
        <v>526</v>
      </c>
      <c r="G532" s="18" t="s">
        <v>526</v>
      </c>
      <c r="H532" s="14" t="s">
        <v>526</v>
      </c>
      <c r="I532" s="18" t="s">
        <v>526</v>
      </c>
      <c r="J532" s="14">
        <v>530</v>
      </c>
    </row>
    <row r="533" spans="1:10" s="10" customFormat="1" ht="14.45">
      <c r="A533" s="13">
        <v>531</v>
      </c>
      <c r="B533" s="28"/>
      <c r="C533" s="19" t="s">
        <v>526</v>
      </c>
      <c r="D533" s="14" t="s">
        <v>526</v>
      </c>
      <c r="E533" s="14" t="s">
        <v>526</v>
      </c>
      <c r="F533" s="14" t="s">
        <v>526</v>
      </c>
      <c r="G533" s="18" t="s">
        <v>526</v>
      </c>
      <c r="H533" s="14" t="s">
        <v>526</v>
      </c>
      <c r="I533" s="18" t="s">
        <v>526</v>
      </c>
      <c r="J533" s="14">
        <v>531</v>
      </c>
    </row>
    <row r="534" spans="1:10" s="10" customFormat="1" ht="14.45">
      <c r="A534" s="13">
        <v>532</v>
      </c>
      <c r="B534" s="28"/>
      <c r="C534" s="19" t="s">
        <v>526</v>
      </c>
      <c r="D534" s="14" t="s">
        <v>526</v>
      </c>
      <c r="E534" s="14" t="s">
        <v>526</v>
      </c>
      <c r="F534" s="14" t="s">
        <v>526</v>
      </c>
      <c r="G534" s="18" t="s">
        <v>526</v>
      </c>
      <c r="H534" s="14" t="s">
        <v>526</v>
      </c>
      <c r="I534" s="18" t="s">
        <v>526</v>
      </c>
      <c r="J534" s="14">
        <v>532</v>
      </c>
    </row>
    <row r="535" spans="1:10" s="10" customFormat="1" ht="14.45">
      <c r="A535" s="13">
        <v>533</v>
      </c>
      <c r="B535" s="28"/>
      <c r="C535" s="19" t="s">
        <v>526</v>
      </c>
      <c r="D535" s="14" t="s">
        <v>526</v>
      </c>
      <c r="E535" s="14" t="s">
        <v>526</v>
      </c>
      <c r="F535" s="14" t="s">
        <v>526</v>
      </c>
      <c r="G535" s="18" t="s">
        <v>526</v>
      </c>
      <c r="H535" s="14" t="s">
        <v>526</v>
      </c>
      <c r="I535" s="18" t="s">
        <v>526</v>
      </c>
      <c r="J535" s="14">
        <v>533</v>
      </c>
    </row>
    <row r="536" spans="1:10" s="10" customFormat="1" ht="14.45">
      <c r="A536" s="13">
        <v>534</v>
      </c>
      <c r="B536" s="28"/>
      <c r="C536" s="19" t="s">
        <v>526</v>
      </c>
      <c r="D536" s="14" t="s">
        <v>526</v>
      </c>
      <c r="E536" s="14" t="s">
        <v>526</v>
      </c>
      <c r="F536" s="14" t="s">
        <v>526</v>
      </c>
      <c r="G536" s="18" t="s">
        <v>526</v>
      </c>
      <c r="H536" s="14" t="s">
        <v>526</v>
      </c>
      <c r="I536" s="18" t="s">
        <v>526</v>
      </c>
      <c r="J536" s="14">
        <v>534</v>
      </c>
    </row>
    <row r="537" spans="1:10" s="10" customFormat="1" ht="14.45">
      <c r="A537" s="13">
        <v>535</v>
      </c>
      <c r="B537" s="28"/>
      <c r="C537" s="19" t="s">
        <v>526</v>
      </c>
      <c r="D537" s="14" t="s">
        <v>526</v>
      </c>
      <c r="E537" s="14" t="s">
        <v>526</v>
      </c>
      <c r="F537" s="14" t="s">
        <v>526</v>
      </c>
      <c r="G537" s="18" t="s">
        <v>526</v>
      </c>
      <c r="H537" s="14" t="s">
        <v>526</v>
      </c>
      <c r="I537" s="18" t="s">
        <v>526</v>
      </c>
      <c r="J537" s="14">
        <v>535</v>
      </c>
    </row>
    <row r="538" spans="1:10" s="10" customFormat="1" ht="14.45">
      <c r="A538" s="13">
        <v>536</v>
      </c>
      <c r="B538" s="28"/>
      <c r="C538" s="19" t="s">
        <v>526</v>
      </c>
      <c r="D538" s="14" t="s">
        <v>526</v>
      </c>
      <c r="E538" s="14" t="s">
        <v>526</v>
      </c>
      <c r="F538" s="14" t="s">
        <v>526</v>
      </c>
      <c r="G538" s="18" t="s">
        <v>526</v>
      </c>
      <c r="H538" s="14" t="s">
        <v>526</v>
      </c>
      <c r="I538" s="18" t="s">
        <v>526</v>
      </c>
      <c r="J538" s="14">
        <v>536</v>
      </c>
    </row>
    <row r="539" spans="1:10" s="10" customFormat="1" ht="14.45">
      <c r="A539" s="13">
        <v>537</v>
      </c>
      <c r="B539" s="28"/>
      <c r="C539" s="19" t="s">
        <v>526</v>
      </c>
      <c r="D539" s="14" t="s">
        <v>526</v>
      </c>
      <c r="E539" s="14" t="s">
        <v>526</v>
      </c>
      <c r="F539" s="14" t="s">
        <v>526</v>
      </c>
      <c r="G539" s="18" t="s">
        <v>526</v>
      </c>
      <c r="H539" s="14" t="s">
        <v>526</v>
      </c>
      <c r="I539" s="18" t="s">
        <v>526</v>
      </c>
      <c r="J539" s="14">
        <v>537</v>
      </c>
    </row>
    <row r="540" spans="1:10" s="10" customFormat="1" ht="14.45">
      <c r="A540" s="13">
        <v>538</v>
      </c>
      <c r="B540" s="28"/>
      <c r="C540" s="19" t="s">
        <v>526</v>
      </c>
      <c r="D540" s="14" t="s">
        <v>526</v>
      </c>
      <c r="E540" s="14" t="s">
        <v>526</v>
      </c>
      <c r="F540" s="14" t="s">
        <v>526</v>
      </c>
      <c r="G540" s="18" t="s">
        <v>526</v>
      </c>
      <c r="H540" s="14" t="s">
        <v>526</v>
      </c>
      <c r="I540" s="18" t="s">
        <v>526</v>
      </c>
      <c r="J540" s="14">
        <v>538</v>
      </c>
    </row>
    <row r="541" spans="1:10" s="10" customFormat="1" ht="14.45">
      <c r="A541" s="13">
        <v>539</v>
      </c>
      <c r="B541" s="28"/>
      <c r="C541" s="19" t="s">
        <v>526</v>
      </c>
      <c r="D541" s="14" t="s">
        <v>526</v>
      </c>
      <c r="E541" s="14" t="s">
        <v>526</v>
      </c>
      <c r="F541" s="14" t="s">
        <v>526</v>
      </c>
      <c r="G541" s="18" t="s">
        <v>526</v>
      </c>
      <c r="H541" s="14" t="s">
        <v>526</v>
      </c>
      <c r="I541" s="18" t="s">
        <v>526</v>
      </c>
      <c r="J541" s="14">
        <v>539</v>
      </c>
    </row>
    <row r="542" spans="1:10" s="10" customFormat="1" ht="14.45">
      <c r="A542" s="13">
        <v>540</v>
      </c>
      <c r="B542" s="28"/>
      <c r="C542" s="19" t="s">
        <v>526</v>
      </c>
      <c r="D542" s="14" t="s">
        <v>526</v>
      </c>
      <c r="E542" s="14" t="s">
        <v>526</v>
      </c>
      <c r="F542" s="14" t="s">
        <v>526</v>
      </c>
      <c r="G542" s="18" t="s">
        <v>526</v>
      </c>
      <c r="H542" s="14" t="s">
        <v>526</v>
      </c>
      <c r="I542" s="18" t="s">
        <v>526</v>
      </c>
      <c r="J542" s="14">
        <v>540</v>
      </c>
    </row>
    <row r="543" spans="1:10" s="10" customFormat="1" ht="14.45">
      <c r="A543" s="13">
        <v>541</v>
      </c>
      <c r="B543" s="28"/>
      <c r="C543" s="19" t="s">
        <v>526</v>
      </c>
      <c r="D543" s="14" t="s">
        <v>526</v>
      </c>
      <c r="E543" s="14" t="s">
        <v>526</v>
      </c>
      <c r="F543" s="14" t="s">
        <v>526</v>
      </c>
      <c r="G543" s="18" t="s">
        <v>526</v>
      </c>
      <c r="H543" s="14" t="s">
        <v>526</v>
      </c>
      <c r="I543" s="18" t="s">
        <v>526</v>
      </c>
      <c r="J543" s="14">
        <v>541</v>
      </c>
    </row>
    <row r="544" spans="1:10" s="10" customFormat="1" ht="14.45">
      <c r="A544" s="13">
        <v>542</v>
      </c>
      <c r="B544" s="28"/>
      <c r="C544" s="19" t="s">
        <v>526</v>
      </c>
      <c r="D544" s="14" t="s">
        <v>526</v>
      </c>
      <c r="E544" s="14" t="s">
        <v>526</v>
      </c>
      <c r="F544" s="14" t="s">
        <v>526</v>
      </c>
      <c r="G544" s="18" t="s">
        <v>526</v>
      </c>
      <c r="H544" s="14" t="s">
        <v>526</v>
      </c>
      <c r="I544" s="18" t="s">
        <v>526</v>
      </c>
      <c r="J544" s="14">
        <v>542</v>
      </c>
    </row>
    <row r="545" spans="1:10" s="10" customFormat="1" ht="14.45">
      <c r="A545" s="13">
        <v>543</v>
      </c>
      <c r="B545" s="28"/>
      <c r="C545" s="19" t="s">
        <v>526</v>
      </c>
      <c r="D545" s="14" t="s">
        <v>526</v>
      </c>
      <c r="E545" s="14" t="s">
        <v>526</v>
      </c>
      <c r="F545" s="14" t="s">
        <v>526</v>
      </c>
      <c r="G545" s="18" t="s">
        <v>526</v>
      </c>
      <c r="H545" s="14" t="s">
        <v>526</v>
      </c>
      <c r="I545" s="18" t="s">
        <v>526</v>
      </c>
      <c r="J545" s="14">
        <v>543</v>
      </c>
    </row>
    <row r="546" spans="1:10" s="10" customFormat="1" ht="14.45">
      <c r="A546" s="13">
        <v>544</v>
      </c>
      <c r="B546" s="28"/>
      <c r="C546" s="19" t="s">
        <v>526</v>
      </c>
      <c r="D546" s="14" t="s">
        <v>526</v>
      </c>
      <c r="E546" s="14" t="s">
        <v>526</v>
      </c>
      <c r="F546" s="14" t="s">
        <v>526</v>
      </c>
      <c r="G546" s="18" t="s">
        <v>526</v>
      </c>
      <c r="H546" s="14" t="s">
        <v>526</v>
      </c>
      <c r="I546" s="18" t="s">
        <v>526</v>
      </c>
      <c r="J546" s="14">
        <v>544</v>
      </c>
    </row>
    <row r="547" spans="1:10" s="10" customFormat="1" ht="14.45">
      <c r="A547" s="13">
        <v>545</v>
      </c>
      <c r="B547" s="28"/>
      <c r="C547" s="19" t="s">
        <v>526</v>
      </c>
      <c r="D547" s="14" t="s">
        <v>526</v>
      </c>
      <c r="E547" s="14" t="s">
        <v>526</v>
      </c>
      <c r="F547" s="14" t="s">
        <v>526</v>
      </c>
      <c r="G547" s="18" t="s">
        <v>526</v>
      </c>
      <c r="H547" s="14" t="s">
        <v>526</v>
      </c>
      <c r="I547" s="18" t="s">
        <v>526</v>
      </c>
      <c r="J547" s="14">
        <v>545</v>
      </c>
    </row>
    <row r="548" spans="1:10" s="10" customFormat="1" ht="14.45">
      <c r="A548" s="13">
        <v>546</v>
      </c>
      <c r="B548" s="28"/>
      <c r="C548" s="19" t="s">
        <v>526</v>
      </c>
      <c r="D548" s="14" t="s">
        <v>526</v>
      </c>
      <c r="E548" s="14" t="s">
        <v>526</v>
      </c>
      <c r="F548" s="14" t="s">
        <v>526</v>
      </c>
      <c r="G548" s="18" t="s">
        <v>526</v>
      </c>
      <c r="H548" s="14" t="s">
        <v>526</v>
      </c>
      <c r="I548" s="18" t="s">
        <v>526</v>
      </c>
      <c r="J548" s="14">
        <v>546</v>
      </c>
    </row>
    <row r="549" spans="1:10" s="10" customFormat="1" ht="14.45">
      <c r="A549" s="13">
        <v>547</v>
      </c>
      <c r="B549" s="28"/>
      <c r="C549" s="19" t="s">
        <v>526</v>
      </c>
      <c r="D549" s="14" t="s">
        <v>526</v>
      </c>
      <c r="E549" s="14" t="s">
        <v>526</v>
      </c>
      <c r="F549" s="14" t="s">
        <v>526</v>
      </c>
      <c r="G549" s="18" t="s">
        <v>526</v>
      </c>
      <c r="H549" s="14" t="s">
        <v>526</v>
      </c>
      <c r="I549" s="18" t="s">
        <v>526</v>
      </c>
      <c r="J549" s="14">
        <v>547</v>
      </c>
    </row>
    <row r="550" spans="1:10" s="10" customFormat="1" ht="14.45">
      <c r="A550" s="13">
        <v>548</v>
      </c>
      <c r="B550" s="28"/>
      <c r="C550" s="19" t="s">
        <v>526</v>
      </c>
      <c r="D550" s="14" t="s">
        <v>526</v>
      </c>
      <c r="E550" s="14" t="s">
        <v>526</v>
      </c>
      <c r="F550" s="14" t="s">
        <v>526</v>
      </c>
      <c r="G550" s="18" t="s">
        <v>526</v>
      </c>
      <c r="H550" s="14" t="s">
        <v>526</v>
      </c>
      <c r="I550" s="18" t="s">
        <v>526</v>
      </c>
      <c r="J550" s="14">
        <v>548</v>
      </c>
    </row>
    <row r="551" spans="1:10" s="10" customFormat="1" ht="14.45">
      <c r="A551" s="13">
        <v>549</v>
      </c>
      <c r="B551" s="28"/>
      <c r="C551" s="19" t="s">
        <v>526</v>
      </c>
      <c r="D551" s="14" t="s">
        <v>526</v>
      </c>
      <c r="E551" s="14" t="s">
        <v>526</v>
      </c>
      <c r="F551" s="14" t="s">
        <v>526</v>
      </c>
      <c r="G551" s="18" t="s">
        <v>526</v>
      </c>
      <c r="H551" s="14" t="s">
        <v>526</v>
      </c>
      <c r="I551" s="18" t="s">
        <v>526</v>
      </c>
      <c r="J551" s="14">
        <v>549</v>
      </c>
    </row>
    <row r="552" spans="1:10" s="10" customFormat="1" ht="14.45">
      <c r="A552" s="13">
        <v>550</v>
      </c>
      <c r="B552" s="28"/>
      <c r="C552" s="19" t="s">
        <v>526</v>
      </c>
      <c r="D552" s="14" t="s">
        <v>526</v>
      </c>
      <c r="E552" s="14" t="s">
        <v>526</v>
      </c>
      <c r="F552" s="14" t="s">
        <v>526</v>
      </c>
      <c r="G552" s="18" t="s">
        <v>526</v>
      </c>
      <c r="H552" s="14" t="s">
        <v>526</v>
      </c>
      <c r="I552" s="18" t="s">
        <v>526</v>
      </c>
      <c r="J552" s="14">
        <v>550</v>
      </c>
    </row>
    <row r="553" spans="1:10" s="10" customFormat="1" ht="14.45">
      <c r="A553" s="13">
        <v>551</v>
      </c>
      <c r="B553" s="28"/>
      <c r="C553" s="19" t="s">
        <v>526</v>
      </c>
      <c r="D553" s="14" t="s">
        <v>526</v>
      </c>
      <c r="E553" s="14" t="s">
        <v>526</v>
      </c>
      <c r="F553" s="14" t="s">
        <v>526</v>
      </c>
      <c r="G553" s="18" t="s">
        <v>526</v>
      </c>
      <c r="H553" s="14" t="s">
        <v>526</v>
      </c>
      <c r="I553" s="18" t="s">
        <v>526</v>
      </c>
      <c r="J553" s="14">
        <v>551</v>
      </c>
    </row>
    <row r="554" spans="1:10" s="10" customFormat="1" ht="14.45">
      <c r="A554" s="13">
        <v>552</v>
      </c>
      <c r="B554" s="28"/>
      <c r="C554" s="19" t="s">
        <v>526</v>
      </c>
      <c r="D554" s="14" t="s">
        <v>526</v>
      </c>
      <c r="E554" s="14" t="s">
        <v>526</v>
      </c>
      <c r="F554" s="14" t="s">
        <v>526</v>
      </c>
      <c r="G554" s="18" t="s">
        <v>526</v>
      </c>
      <c r="H554" s="14" t="s">
        <v>526</v>
      </c>
      <c r="I554" s="18" t="s">
        <v>526</v>
      </c>
      <c r="J554" s="14">
        <v>552</v>
      </c>
    </row>
    <row r="555" spans="1:10" s="10" customFormat="1" ht="14.45">
      <c r="A555" s="13">
        <v>553</v>
      </c>
      <c r="B555" s="28"/>
      <c r="C555" s="19" t="s">
        <v>526</v>
      </c>
      <c r="D555" s="14" t="s">
        <v>526</v>
      </c>
      <c r="E555" s="14" t="s">
        <v>526</v>
      </c>
      <c r="F555" s="14" t="s">
        <v>526</v>
      </c>
      <c r="G555" s="18" t="s">
        <v>526</v>
      </c>
      <c r="H555" s="14" t="s">
        <v>526</v>
      </c>
      <c r="I555" s="18" t="s">
        <v>526</v>
      </c>
      <c r="J555" s="14">
        <v>553</v>
      </c>
    </row>
    <row r="556" spans="1:10" s="10" customFormat="1" ht="14.45">
      <c r="A556" s="13">
        <v>554</v>
      </c>
      <c r="B556" s="28"/>
      <c r="C556" s="19" t="s">
        <v>526</v>
      </c>
      <c r="D556" s="14" t="s">
        <v>526</v>
      </c>
      <c r="E556" s="14" t="s">
        <v>526</v>
      </c>
      <c r="F556" s="14" t="s">
        <v>526</v>
      </c>
      <c r="G556" s="18" t="s">
        <v>526</v>
      </c>
      <c r="H556" s="14" t="s">
        <v>526</v>
      </c>
      <c r="I556" s="18" t="s">
        <v>526</v>
      </c>
      <c r="J556" s="14">
        <v>554</v>
      </c>
    </row>
    <row r="557" spans="1:10" s="10" customFormat="1" ht="14.45">
      <c r="A557" s="13">
        <v>555</v>
      </c>
      <c r="B557" s="28"/>
      <c r="C557" s="19" t="s">
        <v>526</v>
      </c>
      <c r="D557" s="14" t="s">
        <v>526</v>
      </c>
      <c r="E557" s="14" t="s">
        <v>526</v>
      </c>
      <c r="F557" s="14" t="s">
        <v>526</v>
      </c>
      <c r="G557" s="18" t="s">
        <v>526</v>
      </c>
      <c r="H557" s="14" t="s">
        <v>526</v>
      </c>
      <c r="I557" s="18" t="s">
        <v>526</v>
      </c>
      <c r="J557" s="14">
        <v>555</v>
      </c>
    </row>
    <row r="558" spans="1:10" s="10" customFormat="1" ht="14.45">
      <c r="A558" s="13">
        <v>556</v>
      </c>
      <c r="B558" s="28"/>
      <c r="C558" s="19" t="s">
        <v>526</v>
      </c>
      <c r="D558" s="14" t="s">
        <v>526</v>
      </c>
      <c r="E558" s="14" t="s">
        <v>526</v>
      </c>
      <c r="F558" s="14" t="s">
        <v>526</v>
      </c>
      <c r="G558" s="18" t="s">
        <v>526</v>
      </c>
      <c r="H558" s="14" t="s">
        <v>526</v>
      </c>
      <c r="I558" s="18" t="s">
        <v>526</v>
      </c>
      <c r="J558" s="14">
        <v>556</v>
      </c>
    </row>
    <row r="559" spans="1:10" s="10" customFormat="1" ht="14.45">
      <c r="A559" s="13">
        <v>557</v>
      </c>
      <c r="B559" s="28"/>
      <c r="C559" s="19" t="s">
        <v>526</v>
      </c>
      <c r="D559" s="14" t="s">
        <v>526</v>
      </c>
      <c r="E559" s="14" t="s">
        <v>526</v>
      </c>
      <c r="F559" s="14" t="s">
        <v>526</v>
      </c>
      <c r="G559" s="18" t="s">
        <v>526</v>
      </c>
      <c r="H559" s="14" t="s">
        <v>526</v>
      </c>
      <c r="I559" s="18" t="s">
        <v>526</v>
      </c>
      <c r="J559" s="14">
        <v>557</v>
      </c>
    </row>
    <row r="560" spans="1:10" s="10" customFormat="1" ht="14.45">
      <c r="A560" s="13">
        <v>558</v>
      </c>
      <c r="B560" s="28"/>
      <c r="C560" s="19" t="s">
        <v>526</v>
      </c>
      <c r="D560" s="14" t="s">
        <v>526</v>
      </c>
      <c r="E560" s="14" t="s">
        <v>526</v>
      </c>
      <c r="F560" s="14" t="s">
        <v>526</v>
      </c>
      <c r="G560" s="18" t="s">
        <v>526</v>
      </c>
      <c r="H560" s="14" t="s">
        <v>526</v>
      </c>
      <c r="I560" s="18" t="s">
        <v>526</v>
      </c>
      <c r="J560" s="14">
        <v>558</v>
      </c>
    </row>
    <row r="561" spans="1:10" s="10" customFormat="1" ht="14.45">
      <c r="A561" s="13">
        <v>559</v>
      </c>
      <c r="B561" s="28"/>
      <c r="C561" s="19" t="s">
        <v>526</v>
      </c>
      <c r="D561" s="14" t="s">
        <v>526</v>
      </c>
      <c r="E561" s="14" t="s">
        <v>526</v>
      </c>
      <c r="F561" s="14" t="s">
        <v>526</v>
      </c>
      <c r="G561" s="18" t="s">
        <v>526</v>
      </c>
      <c r="H561" s="14" t="s">
        <v>526</v>
      </c>
      <c r="I561" s="18" t="s">
        <v>526</v>
      </c>
      <c r="J561" s="14">
        <v>559</v>
      </c>
    </row>
    <row r="562" spans="1:10" s="10" customFormat="1" ht="14.45">
      <c r="A562" s="13">
        <v>560</v>
      </c>
      <c r="B562" s="28"/>
      <c r="C562" s="19" t="s">
        <v>526</v>
      </c>
      <c r="D562" s="14" t="s">
        <v>526</v>
      </c>
      <c r="E562" s="14" t="s">
        <v>526</v>
      </c>
      <c r="F562" s="14" t="s">
        <v>526</v>
      </c>
      <c r="G562" s="18" t="s">
        <v>526</v>
      </c>
      <c r="H562" s="14" t="s">
        <v>526</v>
      </c>
      <c r="I562" s="18" t="s">
        <v>526</v>
      </c>
      <c r="J562" s="14">
        <v>560</v>
      </c>
    </row>
    <row r="563" spans="1:10" s="10" customFormat="1" ht="14.45">
      <c r="A563" s="13">
        <v>561</v>
      </c>
      <c r="B563" s="28"/>
      <c r="C563" s="19" t="s">
        <v>526</v>
      </c>
      <c r="D563" s="14" t="s">
        <v>526</v>
      </c>
      <c r="E563" s="14" t="s">
        <v>526</v>
      </c>
      <c r="F563" s="14" t="s">
        <v>526</v>
      </c>
      <c r="G563" s="18" t="s">
        <v>526</v>
      </c>
      <c r="H563" s="14" t="s">
        <v>526</v>
      </c>
      <c r="I563" s="18" t="s">
        <v>526</v>
      </c>
      <c r="J563" s="14">
        <v>561</v>
      </c>
    </row>
    <row r="564" spans="1:10" s="10" customFormat="1" ht="14.45">
      <c r="A564" s="13">
        <v>562</v>
      </c>
      <c r="B564" s="28"/>
      <c r="C564" s="19" t="s">
        <v>526</v>
      </c>
      <c r="D564" s="14" t="s">
        <v>526</v>
      </c>
      <c r="E564" s="14" t="s">
        <v>526</v>
      </c>
      <c r="F564" s="14" t="s">
        <v>526</v>
      </c>
      <c r="G564" s="18" t="s">
        <v>526</v>
      </c>
      <c r="H564" s="14" t="s">
        <v>526</v>
      </c>
      <c r="I564" s="18" t="s">
        <v>526</v>
      </c>
      <c r="J564" s="14">
        <v>562</v>
      </c>
    </row>
    <row r="565" spans="1:10" s="10" customFormat="1" ht="14.45">
      <c r="A565" s="13">
        <v>563</v>
      </c>
      <c r="B565" s="28"/>
      <c r="C565" s="19" t="s">
        <v>526</v>
      </c>
      <c r="D565" s="14" t="s">
        <v>526</v>
      </c>
      <c r="E565" s="14" t="s">
        <v>526</v>
      </c>
      <c r="F565" s="14" t="s">
        <v>526</v>
      </c>
      <c r="G565" s="18" t="s">
        <v>526</v>
      </c>
      <c r="H565" s="14" t="s">
        <v>526</v>
      </c>
      <c r="I565" s="18" t="s">
        <v>526</v>
      </c>
      <c r="J565" s="14">
        <v>563</v>
      </c>
    </row>
    <row r="566" spans="1:10" s="10" customFormat="1" ht="14.45">
      <c r="A566" s="13">
        <v>564</v>
      </c>
      <c r="B566" s="28"/>
      <c r="C566" s="19" t="s">
        <v>526</v>
      </c>
      <c r="D566" s="14" t="s">
        <v>526</v>
      </c>
      <c r="E566" s="14" t="s">
        <v>526</v>
      </c>
      <c r="F566" s="14" t="s">
        <v>526</v>
      </c>
      <c r="G566" s="18" t="s">
        <v>526</v>
      </c>
      <c r="H566" s="14" t="s">
        <v>526</v>
      </c>
      <c r="I566" s="18" t="s">
        <v>526</v>
      </c>
      <c r="J566" s="14">
        <v>564</v>
      </c>
    </row>
    <row r="567" spans="1:10" s="10" customFormat="1" ht="14.45">
      <c r="A567" s="13">
        <v>565</v>
      </c>
      <c r="B567" s="28"/>
      <c r="C567" s="19" t="s">
        <v>526</v>
      </c>
      <c r="D567" s="14" t="s">
        <v>526</v>
      </c>
      <c r="E567" s="14" t="s">
        <v>526</v>
      </c>
      <c r="F567" s="14" t="s">
        <v>526</v>
      </c>
      <c r="G567" s="18" t="s">
        <v>526</v>
      </c>
      <c r="H567" s="14" t="s">
        <v>526</v>
      </c>
      <c r="I567" s="18" t="s">
        <v>526</v>
      </c>
      <c r="J567" s="14">
        <v>565</v>
      </c>
    </row>
    <row r="568" spans="1:10" s="10" customFormat="1" ht="14.45">
      <c r="A568" s="13">
        <v>566</v>
      </c>
      <c r="B568" s="28"/>
      <c r="C568" s="19" t="s">
        <v>526</v>
      </c>
      <c r="D568" s="14" t="s">
        <v>526</v>
      </c>
      <c r="E568" s="14" t="s">
        <v>526</v>
      </c>
      <c r="F568" s="14" t="s">
        <v>526</v>
      </c>
      <c r="G568" s="18" t="s">
        <v>526</v>
      </c>
      <c r="H568" s="14" t="s">
        <v>526</v>
      </c>
      <c r="I568" s="18" t="s">
        <v>526</v>
      </c>
      <c r="J568" s="14">
        <v>566</v>
      </c>
    </row>
    <row r="569" spans="1:10" s="10" customFormat="1" ht="14.45">
      <c r="A569" s="13">
        <v>567</v>
      </c>
      <c r="B569" s="28"/>
      <c r="C569" s="19" t="s">
        <v>526</v>
      </c>
      <c r="D569" s="14" t="s">
        <v>526</v>
      </c>
      <c r="E569" s="14" t="s">
        <v>526</v>
      </c>
      <c r="F569" s="14" t="s">
        <v>526</v>
      </c>
      <c r="G569" s="18" t="s">
        <v>526</v>
      </c>
      <c r="H569" s="14" t="s">
        <v>526</v>
      </c>
      <c r="I569" s="18" t="s">
        <v>526</v>
      </c>
      <c r="J569" s="14">
        <v>567</v>
      </c>
    </row>
    <row r="570" spans="1:10" s="10" customFormat="1" ht="14.45">
      <c r="A570" s="13">
        <v>568</v>
      </c>
      <c r="B570" s="28"/>
      <c r="C570" s="19" t="s">
        <v>526</v>
      </c>
      <c r="D570" s="14" t="s">
        <v>526</v>
      </c>
      <c r="E570" s="14" t="s">
        <v>526</v>
      </c>
      <c r="F570" s="14" t="s">
        <v>526</v>
      </c>
      <c r="G570" s="18" t="s">
        <v>526</v>
      </c>
      <c r="H570" s="14" t="s">
        <v>526</v>
      </c>
      <c r="I570" s="18" t="s">
        <v>526</v>
      </c>
      <c r="J570" s="14">
        <v>568</v>
      </c>
    </row>
    <row r="571" spans="1:10" s="10" customFormat="1" ht="14.45">
      <c r="A571" s="13">
        <v>569</v>
      </c>
      <c r="B571" s="28"/>
      <c r="C571" s="19" t="s">
        <v>526</v>
      </c>
      <c r="D571" s="14" t="s">
        <v>526</v>
      </c>
      <c r="E571" s="14" t="s">
        <v>526</v>
      </c>
      <c r="F571" s="14" t="s">
        <v>526</v>
      </c>
      <c r="G571" s="18" t="s">
        <v>526</v>
      </c>
      <c r="H571" s="14" t="s">
        <v>526</v>
      </c>
      <c r="I571" s="18" t="s">
        <v>526</v>
      </c>
      <c r="J571" s="14">
        <v>569</v>
      </c>
    </row>
    <row r="572" spans="1:10" s="10" customFormat="1" ht="14.45">
      <c r="A572" s="13">
        <v>570</v>
      </c>
      <c r="B572" s="28"/>
      <c r="C572" s="19" t="s">
        <v>526</v>
      </c>
      <c r="D572" s="14" t="s">
        <v>526</v>
      </c>
      <c r="E572" s="14" t="s">
        <v>526</v>
      </c>
      <c r="F572" s="14" t="s">
        <v>526</v>
      </c>
      <c r="G572" s="18" t="s">
        <v>526</v>
      </c>
      <c r="H572" s="14" t="s">
        <v>526</v>
      </c>
      <c r="I572" s="18" t="s">
        <v>526</v>
      </c>
      <c r="J572" s="14">
        <v>570</v>
      </c>
    </row>
    <row r="573" spans="1:10" s="10" customFormat="1" ht="14.45">
      <c r="A573" s="13">
        <v>571</v>
      </c>
      <c r="B573" s="28"/>
      <c r="C573" s="19" t="s">
        <v>526</v>
      </c>
      <c r="D573" s="14" t="s">
        <v>526</v>
      </c>
      <c r="E573" s="14" t="s">
        <v>526</v>
      </c>
      <c r="F573" s="14" t="s">
        <v>526</v>
      </c>
      <c r="G573" s="18" t="s">
        <v>526</v>
      </c>
      <c r="H573" s="14" t="s">
        <v>526</v>
      </c>
      <c r="I573" s="18" t="s">
        <v>526</v>
      </c>
      <c r="J573" s="14">
        <v>571</v>
      </c>
    </row>
    <row r="574" spans="1:10" s="10" customFormat="1" ht="14.45">
      <c r="A574" s="13">
        <v>572</v>
      </c>
      <c r="B574" s="28"/>
      <c r="C574" s="19" t="s">
        <v>526</v>
      </c>
      <c r="D574" s="14" t="s">
        <v>526</v>
      </c>
      <c r="E574" s="14" t="s">
        <v>526</v>
      </c>
      <c r="F574" s="14" t="s">
        <v>526</v>
      </c>
      <c r="G574" s="18" t="s">
        <v>526</v>
      </c>
      <c r="H574" s="14" t="s">
        <v>526</v>
      </c>
      <c r="I574" s="18" t="s">
        <v>526</v>
      </c>
      <c r="J574" s="14">
        <v>572</v>
      </c>
    </row>
    <row r="575" spans="1:10" s="10" customFormat="1" ht="14.45">
      <c r="A575" s="13">
        <v>573</v>
      </c>
      <c r="B575" s="28"/>
      <c r="C575" s="19" t="s">
        <v>526</v>
      </c>
      <c r="D575" s="14" t="s">
        <v>526</v>
      </c>
      <c r="E575" s="14" t="s">
        <v>526</v>
      </c>
      <c r="F575" s="14" t="s">
        <v>526</v>
      </c>
      <c r="G575" s="18" t="s">
        <v>526</v>
      </c>
      <c r="H575" s="14" t="s">
        <v>526</v>
      </c>
      <c r="I575" s="18" t="s">
        <v>526</v>
      </c>
      <c r="J575" s="14">
        <v>573</v>
      </c>
    </row>
    <row r="576" spans="1:10" s="10" customFormat="1" ht="14.45">
      <c r="A576" s="13">
        <v>574</v>
      </c>
      <c r="B576" s="28"/>
      <c r="C576" s="19" t="s">
        <v>526</v>
      </c>
      <c r="D576" s="14" t="s">
        <v>526</v>
      </c>
      <c r="E576" s="14" t="s">
        <v>526</v>
      </c>
      <c r="F576" s="14" t="s">
        <v>526</v>
      </c>
      <c r="G576" s="18" t="s">
        <v>526</v>
      </c>
      <c r="H576" s="14" t="s">
        <v>526</v>
      </c>
      <c r="I576" s="18" t="s">
        <v>526</v>
      </c>
      <c r="J576" s="14">
        <v>574</v>
      </c>
    </row>
    <row r="577" spans="1:10" s="10" customFormat="1" ht="14.45">
      <c r="A577" s="13">
        <v>575</v>
      </c>
      <c r="B577" s="28"/>
      <c r="C577" s="19" t="s">
        <v>526</v>
      </c>
      <c r="D577" s="14" t="s">
        <v>526</v>
      </c>
      <c r="E577" s="14" t="s">
        <v>526</v>
      </c>
      <c r="F577" s="14" t="s">
        <v>526</v>
      </c>
      <c r="G577" s="18" t="s">
        <v>526</v>
      </c>
      <c r="H577" s="14" t="s">
        <v>526</v>
      </c>
      <c r="I577" s="18" t="s">
        <v>526</v>
      </c>
      <c r="J577" s="14">
        <v>575</v>
      </c>
    </row>
    <row r="578" spans="1:10" s="10" customFormat="1" ht="14.45">
      <c r="A578" s="13">
        <v>576</v>
      </c>
      <c r="B578" s="28"/>
      <c r="C578" s="19" t="s">
        <v>526</v>
      </c>
      <c r="D578" s="14" t="s">
        <v>526</v>
      </c>
      <c r="E578" s="14" t="s">
        <v>526</v>
      </c>
      <c r="F578" s="14" t="s">
        <v>526</v>
      </c>
      <c r="G578" s="18" t="s">
        <v>526</v>
      </c>
      <c r="H578" s="14" t="s">
        <v>526</v>
      </c>
      <c r="I578" s="18" t="s">
        <v>526</v>
      </c>
      <c r="J578" s="14">
        <v>576</v>
      </c>
    </row>
    <row r="579" spans="1:10" s="10" customFormat="1" ht="14.45">
      <c r="A579" s="13">
        <v>577</v>
      </c>
      <c r="B579" s="28"/>
      <c r="C579" s="19" t="s">
        <v>526</v>
      </c>
      <c r="D579" s="14" t="s">
        <v>526</v>
      </c>
      <c r="E579" s="14" t="s">
        <v>526</v>
      </c>
      <c r="F579" s="14" t="s">
        <v>526</v>
      </c>
      <c r="G579" s="18" t="s">
        <v>526</v>
      </c>
      <c r="H579" s="14" t="s">
        <v>526</v>
      </c>
      <c r="I579" s="18" t="s">
        <v>526</v>
      </c>
      <c r="J579" s="14">
        <v>577</v>
      </c>
    </row>
    <row r="580" spans="1:10" s="10" customFormat="1" ht="14.45">
      <c r="A580" s="13">
        <v>578</v>
      </c>
      <c r="B580" s="28"/>
      <c r="C580" s="19" t="s">
        <v>526</v>
      </c>
      <c r="D580" s="14" t="s">
        <v>526</v>
      </c>
      <c r="E580" s="14" t="s">
        <v>526</v>
      </c>
      <c r="F580" s="14" t="s">
        <v>526</v>
      </c>
      <c r="G580" s="18" t="s">
        <v>526</v>
      </c>
      <c r="H580" s="14" t="s">
        <v>526</v>
      </c>
      <c r="I580" s="18" t="s">
        <v>526</v>
      </c>
      <c r="J580" s="14">
        <v>578</v>
      </c>
    </row>
    <row r="581" spans="1:10" s="10" customFormat="1" ht="14.45">
      <c r="A581" s="13">
        <v>579</v>
      </c>
      <c r="B581" s="28"/>
      <c r="C581" s="19" t="s">
        <v>526</v>
      </c>
      <c r="D581" s="14" t="s">
        <v>526</v>
      </c>
      <c r="E581" s="14" t="s">
        <v>526</v>
      </c>
      <c r="F581" s="14" t="s">
        <v>526</v>
      </c>
      <c r="G581" s="18" t="s">
        <v>526</v>
      </c>
      <c r="H581" s="14" t="s">
        <v>526</v>
      </c>
      <c r="I581" s="18" t="s">
        <v>526</v>
      </c>
      <c r="J581" s="14">
        <v>579</v>
      </c>
    </row>
    <row r="582" spans="1:10" s="10" customFormat="1" ht="14.45">
      <c r="A582" s="13">
        <v>580</v>
      </c>
      <c r="B582" s="28"/>
      <c r="C582" s="19" t="s">
        <v>526</v>
      </c>
      <c r="D582" s="14" t="s">
        <v>526</v>
      </c>
      <c r="E582" s="14" t="s">
        <v>526</v>
      </c>
      <c r="F582" s="14" t="s">
        <v>526</v>
      </c>
      <c r="G582" s="18" t="s">
        <v>526</v>
      </c>
      <c r="H582" s="14" t="s">
        <v>526</v>
      </c>
      <c r="I582" s="18" t="s">
        <v>526</v>
      </c>
      <c r="J582" s="14">
        <v>580</v>
      </c>
    </row>
    <row r="583" spans="1:10" s="10" customFormat="1" ht="14.45">
      <c r="A583" s="13">
        <v>581</v>
      </c>
      <c r="B583" s="28"/>
      <c r="C583" s="19" t="s">
        <v>526</v>
      </c>
      <c r="D583" s="14" t="s">
        <v>526</v>
      </c>
      <c r="E583" s="14" t="s">
        <v>526</v>
      </c>
      <c r="F583" s="14" t="s">
        <v>526</v>
      </c>
      <c r="G583" s="18" t="s">
        <v>526</v>
      </c>
      <c r="H583" s="14" t="s">
        <v>526</v>
      </c>
      <c r="I583" s="18" t="s">
        <v>526</v>
      </c>
      <c r="J583" s="14">
        <v>581</v>
      </c>
    </row>
    <row r="584" spans="1:10" s="10" customFormat="1" ht="14.45">
      <c r="A584" s="13">
        <v>582</v>
      </c>
      <c r="B584" s="28"/>
      <c r="C584" s="19" t="s">
        <v>526</v>
      </c>
      <c r="D584" s="14" t="s">
        <v>526</v>
      </c>
      <c r="E584" s="14" t="s">
        <v>526</v>
      </c>
      <c r="F584" s="14" t="s">
        <v>526</v>
      </c>
      <c r="G584" s="18" t="s">
        <v>526</v>
      </c>
      <c r="H584" s="14" t="s">
        <v>526</v>
      </c>
      <c r="I584" s="18" t="s">
        <v>526</v>
      </c>
      <c r="J584" s="14">
        <v>582</v>
      </c>
    </row>
    <row r="585" spans="1:10" s="10" customFormat="1" ht="14.45">
      <c r="A585" s="13">
        <v>583</v>
      </c>
      <c r="B585" s="28"/>
      <c r="C585" s="19" t="s">
        <v>526</v>
      </c>
      <c r="D585" s="14" t="s">
        <v>526</v>
      </c>
      <c r="E585" s="14" t="s">
        <v>526</v>
      </c>
      <c r="F585" s="14" t="s">
        <v>526</v>
      </c>
      <c r="G585" s="18" t="s">
        <v>526</v>
      </c>
      <c r="H585" s="14" t="s">
        <v>526</v>
      </c>
      <c r="I585" s="18" t="s">
        <v>526</v>
      </c>
      <c r="J585" s="14">
        <v>583</v>
      </c>
    </row>
    <row r="586" spans="1:10" s="10" customFormat="1" ht="14.45">
      <c r="A586" s="13">
        <v>584</v>
      </c>
      <c r="B586" s="28"/>
      <c r="C586" s="19" t="s">
        <v>526</v>
      </c>
      <c r="D586" s="14" t="s">
        <v>526</v>
      </c>
      <c r="E586" s="14" t="s">
        <v>526</v>
      </c>
      <c r="F586" s="14" t="s">
        <v>526</v>
      </c>
      <c r="G586" s="18" t="s">
        <v>526</v>
      </c>
      <c r="H586" s="14" t="s">
        <v>526</v>
      </c>
      <c r="I586" s="18" t="s">
        <v>526</v>
      </c>
      <c r="J586" s="14">
        <v>584</v>
      </c>
    </row>
    <row r="587" spans="1:10" s="10" customFormat="1" ht="14.45">
      <c r="A587" s="13">
        <v>585</v>
      </c>
      <c r="B587" s="28"/>
      <c r="C587" s="19" t="s">
        <v>526</v>
      </c>
      <c r="D587" s="14" t="s">
        <v>526</v>
      </c>
      <c r="E587" s="14" t="s">
        <v>526</v>
      </c>
      <c r="F587" s="14" t="s">
        <v>526</v>
      </c>
      <c r="G587" s="18" t="s">
        <v>526</v>
      </c>
      <c r="H587" s="14" t="s">
        <v>526</v>
      </c>
      <c r="I587" s="18" t="s">
        <v>526</v>
      </c>
      <c r="J587" s="14">
        <v>585</v>
      </c>
    </row>
    <row r="588" spans="1:10" s="10" customFormat="1" ht="14.45">
      <c r="A588" s="13">
        <v>586</v>
      </c>
      <c r="B588" s="28"/>
      <c r="C588" s="19" t="s">
        <v>526</v>
      </c>
      <c r="D588" s="14" t="s">
        <v>526</v>
      </c>
      <c r="E588" s="14" t="s">
        <v>526</v>
      </c>
      <c r="F588" s="14" t="s">
        <v>526</v>
      </c>
      <c r="G588" s="18" t="s">
        <v>526</v>
      </c>
      <c r="H588" s="14" t="s">
        <v>526</v>
      </c>
      <c r="I588" s="18" t="s">
        <v>526</v>
      </c>
      <c r="J588" s="14">
        <v>586</v>
      </c>
    </row>
    <row r="589" spans="1:10" s="10" customFormat="1" ht="14.45">
      <c r="A589" s="13">
        <v>587</v>
      </c>
      <c r="B589" s="28"/>
      <c r="C589" s="19" t="s">
        <v>526</v>
      </c>
      <c r="D589" s="14" t="s">
        <v>526</v>
      </c>
      <c r="E589" s="14" t="s">
        <v>526</v>
      </c>
      <c r="F589" s="14" t="s">
        <v>526</v>
      </c>
      <c r="G589" s="18" t="s">
        <v>526</v>
      </c>
      <c r="H589" s="14" t="s">
        <v>526</v>
      </c>
      <c r="I589" s="18" t="s">
        <v>526</v>
      </c>
      <c r="J589" s="14">
        <v>587</v>
      </c>
    </row>
    <row r="590" spans="1:10" s="10" customFormat="1" ht="14.45">
      <c r="A590" s="13">
        <v>588</v>
      </c>
      <c r="B590" s="28"/>
      <c r="C590" s="19" t="s">
        <v>526</v>
      </c>
      <c r="D590" s="14" t="s">
        <v>526</v>
      </c>
      <c r="E590" s="14" t="s">
        <v>526</v>
      </c>
      <c r="F590" s="14" t="s">
        <v>526</v>
      </c>
      <c r="G590" s="18" t="s">
        <v>526</v>
      </c>
      <c r="H590" s="14" t="s">
        <v>526</v>
      </c>
      <c r="I590" s="18" t="s">
        <v>526</v>
      </c>
      <c r="J590" s="14">
        <v>588</v>
      </c>
    </row>
    <row r="591" spans="1:10" s="10" customFormat="1" ht="14.45">
      <c r="A591" s="13">
        <v>589</v>
      </c>
      <c r="B591" s="28"/>
      <c r="C591" s="19" t="s">
        <v>526</v>
      </c>
      <c r="D591" s="14" t="s">
        <v>526</v>
      </c>
      <c r="E591" s="14" t="s">
        <v>526</v>
      </c>
      <c r="F591" s="14" t="s">
        <v>526</v>
      </c>
      <c r="G591" s="18" t="s">
        <v>526</v>
      </c>
      <c r="H591" s="14" t="s">
        <v>526</v>
      </c>
      <c r="I591" s="18" t="s">
        <v>526</v>
      </c>
      <c r="J591" s="14">
        <v>589</v>
      </c>
    </row>
    <row r="592" spans="1:10" s="10" customFormat="1" ht="14.45">
      <c r="A592" s="13">
        <v>590</v>
      </c>
      <c r="B592" s="28"/>
      <c r="C592" s="19" t="s">
        <v>526</v>
      </c>
      <c r="D592" s="14" t="s">
        <v>526</v>
      </c>
      <c r="E592" s="14" t="s">
        <v>526</v>
      </c>
      <c r="F592" s="14" t="s">
        <v>526</v>
      </c>
      <c r="G592" s="18" t="s">
        <v>526</v>
      </c>
      <c r="H592" s="14" t="s">
        <v>526</v>
      </c>
      <c r="I592" s="18" t="s">
        <v>526</v>
      </c>
      <c r="J592" s="14">
        <v>590</v>
      </c>
    </row>
    <row r="593" spans="1:10" s="10" customFormat="1" ht="14.45">
      <c r="A593" s="13">
        <v>591</v>
      </c>
      <c r="B593" s="29"/>
      <c r="C593" s="19" t="s">
        <v>526</v>
      </c>
      <c r="D593" s="14" t="s">
        <v>526</v>
      </c>
      <c r="E593" s="14" t="s">
        <v>526</v>
      </c>
      <c r="F593" s="14" t="s">
        <v>526</v>
      </c>
      <c r="G593" s="18" t="s">
        <v>526</v>
      </c>
      <c r="H593" s="14" t="s">
        <v>526</v>
      </c>
      <c r="I593" s="18" t="s">
        <v>526</v>
      </c>
      <c r="J593" s="14">
        <v>591</v>
      </c>
    </row>
    <row r="594" spans="1:10" s="10" customFormat="1" ht="14.45">
      <c r="A594" s="13">
        <v>592</v>
      </c>
      <c r="B594" s="29"/>
      <c r="C594" s="19" t="s">
        <v>526</v>
      </c>
      <c r="D594" s="14" t="s">
        <v>526</v>
      </c>
      <c r="E594" s="14" t="s">
        <v>526</v>
      </c>
      <c r="F594" s="14" t="s">
        <v>526</v>
      </c>
      <c r="G594" s="18" t="s">
        <v>526</v>
      </c>
      <c r="H594" s="14" t="s">
        <v>526</v>
      </c>
      <c r="I594" s="18" t="s">
        <v>526</v>
      </c>
      <c r="J594" s="14">
        <v>592</v>
      </c>
    </row>
    <row r="595" spans="1:10" s="10" customFormat="1" ht="14.45">
      <c r="A595" s="13">
        <v>593</v>
      </c>
      <c r="B595" s="28"/>
      <c r="C595" s="19" t="s">
        <v>526</v>
      </c>
      <c r="D595" s="14" t="s">
        <v>526</v>
      </c>
      <c r="E595" s="14" t="s">
        <v>526</v>
      </c>
      <c r="F595" s="14" t="s">
        <v>526</v>
      </c>
      <c r="G595" s="18" t="s">
        <v>526</v>
      </c>
      <c r="H595" s="14" t="s">
        <v>526</v>
      </c>
      <c r="I595" s="18" t="s">
        <v>526</v>
      </c>
      <c r="J595" s="14">
        <v>593</v>
      </c>
    </row>
    <row r="596" spans="1:10" s="10" customFormat="1" ht="14.45">
      <c r="A596" s="13">
        <v>594</v>
      </c>
      <c r="B596" s="28"/>
      <c r="C596" s="19" t="s">
        <v>526</v>
      </c>
      <c r="D596" s="14" t="s">
        <v>526</v>
      </c>
      <c r="E596" s="14" t="s">
        <v>526</v>
      </c>
      <c r="F596" s="14" t="s">
        <v>526</v>
      </c>
      <c r="G596" s="18" t="s">
        <v>526</v>
      </c>
      <c r="H596" s="14" t="s">
        <v>526</v>
      </c>
      <c r="I596" s="18" t="s">
        <v>526</v>
      </c>
      <c r="J596" s="14">
        <v>594</v>
      </c>
    </row>
    <row r="597" spans="1:10" s="10" customFormat="1" ht="14.45">
      <c r="A597" s="13">
        <v>595</v>
      </c>
      <c r="B597" s="28"/>
      <c r="C597" s="19" t="s">
        <v>526</v>
      </c>
      <c r="D597" s="14" t="s">
        <v>526</v>
      </c>
      <c r="E597" s="14" t="s">
        <v>526</v>
      </c>
      <c r="F597" s="14" t="s">
        <v>526</v>
      </c>
      <c r="G597" s="18" t="s">
        <v>526</v>
      </c>
      <c r="H597" s="14" t="s">
        <v>526</v>
      </c>
      <c r="I597" s="18" t="s">
        <v>526</v>
      </c>
      <c r="J597" s="14">
        <v>595</v>
      </c>
    </row>
    <row r="598" spans="1:10" s="10" customFormat="1" ht="14.45">
      <c r="A598" s="13">
        <v>596</v>
      </c>
      <c r="B598" s="28"/>
      <c r="C598" s="19" t="s">
        <v>526</v>
      </c>
      <c r="D598" s="14" t="s">
        <v>526</v>
      </c>
      <c r="E598" s="14" t="s">
        <v>526</v>
      </c>
      <c r="F598" s="14" t="s">
        <v>526</v>
      </c>
      <c r="G598" s="18" t="s">
        <v>526</v>
      </c>
      <c r="H598" s="14" t="s">
        <v>526</v>
      </c>
      <c r="I598" s="18" t="s">
        <v>526</v>
      </c>
      <c r="J598" s="14">
        <v>596</v>
      </c>
    </row>
    <row r="599" spans="1:10" s="10" customFormat="1" ht="14.45">
      <c r="A599" s="13">
        <v>597</v>
      </c>
      <c r="B599" s="28"/>
      <c r="C599" s="19" t="s">
        <v>526</v>
      </c>
      <c r="D599" s="14" t="s">
        <v>526</v>
      </c>
      <c r="E599" s="14" t="s">
        <v>526</v>
      </c>
      <c r="F599" s="14" t="s">
        <v>526</v>
      </c>
      <c r="G599" s="18" t="s">
        <v>526</v>
      </c>
      <c r="H599" s="14" t="s">
        <v>526</v>
      </c>
      <c r="I599" s="18" t="s">
        <v>526</v>
      </c>
      <c r="J599" s="14">
        <v>597</v>
      </c>
    </row>
    <row r="600" spans="1:10" s="10" customFormat="1" ht="14.45">
      <c r="A600" s="13">
        <v>598</v>
      </c>
      <c r="B600" s="28"/>
      <c r="C600" s="19" t="s">
        <v>526</v>
      </c>
      <c r="D600" s="14" t="s">
        <v>526</v>
      </c>
      <c r="E600" s="14" t="s">
        <v>526</v>
      </c>
      <c r="F600" s="14" t="s">
        <v>526</v>
      </c>
      <c r="G600" s="18" t="s">
        <v>526</v>
      </c>
      <c r="H600" s="14" t="s">
        <v>526</v>
      </c>
      <c r="I600" s="18" t="s">
        <v>526</v>
      </c>
      <c r="J600" s="14">
        <v>598</v>
      </c>
    </row>
    <row r="601" spans="1:10" s="10" customFormat="1" ht="14.45">
      <c r="A601" s="13">
        <v>599</v>
      </c>
      <c r="B601" s="28"/>
      <c r="C601" s="19" t="s">
        <v>526</v>
      </c>
      <c r="D601" s="14" t="s">
        <v>526</v>
      </c>
      <c r="E601" s="14" t="s">
        <v>526</v>
      </c>
      <c r="F601" s="14" t="s">
        <v>526</v>
      </c>
      <c r="G601" s="18" t="s">
        <v>526</v>
      </c>
      <c r="H601" s="14" t="s">
        <v>526</v>
      </c>
      <c r="I601" s="18" t="s">
        <v>526</v>
      </c>
      <c r="J601" s="14">
        <v>599</v>
      </c>
    </row>
    <row r="602" spans="1:10" s="10" customFormat="1" ht="14.45">
      <c r="A602" s="13">
        <v>600</v>
      </c>
      <c r="B602" s="28"/>
      <c r="C602" s="19" t="s">
        <v>526</v>
      </c>
      <c r="D602" s="14" t="s">
        <v>526</v>
      </c>
      <c r="E602" s="14" t="s">
        <v>526</v>
      </c>
      <c r="F602" s="14" t="s">
        <v>526</v>
      </c>
      <c r="G602" s="18" t="s">
        <v>526</v>
      </c>
      <c r="H602" s="14" t="s">
        <v>526</v>
      </c>
      <c r="I602" s="18" t="s">
        <v>526</v>
      </c>
      <c r="J602" s="14">
        <v>600</v>
      </c>
    </row>
    <row r="603" spans="1:10" s="10" customFormat="1" ht="14.45">
      <c r="A603" s="13">
        <v>601</v>
      </c>
      <c r="B603" s="28"/>
      <c r="C603" s="19" t="s">
        <v>526</v>
      </c>
      <c r="D603" s="14" t="s">
        <v>526</v>
      </c>
      <c r="E603" s="14" t="s">
        <v>526</v>
      </c>
      <c r="F603" s="14" t="s">
        <v>526</v>
      </c>
      <c r="G603" s="18" t="s">
        <v>526</v>
      </c>
      <c r="H603" s="14" t="s">
        <v>526</v>
      </c>
      <c r="I603" s="18" t="s">
        <v>526</v>
      </c>
      <c r="J603" s="14">
        <v>601</v>
      </c>
    </row>
    <row r="604" spans="1:10" s="10" customFormat="1" ht="14.45">
      <c r="A604" s="13">
        <v>602</v>
      </c>
      <c r="B604" s="28"/>
      <c r="C604" s="19" t="s">
        <v>526</v>
      </c>
      <c r="D604" s="14" t="s">
        <v>526</v>
      </c>
      <c r="E604" s="14" t="s">
        <v>526</v>
      </c>
      <c r="F604" s="14" t="s">
        <v>526</v>
      </c>
      <c r="G604" s="18" t="s">
        <v>526</v>
      </c>
      <c r="H604" s="14" t="s">
        <v>526</v>
      </c>
      <c r="I604" s="18" t="s">
        <v>526</v>
      </c>
      <c r="J604" s="14">
        <v>602</v>
      </c>
    </row>
    <row r="605" spans="1:10" s="10" customFormat="1" ht="14.45">
      <c r="A605" s="13">
        <v>603</v>
      </c>
      <c r="B605" s="28"/>
      <c r="C605" s="19" t="s">
        <v>526</v>
      </c>
      <c r="D605" s="14" t="s">
        <v>526</v>
      </c>
      <c r="E605" s="14" t="s">
        <v>526</v>
      </c>
      <c r="F605" s="14" t="s">
        <v>526</v>
      </c>
      <c r="G605" s="18" t="s">
        <v>526</v>
      </c>
      <c r="H605" s="14" t="s">
        <v>526</v>
      </c>
      <c r="I605" s="18" t="s">
        <v>526</v>
      </c>
      <c r="J605" s="14">
        <v>603</v>
      </c>
    </row>
    <row r="606" spans="1:10" s="10" customFormat="1" ht="14.45">
      <c r="A606" s="13">
        <v>604</v>
      </c>
      <c r="B606" s="28"/>
      <c r="C606" s="19" t="s">
        <v>526</v>
      </c>
      <c r="D606" s="14" t="s">
        <v>526</v>
      </c>
      <c r="E606" s="14" t="s">
        <v>526</v>
      </c>
      <c r="F606" s="14" t="s">
        <v>526</v>
      </c>
      <c r="G606" s="18" t="s">
        <v>526</v>
      </c>
      <c r="H606" s="14" t="s">
        <v>526</v>
      </c>
      <c r="I606" s="18" t="s">
        <v>526</v>
      </c>
      <c r="J606" s="14">
        <v>604</v>
      </c>
    </row>
    <row r="607" spans="1:10" s="10" customFormat="1" ht="14.45">
      <c r="A607" s="13">
        <v>605</v>
      </c>
      <c r="B607" s="28"/>
      <c r="C607" s="19" t="s">
        <v>526</v>
      </c>
      <c r="D607" s="14" t="s">
        <v>526</v>
      </c>
      <c r="E607" s="14" t="s">
        <v>526</v>
      </c>
      <c r="F607" s="14" t="s">
        <v>526</v>
      </c>
      <c r="G607" s="18" t="s">
        <v>526</v>
      </c>
      <c r="H607" s="14" t="s">
        <v>526</v>
      </c>
      <c r="I607" s="18" t="s">
        <v>526</v>
      </c>
      <c r="J607" s="14">
        <v>605</v>
      </c>
    </row>
    <row r="608" spans="1:10" s="10" customFormat="1" ht="14.45">
      <c r="A608" s="13">
        <v>606</v>
      </c>
      <c r="B608" s="28"/>
      <c r="C608" s="19" t="s">
        <v>526</v>
      </c>
      <c r="D608" s="14" t="s">
        <v>526</v>
      </c>
      <c r="E608" s="14" t="s">
        <v>526</v>
      </c>
      <c r="F608" s="14" t="s">
        <v>526</v>
      </c>
      <c r="G608" s="18" t="s">
        <v>526</v>
      </c>
      <c r="H608" s="14" t="s">
        <v>526</v>
      </c>
      <c r="I608" s="18" t="s">
        <v>526</v>
      </c>
      <c r="J608" s="14">
        <v>606</v>
      </c>
    </row>
    <row r="609" spans="1:10" s="10" customFormat="1" ht="14.45">
      <c r="A609" s="13">
        <v>607</v>
      </c>
      <c r="B609" s="28"/>
      <c r="C609" s="19" t="s">
        <v>526</v>
      </c>
      <c r="D609" s="14" t="s">
        <v>526</v>
      </c>
      <c r="E609" s="14" t="s">
        <v>526</v>
      </c>
      <c r="F609" s="14" t="s">
        <v>526</v>
      </c>
      <c r="G609" s="18" t="s">
        <v>526</v>
      </c>
      <c r="H609" s="14" t="s">
        <v>526</v>
      </c>
      <c r="I609" s="18" t="s">
        <v>526</v>
      </c>
      <c r="J609" s="14">
        <v>607</v>
      </c>
    </row>
    <row r="610" spans="1:10" s="10" customFormat="1" ht="14.45">
      <c r="A610" s="13">
        <v>608</v>
      </c>
      <c r="B610" s="28"/>
      <c r="C610" s="19" t="s">
        <v>526</v>
      </c>
      <c r="D610" s="14" t="s">
        <v>526</v>
      </c>
      <c r="E610" s="14" t="s">
        <v>526</v>
      </c>
      <c r="F610" s="14" t="s">
        <v>526</v>
      </c>
      <c r="G610" s="18" t="s">
        <v>526</v>
      </c>
      <c r="H610" s="14" t="s">
        <v>526</v>
      </c>
      <c r="I610" s="18" t="s">
        <v>526</v>
      </c>
      <c r="J610" s="14">
        <v>608</v>
      </c>
    </row>
    <row r="611" spans="1:10" s="10" customFormat="1" ht="14.45">
      <c r="A611" s="13">
        <v>609</v>
      </c>
      <c r="B611" s="28"/>
      <c r="C611" s="19" t="s">
        <v>526</v>
      </c>
      <c r="D611" s="14" t="s">
        <v>526</v>
      </c>
      <c r="E611" s="14" t="s">
        <v>526</v>
      </c>
      <c r="F611" s="14" t="s">
        <v>526</v>
      </c>
      <c r="G611" s="18" t="s">
        <v>526</v>
      </c>
      <c r="H611" s="14" t="s">
        <v>526</v>
      </c>
      <c r="I611" s="18" t="s">
        <v>526</v>
      </c>
      <c r="J611" s="14">
        <v>609</v>
      </c>
    </row>
    <row r="612" spans="1:10" s="10" customFormat="1" ht="14.45">
      <c r="A612" s="13">
        <v>610</v>
      </c>
      <c r="B612" s="28"/>
      <c r="C612" s="19" t="s">
        <v>526</v>
      </c>
      <c r="D612" s="14" t="s">
        <v>526</v>
      </c>
      <c r="E612" s="14" t="s">
        <v>526</v>
      </c>
      <c r="F612" s="14" t="s">
        <v>526</v>
      </c>
      <c r="G612" s="18" t="s">
        <v>526</v>
      </c>
      <c r="H612" s="14" t="s">
        <v>526</v>
      </c>
      <c r="I612" s="18" t="s">
        <v>526</v>
      </c>
      <c r="J612" s="14">
        <v>610</v>
      </c>
    </row>
    <row r="613" spans="1:10" s="10" customFormat="1" ht="14.45">
      <c r="A613" s="13">
        <v>611</v>
      </c>
      <c r="B613" s="28"/>
      <c r="C613" s="19" t="s">
        <v>526</v>
      </c>
      <c r="D613" s="14" t="s">
        <v>526</v>
      </c>
      <c r="E613" s="14" t="s">
        <v>526</v>
      </c>
      <c r="F613" s="14" t="s">
        <v>526</v>
      </c>
      <c r="G613" s="18" t="s">
        <v>526</v>
      </c>
      <c r="H613" s="14" t="s">
        <v>526</v>
      </c>
      <c r="I613" s="18" t="s">
        <v>526</v>
      </c>
      <c r="J613" s="14">
        <v>611</v>
      </c>
    </row>
    <row r="614" spans="1:10" s="10" customFormat="1" ht="14.45">
      <c r="A614" s="13">
        <v>612</v>
      </c>
      <c r="B614" s="28"/>
      <c r="C614" s="19" t="s">
        <v>526</v>
      </c>
      <c r="D614" s="14" t="s">
        <v>526</v>
      </c>
      <c r="E614" s="14" t="s">
        <v>526</v>
      </c>
      <c r="F614" s="14" t="s">
        <v>526</v>
      </c>
      <c r="G614" s="18" t="s">
        <v>526</v>
      </c>
      <c r="H614" s="14" t="s">
        <v>526</v>
      </c>
      <c r="I614" s="18" t="s">
        <v>526</v>
      </c>
      <c r="J614" s="14">
        <v>612</v>
      </c>
    </row>
    <row r="615" spans="1:10" s="10" customFormat="1" ht="14.45">
      <c r="A615" s="13">
        <v>613</v>
      </c>
      <c r="B615" s="28"/>
      <c r="C615" s="19" t="s">
        <v>526</v>
      </c>
      <c r="D615" s="14" t="s">
        <v>526</v>
      </c>
      <c r="E615" s="14" t="s">
        <v>526</v>
      </c>
      <c r="F615" s="14" t="s">
        <v>526</v>
      </c>
      <c r="G615" s="18" t="s">
        <v>526</v>
      </c>
      <c r="H615" s="14" t="s">
        <v>526</v>
      </c>
      <c r="I615" s="18" t="s">
        <v>526</v>
      </c>
      <c r="J615" s="14">
        <v>613</v>
      </c>
    </row>
    <row r="616" spans="1:10" s="10" customFormat="1" ht="14.45">
      <c r="A616" s="13">
        <v>614</v>
      </c>
      <c r="B616" s="28"/>
      <c r="C616" s="19" t="s">
        <v>526</v>
      </c>
      <c r="D616" s="14" t="s">
        <v>526</v>
      </c>
      <c r="E616" s="14" t="s">
        <v>526</v>
      </c>
      <c r="F616" s="14" t="s">
        <v>526</v>
      </c>
      <c r="G616" s="18" t="s">
        <v>526</v>
      </c>
      <c r="H616" s="14" t="s">
        <v>526</v>
      </c>
      <c r="I616" s="18" t="s">
        <v>526</v>
      </c>
      <c r="J616" s="14">
        <v>614</v>
      </c>
    </row>
    <row r="617" spans="1:10" s="10" customFormat="1" ht="14.45">
      <c r="A617" s="13">
        <v>615</v>
      </c>
      <c r="B617" s="28"/>
      <c r="C617" s="19" t="s">
        <v>526</v>
      </c>
      <c r="D617" s="14" t="s">
        <v>526</v>
      </c>
      <c r="E617" s="14" t="s">
        <v>526</v>
      </c>
      <c r="F617" s="14" t="s">
        <v>526</v>
      </c>
      <c r="G617" s="18" t="s">
        <v>526</v>
      </c>
      <c r="H617" s="14" t="s">
        <v>526</v>
      </c>
      <c r="I617" s="18" t="s">
        <v>526</v>
      </c>
      <c r="J617" s="14">
        <v>615</v>
      </c>
    </row>
    <row r="618" spans="1:10" s="10" customFormat="1" ht="14.45">
      <c r="A618" s="13">
        <v>616</v>
      </c>
      <c r="B618" s="28"/>
      <c r="C618" s="19" t="s">
        <v>526</v>
      </c>
      <c r="D618" s="14" t="s">
        <v>526</v>
      </c>
      <c r="E618" s="14" t="s">
        <v>526</v>
      </c>
      <c r="F618" s="14" t="s">
        <v>526</v>
      </c>
      <c r="G618" s="18" t="s">
        <v>526</v>
      </c>
      <c r="H618" s="14" t="s">
        <v>526</v>
      </c>
      <c r="I618" s="18" t="s">
        <v>526</v>
      </c>
      <c r="J618" s="14">
        <v>616</v>
      </c>
    </row>
    <row r="619" spans="1:10" s="10" customFormat="1" ht="14.45">
      <c r="A619" s="13">
        <v>617</v>
      </c>
      <c r="B619" s="28"/>
      <c r="C619" s="19" t="s">
        <v>526</v>
      </c>
      <c r="D619" s="14" t="s">
        <v>526</v>
      </c>
      <c r="E619" s="14" t="s">
        <v>526</v>
      </c>
      <c r="F619" s="14" t="s">
        <v>526</v>
      </c>
      <c r="G619" s="18" t="s">
        <v>526</v>
      </c>
      <c r="H619" s="14" t="s">
        <v>526</v>
      </c>
      <c r="I619" s="18" t="s">
        <v>526</v>
      </c>
      <c r="J619" s="14">
        <v>617</v>
      </c>
    </row>
    <row r="620" spans="1:10" s="10" customFormat="1" ht="14.45">
      <c r="A620" s="13">
        <v>618</v>
      </c>
      <c r="B620" s="28"/>
      <c r="C620" s="19" t="s">
        <v>526</v>
      </c>
      <c r="D620" s="14" t="s">
        <v>526</v>
      </c>
      <c r="E620" s="14" t="s">
        <v>526</v>
      </c>
      <c r="F620" s="14" t="s">
        <v>526</v>
      </c>
      <c r="G620" s="18" t="s">
        <v>526</v>
      </c>
      <c r="H620" s="14" t="s">
        <v>526</v>
      </c>
      <c r="I620" s="18" t="s">
        <v>526</v>
      </c>
      <c r="J620" s="14">
        <v>618</v>
      </c>
    </row>
    <row r="621" spans="1:10" s="10" customFormat="1" ht="14.45">
      <c r="A621" s="13">
        <v>619</v>
      </c>
      <c r="B621" s="28"/>
      <c r="C621" s="19" t="s">
        <v>526</v>
      </c>
      <c r="D621" s="14" t="s">
        <v>526</v>
      </c>
      <c r="E621" s="14" t="s">
        <v>526</v>
      </c>
      <c r="F621" s="14" t="s">
        <v>526</v>
      </c>
      <c r="G621" s="18" t="s">
        <v>526</v>
      </c>
      <c r="H621" s="14" t="s">
        <v>526</v>
      </c>
      <c r="I621" s="18" t="s">
        <v>526</v>
      </c>
      <c r="J621" s="14">
        <v>619</v>
      </c>
    </row>
    <row r="622" spans="1:10" s="10" customFormat="1" ht="14.45">
      <c r="A622" s="13">
        <v>620</v>
      </c>
      <c r="B622" s="28"/>
      <c r="C622" s="19" t="s">
        <v>526</v>
      </c>
      <c r="D622" s="14" t="s">
        <v>526</v>
      </c>
      <c r="E622" s="14" t="s">
        <v>526</v>
      </c>
      <c r="F622" s="14" t="s">
        <v>526</v>
      </c>
      <c r="G622" s="18" t="s">
        <v>526</v>
      </c>
      <c r="H622" s="14" t="s">
        <v>526</v>
      </c>
      <c r="I622" s="18" t="s">
        <v>526</v>
      </c>
      <c r="J622" s="14">
        <v>620</v>
      </c>
    </row>
    <row r="623" spans="1:10" s="10" customFormat="1" ht="14.45">
      <c r="A623" s="13">
        <v>621</v>
      </c>
      <c r="B623" s="28"/>
      <c r="C623" s="19" t="s">
        <v>526</v>
      </c>
      <c r="D623" s="14" t="s">
        <v>526</v>
      </c>
      <c r="E623" s="14" t="s">
        <v>526</v>
      </c>
      <c r="F623" s="14" t="s">
        <v>526</v>
      </c>
      <c r="G623" s="18" t="s">
        <v>526</v>
      </c>
      <c r="H623" s="14" t="s">
        <v>526</v>
      </c>
      <c r="I623" s="18" t="s">
        <v>526</v>
      </c>
      <c r="J623" s="14">
        <v>621</v>
      </c>
    </row>
    <row r="624" spans="1:10" s="10" customFormat="1" ht="14.45">
      <c r="A624" s="13">
        <v>622</v>
      </c>
      <c r="B624" s="28"/>
      <c r="C624" s="19" t="s">
        <v>526</v>
      </c>
      <c r="D624" s="14" t="s">
        <v>526</v>
      </c>
      <c r="E624" s="14" t="s">
        <v>526</v>
      </c>
      <c r="F624" s="14" t="s">
        <v>526</v>
      </c>
      <c r="G624" s="18" t="s">
        <v>526</v>
      </c>
      <c r="H624" s="14" t="s">
        <v>526</v>
      </c>
      <c r="I624" s="18" t="s">
        <v>526</v>
      </c>
      <c r="J624" s="14">
        <v>622</v>
      </c>
    </row>
    <row r="625" spans="1:10" s="10" customFormat="1" ht="14.45">
      <c r="A625" s="13">
        <v>623</v>
      </c>
      <c r="B625" s="28"/>
      <c r="C625" s="19" t="s">
        <v>526</v>
      </c>
      <c r="D625" s="14" t="s">
        <v>526</v>
      </c>
      <c r="E625" s="14" t="s">
        <v>526</v>
      </c>
      <c r="F625" s="14" t="s">
        <v>526</v>
      </c>
      <c r="G625" s="18" t="s">
        <v>526</v>
      </c>
      <c r="H625" s="14" t="s">
        <v>526</v>
      </c>
      <c r="I625" s="18" t="s">
        <v>526</v>
      </c>
      <c r="J625" s="14">
        <v>623</v>
      </c>
    </row>
    <row r="626" spans="1:10" s="10" customFormat="1" ht="14.45">
      <c r="A626" s="13">
        <v>624</v>
      </c>
      <c r="B626" s="28"/>
      <c r="C626" s="19" t="s">
        <v>526</v>
      </c>
      <c r="D626" s="14" t="s">
        <v>526</v>
      </c>
      <c r="E626" s="14" t="s">
        <v>526</v>
      </c>
      <c r="F626" s="14" t="s">
        <v>526</v>
      </c>
      <c r="G626" s="18" t="s">
        <v>526</v>
      </c>
      <c r="H626" s="14" t="s">
        <v>526</v>
      </c>
      <c r="I626" s="18" t="s">
        <v>526</v>
      </c>
      <c r="J626" s="14">
        <v>624</v>
      </c>
    </row>
    <row r="627" spans="1:10" s="10" customFormat="1" ht="14.45">
      <c r="A627" s="13">
        <v>625</v>
      </c>
      <c r="B627" s="28"/>
      <c r="C627" s="19"/>
      <c r="D627" s="14"/>
      <c r="E627" s="14"/>
      <c r="F627" s="14"/>
      <c r="G627" s="18"/>
      <c r="H627" s="14"/>
      <c r="I627" s="18"/>
      <c r="J627" s="14">
        <v>625</v>
      </c>
    </row>
    <row r="628" spans="1:10" s="10" customFormat="1" ht="14.45">
      <c r="A628" s="13">
        <v>626</v>
      </c>
      <c r="B628" s="28"/>
      <c r="C628" s="19"/>
      <c r="D628" s="14"/>
      <c r="E628" s="14"/>
      <c r="F628" s="14"/>
      <c r="G628" s="18"/>
      <c r="H628" s="14"/>
      <c r="I628" s="18"/>
      <c r="J628" s="14">
        <v>626</v>
      </c>
    </row>
    <row r="629" spans="1:10" s="10" customFormat="1" ht="14.45">
      <c r="A629" s="13">
        <v>627</v>
      </c>
      <c r="B629" s="28"/>
      <c r="C629" s="19" t="s">
        <v>526</v>
      </c>
      <c r="D629" s="14" t="s">
        <v>526</v>
      </c>
      <c r="E629" s="14" t="s">
        <v>526</v>
      </c>
      <c r="F629" s="14" t="s">
        <v>526</v>
      </c>
      <c r="G629" s="18" t="s">
        <v>526</v>
      </c>
      <c r="H629" s="14" t="s">
        <v>526</v>
      </c>
      <c r="I629" s="18" t="s">
        <v>526</v>
      </c>
      <c r="J629" s="14">
        <v>627</v>
      </c>
    </row>
    <row r="630" spans="1:10" s="10" customFormat="1" ht="14.45">
      <c r="A630" s="13"/>
      <c r="B630" s="28"/>
      <c r="C630" s="19" t="s">
        <v>526</v>
      </c>
      <c r="D630" s="14" t="s">
        <v>526</v>
      </c>
      <c r="E630" s="14" t="s">
        <v>526</v>
      </c>
      <c r="F630" s="14" t="s">
        <v>526</v>
      </c>
      <c r="G630" s="18" t="s">
        <v>526</v>
      </c>
      <c r="H630" s="14" t="s">
        <v>526</v>
      </c>
      <c r="I630" s="18" t="s">
        <v>526</v>
      </c>
      <c r="J630" s="14">
        <v>628</v>
      </c>
    </row>
    <row r="631" spans="1:10" s="10" customFormat="1" ht="14.45">
      <c r="A631" s="13"/>
      <c r="B631" s="28"/>
      <c r="C631" s="19" t="s">
        <v>526</v>
      </c>
      <c r="D631" s="14" t="s">
        <v>526</v>
      </c>
      <c r="E631" s="14" t="s">
        <v>526</v>
      </c>
      <c r="F631" s="14" t="s">
        <v>526</v>
      </c>
      <c r="G631" s="18" t="s">
        <v>526</v>
      </c>
      <c r="H631" s="14" t="s">
        <v>526</v>
      </c>
      <c r="I631" s="18" t="s">
        <v>526</v>
      </c>
      <c r="J631" s="14">
        <v>629</v>
      </c>
    </row>
    <row r="632" spans="1:10" s="10" customFormat="1" ht="14.45">
      <c r="A632" s="13">
        <v>628</v>
      </c>
      <c r="B632" s="28"/>
      <c r="C632" s="19" t="s">
        <v>526</v>
      </c>
      <c r="D632" s="14" t="s">
        <v>526</v>
      </c>
      <c r="E632" s="14" t="s">
        <v>526</v>
      </c>
      <c r="F632" s="14" t="s">
        <v>526</v>
      </c>
      <c r="G632" s="18" t="s">
        <v>526</v>
      </c>
      <c r="H632" s="14" t="s">
        <v>526</v>
      </c>
      <c r="I632" s="18" t="s">
        <v>526</v>
      </c>
      <c r="J632" s="14">
        <v>630</v>
      </c>
    </row>
    <row r="633" spans="1:10" s="10" customFormat="1" ht="14.45">
      <c r="A633" s="13">
        <v>629</v>
      </c>
      <c r="B633" s="28"/>
      <c r="C633" s="19" t="s">
        <v>526</v>
      </c>
      <c r="D633" s="14" t="s">
        <v>526</v>
      </c>
      <c r="E633" s="14" t="s">
        <v>526</v>
      </c>
      <c r="F633" s="14" t="s">
        <v>526</v>
      </c>
      <c r="G633" s="18" t="s">
        <v>526</v>
      </c>
      <c r="H633" s="14" t="s">
        <v>526</v>
      </c>
      <c r="I633" s="18" t="s">
        <v>526</v>
      </c>
      <c r="J633" s="14">
        <v>631</v>
      </c>
    </row>
    <row r="634" spans="1:10" s="10" customFormat="1" ht="14.45">
      <c r="A634" s="13">
        <v>630</v>
      </c>
      <c r="B634" s="28"/>
      <c r="C634" s="19" t="s">
        <v>526</v>
      </c>
      <c r="D634" s="14" t="s">
        <v>526</v>
      </c>
      <c r="E634" s="14" t="s">
        <v>526</v>
      </c>
      <c r="F634" s="14" t="s">
        <v>526</v>
      </c>
      <c r="G634" s="18" t="s">
        <v>526</v>
      </c>
      <c r="H634" s="14" t="s">
        <v>526</v>
      </c>
      <c r="I634" s="18" t="s">
        <v>526</v>
      </c>
      <c r="J634" s="14">
        <v>632</v>
      </c>
    </row>
    <row r="635" spans="1:10" ht="15" customHeight="1">
      <c r="B635" s="28"/>
      <c r="C635" s="19" t="s">
        <v>526</v>
      </c>
      <c r="D635" s="14" t="s">
        <v>526</v>
      </c>
      <c r="E635" s="14" t="s">
        <v>526</v>
      </c>
      <c r="F635" s="14" t="s">
        <v>526</v>
      </c>
      <c r="G635" s="18" t="s">
        <v>526</v>
      </c>
      <c r="H635" s="14" t="s">
        <v>526</v>
      </c>
      <c r="I635" s="18" t="s">
        <v>526</v>
      </c>
      <c r="J635" s="14">
        <v>633</v>
      </c>
    </row>
    <row r="636" spans="1:10" ht="15" customHeight="1">
      <c r="B636" s="28"/>
      <c r="C636" s="19" t="s">
        <v>526</v>
      </c>
      <c r="D636" s="14" t="s">
        <v>526</v>
      </c>
      <c r="E636" s="14" t="s">
        <v>526</v>
      </c>
      <c r="F636" s="14" t="s">
        <v>526</v>
      </c>
      <c r="G636" s="18" t="s">
        <v>526</v>
      </c>
      <c r="H636" s="14" t="s">
        <v>526</v>
      </c>
      <c r="I636" s="18" t="s">
        <v>526</v>
      </c>
      <c r="J636" s="14">
        <v>634</v>
      </c>
    </row>
    <row r="637" spans="1:10" ht="15" customHeight="1">
      <c r="B637" s="28"/>
      <c r="C637" s="19" t="s">
        <v>526</v>
      </c>
      <c r="D637" s="14" t="s">
        <v>526</v>
      </c>
      <c r="E637" s="14" t="s">
        <v>526</v>
      </c>
      <c r="F637" s="14" t="s">
        <v>526</v>
      </c>
      <c r="G637" s="18" t="s">
        <v>526</v>
      </c>
      <c r="H637" s="14" t="s">
        <v>526</v>
      </c>
      <c r="I637" s="18" t="s">
        <v>526</v>
      </c>
      <c r="J637" s="14">
        <v>635</v>
      </c>
    </row>
    <row r="638" spans="1:10" ht="15" customHeight="1">
      <c r="B638" s="28"/>
      <c r="C638" s="19" t="s">
        <v>526</v>
      </c>
      <c r="D638" s="14" t="s">
        <v>526</v>
      </c>
      <c r="E638" s="14" t="s">
        <v>526</v>
      </c>
      <c r="F638" s="14" t="s">
        <v>526</v>
      </c>
      <c r="G638" s="18" t="s">
        <v>526</v>
      </c>
      <c r="H638" s="14" t="s">
        <v>526</v>
      </c>
      <c r="I638" s="18" t="s">
        <v>526</v>
      </c>
      <c r="J638" s="14">
        <v>636</v>
      </c>
    </row>
    <row r="639" spans="1:10" ht="15" customHeight="1">
      <c r="B639" s="28"/>
      <c r="C639" s="19" t="s">
        <v>526</v>
      </c>
      <c r="D639" s="14" t="s">
        <v>526</v>
      </c>
      <c r="E639" s="14" t="s">
        <v>526</v>
      </c>
      <c r="F639" s="14" t="s">
        <v>526</v>
      </c>
      <c r="G639" s="18" t="s">
        <v>526</v>
      </c>
      <c r="H639" s="14" t="s">
        <v>526</v>
      </c>
      <c r="I639" s="18" t="s">
        <v>526</v>
      </c>
      <c r="J639" s="14">
        <v>637</v>
      </c>
    </row>
    <row r="640" spans="1:10" ht="15" customHeight="1">
      <c r="B640" s="28"/>
      <c r="C640" s="19" t="s">
        <v>526</v>
      </c>
      <c r="D640" s="14" t="s">
        <v>526</v>
      </c>
      <c r="E640" s="14" t="s">
        <v>526</v>
      </c>
      <c r="F640" s="14" t="s">
        <v>526</v>
      </c>
      <c r="G640" s="18" t="s">
        <v>526</v>
      </c>
      <c r="H640" s="14" t="s">
        <v>526</v>
      </c>
      <c r="I640" s="18" t="s">
        <v>526</v>
      </c>
      <c r="J640" s="14">
        <v>638</v>
      </c>
    </row>
    <row r="641" spans="2:10" ht="15" customHeight="1">
      <c r="B641" s="28"/>
      <c r="C641" s="19" t="s">
        <v>526</v>
      </c>
      <c r="D641" s="14" t="s">
        <v>526</v>
      </c>
      <c r="E641" s="14" t="s">
        <v>526</v>
      </c>
      <c r="F641" s="14" t="s">
        <v>526</v>
      </c>
      <c r="G641" s="18" t="s">
        <v>526</v>
      </c>
      <c r="H641" s="14" t="s">
        <v>526</v>
      </c>
      <c r="I641" s="18" t="s">
        <v>526</v>
      </c>
      <c r="J641" s="14">
        <v>639</v>
      </c>
    </row>
    <row r="642" spans="2:10" ht="15" customHeight="1">
      <c r="B642" s="28"/>
      <c r="C642" s="19" t="s">
        <v>526</v>
      </c>
      <c r="D642" s="14" t="s">
        <v>526</v>
      </c>
      <c r="E642" s="14" t="s">
        <v>526</v>
      </c>
      <c r="F642" s="14" t="s">
        <v>526</v>
      </c>
      <c r="G642" s="18" t="s">
        <v>526</v>
      </c>
      <c r="H642" s="14" t="s">
        <v>526</v>
      </c>
      <c r="I642" s="18" t="s">
        <v>526</v>
      </c>
      <c r="J642" s="14">
        <v>640</v>
      </c>
    </row>
    <row r="643" spans="2:10" ht="15" customHeight="1">
      <c r="B643" s="28"/>
      <c r="C643" s="19" t="s">
        <v>526</v>
      </c>
      <c r="D643" s="14" t="s">
        <v>526</v>
      </c>
      <c r="E643" s="14" t="s">
        <v>526</v>
      </c>
      <c r="F643" s="14" t="s">
        <v>526</v>
      </c>
      <c r="G643" s="18" t="s">
        <v>526</v>
      </c>
      <c r="H643" s="14" t="s">
        <v>526</v>
      </c>
      <c r="I643" s="18" t="s">
        <v>526</v>
      </c>
      <c r="J643" s="14">
        <v>641</v>
      </c>
    </row>
    <row r="644" spans="2:10" ht="15" customHeight="1">
      <c r="B644" s="28"/>
      <c r="C644" s="19" t="s">
        <v>526</v>
      </c>
      <c r="D644" s="14" t="s">
        <v>526</v>
      </c>
      <c r="E644" s="14" t="s">
        <v>526</v>
      </c>
      <c r="F644" s="14" t="s">
        <v>526</v>
      </c>
      <c r="G644" s="18" t="s">
        <v>526</v>
      </c>
      <c r="H644" s="14" t="s">
        <v>526</v>
      </c>
      <c r="I644" s="18" t="s">
        <v>526</v>
      </c>
      <c r="J644" s="14">
        <v>642</v>
      </c>
    </row>
    <row r="645" spans="2:10" ht="15" customHeight="1">
      <c r="B645" s="28"/>
      <c r="C645" s="19" t="s">
        <v>526</v>
      </c>
      <c r="D645" s="14" t="s">
        <v>526</v>
      </c>
      <c r="E645" s="14" t="s">
        <v>526</v>
      </c>
      <c r="F645" s="14" t="s">
        <v>526</v>
      </c>
      <c r="G645" s="18" t="s">
        <v>526</v>
      </c>
      <c r="H645" s="14" t="s">
        <v>526</v>
      </c>
      <c r="I645" s="18" t="s">
        <v>526</v>
      </c>
      <c r="J645" s="14">
        <v>643</v>
      </c>
    </row>
    <row r="646" spans="2:10" ht="15" customHeight="1">
      <c r="B646" s="28"/>
      <c r="C646" s="19" t="s">
        <v>526</v>
      </c>
      <c r="D646" s="14" t="s">
        <v>526</v>
      </c>
      <c r="E646" s="14" t="s">
        <v>526</v>
      </c>
      <c r="F646" s="14" t="s">
        <v>526</v>
      </c>
      <c r="G646" s="18" t="s">
        <v>526</v>
      </c>
      <c r="H646" s="14" t="s">
        <v>526</v>
      </c>
      <c r="I646" s="18" t="s">
        <v>526</v>
      </c>
      <c r="J646" s="14">
        <v>644</v>
      </c>
    </row>
    <row r="647" spans="2:10" ht="15" customHeight="1">
      <c r="B647" s="28"/>
      <c r="C647" s="19" t="s">
        <v>526</v>
      </c>
      <c r="D647" s="14" t="s">
        <v>526</v>
      </c>
      <c r="E647" s="14" t="s">
        <v>526</v>
      </c>
      <c r="F647" s="14" t="s">
        <v>526</v>
      </c>
      <c r="G647" s="18" t="s">
        <v>526</v>
      </c>
      <c r="H647" s="14" t="s">
        <v>526</v>
      </c>
      <c r="I647" s="18" t="s">
        <v>526</v>
      </c>
      <c r="J647" s="14">
        <v>645</v>
      </c>
    </row>
    <row r="648" spans="2:10" ht="15" customHeight="1">
      <c r="B648" s="28"/>
      <c r="C648" s="19" t="s">
        <v>526</v>
      </c>
      <c r="D648" s="14" t="s">
        <v>526</v>
      </c>
      <c r="E648" s="14" t="s">
        <v>526</v>
      </c>
      <c r="F648" s="14" t="s">
        <v>526</v>
      </c>
      <c r="G648" s="18" t="s">
        <v>526</v>
      </c>
      <c r="H648" s="14" t="s">
        <v>526</v>
      </c>
      <c r="I648" s="18" t="s">
        <v>526</v>
      </c>
      <c r="J648" s="14">
        <v>646</v>
      </c>
    </row>
    <row r="649" spans="2:10" ht="15" customHeight="1">
      <c r="B649" s="28"/>
      <c r="C649" s="19" t="s">
        <v>526</v>
      </c>
      <c r="D649" s="14" t="s">
        <v>526</v>
      </c>
      <c r="E649" s="14" t="s">
        <v>526</v>
      </c>
      <c r="F649" s="14" t="s">
        <v>526</v>
      </c>
      <c r="G649" s="18" t="s">
        <v>526</v>
      </c>
      <c r="H649" s="14" t="s">
        <v>526</v>
      </c>
      <c r="I649" s="18" t="s">
        <v>526</v>
      </c>
      <c r="J649" s="14">
        <v>647</v>
      </c>
    </row>
    <row r="650" spans="2:10" ht="15" customHeight="1">
      <c r="B650" s="28"/>
      <c r="C650" s="19" t="s">
        <v>526</v>
      </c>
      <c r="D650" s="14" t="s">
        <v>526</v>
      </c>
      <c r="E650" s="14" t="s">
        <v>526</v>
      </c>
      <c r="F650" s="14" t="s">
        <v>526</v>
      </c>
      <c r="G650" s="18" t="s">
        <v>526</v>
      </c>
      <c r="H650" s="14" t="s">
        <v>526</v>
      </c>
      <c r="I650" s="18" t="s">
        <v>526</v>
      </c>
      <c r="J650" s="14">
        <v>648</v>
      </c>
    </row>
    <row r="651" spans="2:10" ht="15" customHeight="1">
      <c r="B651" s="28"/>
      <c r="C651" s="19" t="s">
        <v>526</v>
      </c>
      <c r="D651" s="14" t="s">
        <v>526</v>
      </c>
      <c r="E651" s="14" t="s">
        <v>526</v>
      </c>
      <c r="F651" s="14" t="s">
        <v>526</v>
      </c>
      <c r="G651" s="18" t="s">
        <v>526</v>
      </c>
      <c r="H651" s="14" t="s">
        <v>526</v>
      </c>
      <c r="I651" s="18" t="s">
        <v>526</v>
      </c>
      <c r="J651" s="14">
        <v>649</v>
      </c>
    </row>
    <row r="652" spans="2:10" ht="15" customHeight="1">
      <c r="B652" s="28"/>
      <c r="C652" s="19" t="s">
        <v>526</v>
      </c>
      <c r="D652" s="14" t="s">
        <v>526</v>
      </c>
      <c r="E652" s="14" t="s">
        <v>526</v>
      </c>
      <c r="F652" s="14" t="s">
        <v>526</v>
      </c>
      <c r="G652" s="18" t="s">
        <v>526</v>
      </c>
      <c r="H652" s="14" t="s">
        <v>526</v>
      </c>
      <c r="I652" s="18" t="s">
        <v>526</v>
      </c>
      <c r="J652" s="14">
        <v>650</v>
      </c>
    </row>
    <row r="653" spans="2:10" ht="15" customHeight="1">
      <c r="B653" s="28"/>
      <c r="C653" s="19" t="s">
        <v>526</v>
      </c>
      <c r="D653" s="14" t="s">
        <v>526</v>
      </c>
      <c r="E653" s="14" t="s">
        <v>526</v>
      </c>
      <c r="F653" s="14" t="s">
        <v>526</v>
      </c>
      <c r="G653" s="18" t="s">
        <v>526</v>
      </c>
      <c r="H653" s="14" t="s">
        <v>526</v>
      </c>
      <c r="I653" s="18" t="s">
        <v>526</v>
      </c>
      <c r="J653" s="14">
        <v>651</v>
      </c>
    </row>
    <row r="654" spans="2:10" ht="15" customHeight="1">
      <c r="B654" s="28"/>
      <c r="C654" s="19" t="s">
        <v>526</v>
      </c>
      <c r="D654" s="14" t="s">
        <v>526</v>
      </c>
      <c r="E654" s="14" t="s">
        <v>526</v>
      </c>
      <c r="F654" s="14" t="s">
        <v>526</v>
      </c>
      <c r="G654" s="18" t="s">
        <v>526</v>
      </c>
      <c r="H654" s="14" t="s">
        <v>526</v>
      </c>
      <c r="I654" s="18" t="s">
        <v>526</v>
      </c>
      <c r="J654" s="14">
        <v>652</v>
      </c>
    </row>
    <row r="655" spans="2:10" ht="15" customHeight="1">
      <c r="B655" s="28"/>
      <c r="C655" s="19" t="s">
        <v>526</v>
      </c>
      <c r="D655" s="14" t="s">
        <v>526</v>
      </c>
      <c r="E655" s="14" t="s">
        <v>526</v>
      </c>
      <c r="F655" s="14" t="s">
        <v>526</v>
      </c>
      <c r="G655" s="18" t="s">
        <v>526</v>
      </c>
      <c r="H655" s="14" t="s">
        <v>526</v>
      </c>
      <c r="I655" s="18" t="s">
        <v>526</v>
      </c>
      <c r="J655" s="14">
        <v>653</v>
      </c>
    </row>
    <row r="656" spans="2:10" ht="15" customHeight="1">
      <c r="B656" s="28"/>
      <c r="C656" s="19" t="s">
        <v>526</v>
      </c>
      <c r="D656" s="14" t="s">
        <v>526</v>
      </c>
      <c r="E656" s="14" t="s">
        <v>526</v>
      </c>
      <c r="F656" s="14" t="s">
        <v>526</v>
      </c>
      <c r="G656" s="18" t="s">
        <v>526</v>
      </c>
      <c r="H656" s="14" t="s">
        <v>526</v>
      </c>
      <c r="I656" s="18" t="s">
        <v>526</v>
      </c>
      <c r="J656" s="14">
        <v>654</v>
      </c>
    </row>
    <row r="657" spans="2:10" ht="15" customHeight="1">
      <c r="B657" s="28"/>
      <c r="C657" s="19" t="s">
        <v>526</v>
      </c>
      <c r="D657" s="14" t="s">
        <v>526</v>
      </c>
      <c r="E657" s="14" t="s">
        <v>526</v>
      </c>
      <c r="F657" s="14" t="s">
        <v>526</v>
      </c>
      <c r="G657" s="18" t="s">
        <v>526</v>
      </c>
      <c r="H657" s="14" t="s">
        <v>526</v>
      </c>
      <c r="I657" s="18" t="s">
        <v>526</v>
      </c>
      <c r="J657" s="14">
        <v>655</v>
      </c>
    </row>
    <row r="658" spans="2:10" ht="15" customHeight="1">
      <c r="B658" s="28"/>
      <c r="C658" s="19" t="s">
        <v>526</v>
      </c>
      <c r="D658" s="14" t="s">
        <v>526</v>
      </c>
      <c r="E658" s="14" t="s">
        <v>526</v>
      </c>
      <c r="F658" s="14" t="s">
        <v>526</v>
      </c>
      <c r="G658" s="18" t="s">
        <v>526</v>
      </c>
      <c r="H658" s="14" t="s">
        <v>526</v>
      </c>
      <c r="I658" s="18" t="s">
        <v>526</v>
      </c>
      <c r="J658" s="14">
        <v>656</v>
      </c>
    </row>
    <row r="659" spans="2:10" ht="15" customHeight="1">
      <c r="B659" s="28"/>
      <c r="C659" s="19" t="s">
        <v>526</v>
      </c>
      <c r="D659" s="14" t="s">
        <v>526</v>
      </c>
      <c r="E659" s="14" t="s">
        <v>526</v>
      </c>
      <c r="F659" s="14" t="s">
        <v>526</v>
      </c>
      <c r="G659" s="18" t="s">
        <v>526</v>
      </c>
      <c r="H659" s="14" t="s">
        <v>526</v>
      </c>
      <c r="I659" s="18" t="s">
        <v>526</v>
      </c>
      <c r="J659" s="14">
        <v>657</v>
      </c>
    </row>
    <row r="660" spans="2:10" ht="15" customHeight="1">
      <c r="B660" s="28"/>
      <c r="C660" s="19" t="s">
        <v>526</v>
      </c>
      <c r="D660" s="14" t="s">
        <v>526</v>
      </c>
      <c r="E660" s="14" t="s">
        <v>526</v>
      </c>
      <c r="F660" s="14" t="s">
        <v>526</v>
      </c>
      <c r="G660" s="18" t="s">
        <v>526</v>
      </c>
      <c r="H660" s="14" t="s">
        <v>526</v>
      </c>
      <c r="I660" s="18" t="s">
        <v>526</v>
      </c>
      <c r="J660" s="14">
        <v>658</v>
      </c>
    </row>
    <row r="661" spans="2:10" ht="15" customHeight="1">
      <c r="B661" s="28"/>
      <c r="C661" s="19" t="s">
        <v>526</v>
      </c>
      <c r="D661" s="14" t="s">
        <v>526</v>
      </c>
      <c r="E661" s="14" t="s">
        <v>526</v>
      </c>
      <c r="F661" s="14" t="s">
        <v>526</v>
      </c>
      <c r="G661" s="18" t="s">
        <v>526</v>
      </c>
      <c r="H661" s="14" t="s">
        <v>526</v>
      </c>
      <c r="I661" s="18" t="s">
        <v>526</v>
      </c>
      <c r="J661" s="14">
        <v>659</v>
      </c>
    </row>
    <row r="662" spans="2:10" ht="15" customHeight="1">
      <c r="B662" s="28"/>
      <c r="C662" s="19" t="s">
        <v>526</v>
      </c>
      <c r="D662" s="14" t="s">
        <v>526</v>
      </c>
      <c r="E662" s="14" t="s">
        <v>526</v>
      </c>
      <c r="F662" s="14" t="s">
        <v>526</v>
      </c>
      <c r="G662" s="18" t="s">
        <v>526</v>
      </c>
      <c r="H662" s="14" t="s">
        <v>526</v>
      </c>
      <c r="I662" s="18" t="s">
        <v>526</v>
      </c>
      <c r="J662" s="14">
        <v>660</v>
      </c>
    </row>
    <row r="663" spans="2:10" ht="15" customHeight="1">
      <c r="B663" s="28"/>
      <c r="C663" s="19" t="s">
        <v>526</v>
      </c>
      <c r="D663" s="14" t="s">
        <v>526</v>
      </c>
      <c r="E663" s="14" t="s">
        <v>526</v>
      </c>
      <c r="F663" s="14" t="s">
        <v>526</v>
      </c>
      <c r="G663" s="18" t="s">
        <v>526</v>
      </c>
      <c r="H663" s="14" t="s">
        <v>526</v>
      </c>
      <c r="I663" s="18" t="s">
        <v>526</v>
      </c>
      <c r="J663" s="14">
        <v>661</v>
      </c>
    </row>
    <row r="664" spans="2:10" ht="15" customHeight="1">
      <c r="B664" s="28"/>
      <c r="C664" s="19" t="s">
        <v>526</v>
      </c>
      <c r="D664" s="14" t="s">
        <v>526</v>
      </c>
      <c r="E664" s="14" t="s">
        <v>526</v>
      </c>
      <c r="F664" s="14" t="s">
        <v>526</v>
      </c>
      <c r="G664" s="18" t="s">
        <v>526</v>
      </c>
      <c r="H664" s="14" t="s">
        <v>526</v>
      </c>
      <c r="I664" s="18" t="s">
        <v>526</v>
      </c>
      <c r="J664" s="14">
        <v>662</v>
      </c>
    </row>
    <row r="665" spans="2:10" ht="15" customHeight="1">
      <c r="B665" s="28"/>
      <c r="C665" s="19" t="s">
        <v>526</v>
      </c>
      <c r="D665" s="14" t="s">
        <v>526</v>
      </c>
      <c r="E665" s="14" t="s">
        <v>526</v>
      </c>
      <c r="F665" s="14" t="s">
        <v>526</v>
      </c>
      <c r="G665" s="18" t="s">
        <v>526</v>
      </c>
      <c r="H665" s="14" t="s">
        <v>526</v>
      </c>
      <c r="I665" s="18" t="s">
        <v>526</v>
      </c>
      <c r="J665" s="14">
        <v>663</v>
      </c>
    </row>
    <row r="666" spans="2:10" ht="15" customHeight="1">
      <c r="B666" s="28"/>
      <c r="C666" s="19" t="s">
        <v>526</v>
      </c>
      <c r="D666" s="14" t="s">
        <v>526</v>
      </c>
      <c r="E666" s="14" t="s">
        <v>526</v>
      </c>
      <c r="F666" s="14" t="s">
        <v>526</v>
      </c>
      <c r="G666" s="18" t="s">
        <v>526</v>
      </c>
      <c r="H666" s="14" t="s">
        <v>526</v>
      </c>
      <c r="I666" s="18" t="s">
        <v>526</v>
      </c>
      <c r="J666" s="14">
        <v>664</v>
      </c>
    </row>
    <row r="667" spans="2:10" ht="15" customHeight="1">
      <c r="B667" s="28"/>
      <c r="C667" s="19" t="s">
        <v>526</v>
      </c>
      <c r="D667" s="14" t="s">
        <v>526</v>
      </c>
      <c r="E667" s="14" t="s">
        <v>526</v>
      </c>
      <c r="F667" s="14" t="s">
        <v>526</v>
      </c>
      <c r="G667" s="18" t="s">
        <v>526</v>
      </c>
      <c r="H667" s="14" t="s">
        <v>526</v>
      </c>
      <c r="I667" s="18" t="s">
        <v>526</v>
      </c>
      <c r="J667" s="14">
        <v>665</v>
      </c>
    </row>
    <row r="668" spans="2:10" ht="15" customHeight="1">
      <c r="B668" s="28"/>
      <c r="C668" s="19" t="s">
        <v>526</v>
      </c>
      <c r="D668" s="14" t="s">
        <v>526</v>
      </c>
      <c r="E668" s="14" t="s">
        <v>526</v>
      </c>
      <c r="F668" s="14" t="s">
        <v>526</v>
      </c>
      <c r="G668" s="18" t="s">
        <v>526</v>
      </c>
      <c r="H668" s="14" t="s">
        <v>526</v>
      </c>
      <c r="I668" s="18" t="s">
        <v>526</v>
      </c>
      <c r="J668" s="14">
        <v>666</v>
      </c>
    </row>
    <row r="669" spans="2:10" ht="15" customHeight="1">
      <c r="B669" s="28"/>
      <c r="C669" s="19" t="s">
        <v>526</v>
      </c>
      <c r="D669" s="14" t="s">
        <v>526</v>
      </c>
      <c r="E669" s="14" t="s">
        <v>526</v>
      </c>
      <c r="F669" s="14" t="s">
        <v>526</v>
      </c>
      <c r="G669" s="18" t="s">
        <v>526</v>
      </c>
      <c r="H669" s="14" t="s">
        <v>526</v>
      </c>
      <c r="I669" s="18" t="s">
        <v>526</v>
      </c>
      <c r="J669" s="14">
        <v>667</v>
      </c>
    </row>
    <row r="670" spans="2:10" ht="15" customHeight="1">
      <c r="B670" s="28"/>
      <c r="C670" s="19" t="s">
        <v>526</v>
      </c>
      <c r="D670" s="14" t="s">
        <v>526</v>
      </c>
      <c r="E670" s="14" t="s">
        <v>526</v>
      </c>
      <c r="F670" s="14" t="s">
        <v>526</v>
      </c>
      <c r="G670" s="18" t="s">
        <v>526</v>
      </c>
      <c r="H670" s="14" t="s">
        <v>526</v>
      </c>
      <c r="I670" s="18" t="s">
        <v>526</v>
      </c>
      <c r="J670" s="14">
        <v>668</v>
      </c>
    </row>
    <row r="671" spans="2:10" ht="15" customHeight="1">
      <c r="B671" s="28"/>
      <c r="C671" s="19" t="s">
        <v>526</v>
      </c>
      <c r="D671" s="14" t="s">
        <v>526</v>
      </c>
      <c r="E671" s="14" t="s">
        <v>526</v>
      </c>
      <c r="F671" s="14" t="s">
        <v>526</v>
      </c>
      <c r="G671" s="18" t="s">
        <v>526</v>
      </c>
      <c r="H671" s="14" t="s">
        <v>526</v>
      </c>
      <c r="I671" s="18" t="s">
        <v>526</v>
      </c>
      <c r="J671" s="14">
        <v>669</v>
      </c>
    </row>
    <row r="672" spans="2:10" ht="15" customHeight="1">
      <c r="B672" s="28"/>
      <c r="C672" s="19" t="s">
        <v>526</v>
      </c>
      <c r="D672" s="14" t="s">
        <v>526</v>
      </c>
      <c r="E672" s="14" t="s">
        <v>526</v>
      </c>
      <c r="F672" s="14" t="s">
        <v>526</v>
      </c>
      <c r="G672" s="18" t="s">
        <v>526</v>
      </c>
      <c r="H672" s="14" t="s">
        <v>526</v>
      </c>
      <c r="I672" s="18" t="s">
        <v>526</v>
      </c>
      <c r="J672" s="14">
        <v>670</v>
      </c>
    </row>
    <row r="673" spans="2:10" ht="15" customHeight="1">
      <c r="B673" s="28"/>
      <c r="C673" s="19" t="s">
        <v>526</v>
      </c>
      <c r="D673" s="14" t="s">
        <v>526</v>
      </c>
      <c r="E673" s="14" t="s">
        <v>526</v>
      </c>
      <c r="F673" s="14" t="s">
        <v>526</v>
      </c>
      <c r="G673" s="18" t="s">
        <v>526</v>
      </c>
      <c r="H673" s="14" t="s">
        <v>526</v>
      </c>
      <c r="I673" s="18" t="s">
        <v>526</v>
      </c>
      <c r="J673" s="14">
        <v>671</v>
      </c>
    </row>
    <row r="674" spans="2:10" ht="15" customHeight="1">
      <c r="B674" s="28"/>
      <c r="C674" s="19" t="s">
        <v>526</v>
      </c>
      <c r="D674" s="14" t="s">
        <v>526</v>
      </c>
      <c r="E674" s="14" t="s">
        <v>526</v>
      </c>
      <c r="F674" s="14" t="s">
        <v>526</v>
      </c>
      <c r="G674" s="18" t="s">
        <v>526</v>
      </c>
      <c r="H674" s="14" t="s">
        <v>526</v>
      </c>
      <c r="I674" s="18" t="s">
        <v>526</v>
      </c>
      <c r="J674" s="14">
        <v>672</v>
      </c>
    </row>
    <row r="675" spans="2:10" ht="15" customHeight="1">
      <c r="B675" s="28"/>
      <c r="C675" s="19" t="s">
        <v>526</v>
      </c>
      <c r="D675" s="14" t="s">
        <v>526</v>
      </c>
      <c r="E675" s="14" t="s">
        <v>526</v>
      </c>
      <c r="F675" s="14" t="s">
        <v>526</v>
      </c>
      <c r="G675" s="18" t="s">
        <v>526</v>
      </c>
      <c r="H675" s="14" t="s">
        <v>526</v>
      </c>
      <c r="I675" s="18" t="s">
        <v>526</v>
      </c>
      <c r="J675" s="14">
        <v>673</v>
      </c>
    </row>
    <row r="676" spans="2:10" ht="15" customHeight="1">
      <c r="B676" s="28"/>
      <c r="C676" s="19" t="s">
        <v>526</v>
      </c>
      <c r="D676" s="14" t="s">
        <v>526</v>
      </c>
      <c r="E676" s="14" t="s">
        <v>526</v>
      </c>
      <c r="F676" s="14" t="s">
        <v>526</v>
      </c>
      <c r="G676" s="18" t="s">
        <v>526</v>
      </c>
      <c r="H676" s="14" t="s">
        <v>526</v>
      </c>
      <c r="I676" s="18" t="s">
        <v>526</v>
      </c>
      <c r="J676" s="14">
        <v>674</v>
      </c>
    </row>
    <row r="677" spans="2:10" ht="15" customHeight="1">
      <c r="B677" s="28"/>
      <c r="C677" s="19" t="s">
        <v>526</v>
      </c>
      <c r="D677" s="14" t="s">
        <v>526</v>
      </c>
      <c r="E677" s="14" t="s">
        <v>526</v>
      </c>
      <c r="F677" s="14" t="s">
        <v>526</v>
      </c>
      <c r="G677" s="18" t="s">
        <v>526</v>
      </c>
      <c r="H677" s="14" t="s">
        <v>526</v>
      </c>
      <c r="I677" s="18" t="s">
        <v>526</v>
      </c>
      <c r="J677" s="14">
        <v>675</v>
      </c>
    </row>
    <row r="678" spans="2:10" ht="15" customHeight="1">
      <c r="B678" s="28"/>
      <c r="C678" s="19" t="s">
        <v>526</v>
      </c>
      <c r="D678" s="14" t="s">
        <v>526</v>
      </c>
      <c r="E678" s="14" t="s">
        <v>526</v>
      </c>
      <c r="F678" s="14" t="s">
        <v>526</v>
      </c>
      <c r="G678" s="18" t="s">
        <v>526</v>
      </c>
      <c r="H678" s="14" t="s">
        <v>526</v>
      </c>
      <c r="I678" s="18" t="s">
        <v>526</v>
      </c>
      <c r="J678" s="14">
        <v>676</v>
      </c>
    </row>
    <row r="679" spans="2:10" ht="15" customHeight="1">
      <c r="B679" s="28"/>
      <c r="C679" s="19" t="s">
        <v>526</v>
      </c>
      <c r="D679" s="14" t="s">
        <v>526</v>
      </c>
      <c r="E679" s="14" t="s">
        <v>526</v>
      </c>
      <c r="F679" s="14" t="s">
        <v>526</v>
      </c>
      <c r="G679" s="18" t="s">
        <v>526</v>
      </c>
      <c r="H679" s="14" t="s">
        <v>526</v>
      </c>
      <c r="I679" s="18" t="s">
        <v>526</v>
      </c>
      <c r="J679" s="14">
        <v>677</v>
      </c>
    </row>
    <row r="680" spans="2:10" ht="15" customHeight="1">
      <c r="B680" s="28"/>
      <c r="C680" s="19" t="s">
        <v>526</v>
      </c>
      <c r="D680" s="14" t="s">
        <v>526</v>
      </c>
      <c r="E680" s="14" t="s">
        <v>526</v>
      </c>
      <c r="F680" s="14" t="s">
        <v>526</v>
      </c>
      <c r="G680" s="18" t="s">
        <v>526</v>
      </c>
      <c r="H680" s="14" t="s">
        <v>526</v>
      </c>
      <c r="I680" s="18" t="s">
        <v>526</v>
      </c>
      <c r="J680" s="14">
        <v>678</v>
      </c>
    </row>
    <row r="681" spans="2:10" ht="15" customHeight="1">
      <c r="B681" s="28"/>
      <c r="C681" s="19" t="s">
        <v>526</v>
      </c>
      <c r="D681" s="14" t="s">
        <v>526</v>
      </c>
      <c r="E681" s="14" t="s">
        <v>526</v>
      </c>
      <c r="F681" s="14" t="s">
        <v>526</v>
      </c>
      <c r="G681" s="18" t="s">
        <v>526</v>
      </c>
      <c r="H681" s="14" t="s">
        <v>526</v>
      </c>
      <c r="I681" s="18" t="s">
        <v>526</v>
      </c>
      <c r="J681" s="14">
        <v>679</v>
      </c>
    </row>
    <row r="682" spans="2:10" ht="15" customHeight="1">
      <c r="B682" s="28"/>
      <c r="C682" s="19" t="s">
        <v>526</v>
      </c>
      <c r="D682" s="14" t="s">
        <v>526</v>
      </c>
      <c r="E682" s="14" t="s">
        <v>526</v>
      </c>
      <c r="F682" s="14" t="s">
        <v>526</v>
      </c>
      <c r="G682" s="18" t="s">
        <v>526</v>
      </c>
      <c r="H682" s="14" t="s">
        <v>526</v>
      </c>
      <c r="I682" s="18" t="s">
        <v>526</v>
      </c>
      <c r="J682" s="14">
        <v>680</v>
      </c>
    </row>
    <row r="683" spans="2:10" ht="15" customHeight="1">
      <c r="B683" s="28"/>
      <c r="C683" s="19" t="s">
        <v>526</v>
      </c>
      <c r="D683" s="14" t="s">
        <v>526</v>
      </c>
      <c r="E683" s="14" t="s">
        <v>526</v>
      </c>
      <c r="F683" s="14" t="s">
        <v>526</v>
      </c>
      <c r="G683" s="18" t="s">
        <v>526</v>
      </c>
      <c r="H683" s="14" t="s">
        <v>526</v>
      </c>
      <c r="I683" s="18" t="s">
        <v>526</v>
      </c>
      <c r="J683" s="14">
        <v>681</v>
      </c>
    </row>
    <row r="684" spans="2:10" ht="15" customHeight="1">
      <c r="B684" s="28"/>
      <c r="C684" s="19" t="s">
        <v>526</v>
      </c>
      <c r="D684" s="14" t="s">
        <v>526</v>
      </c>
      <c r="E684" s="14" t="s">
        <v>526</v>
      </c>
      <c r="F684" s="14" t="s">
        <v>526</v>
      </c>
      <c r="G684" s="18" t="s">
        <v>526</v>
      </c>
      <c r="H684" s="14" t="s">
        <v>526</v>
      </c>
      <c r="I684" s="18" t="s">
        <v>526</v>
      </c>
      <c r="J684" s="14">
        <v>682</v>
      </c>
    </row>
    <row r="685" spans="2:10" ht="15" customHeight="1">
      <c r="B685" s="28"/>
      <c r="C685" s="19" t="s">
        <v>526</v>
      </c>
      <c r="D685" s="14" t="s">
        <v>526</v>
      </c>
      <c r="E685" s="14" t="s">
        <v>526</v>
      </c>
      <c r="F685" s="14" t="s">
        <v>526</v>
      </c>
      <c r="G685" s="18" t="s">
        <v>526</v>
      </c>
      <c r="H685" s="14" t="s">
        <v>526</v>
      </c>
      <c r="I685" s="18" t="s">
        <v>526</v>
      </c>
      <c r="J685" s="14">
        <v>683</v>
      </c>
    </row>
    <row r="686" spans="2:10" ht="15" customHeight="1">
      <c r="B686" s="28"/>
      <c r="C686" s="19" t="s">
        <v>526</v>
      </c>
      <c r="D686" s="14" t="s">
        <v>526</v>
      </c>
      <c r="E686" s="14" t="s">
        <v>526</v>
      </c>
      <c r="F686" s="14" t="s">
        <v>526</v>
      </c>
      <c r="G686" s="18" t="s">
        <v>526</v>
      </c>
      <c r="H686" s="14" t="s">
        <v>526</v>
      </c>
      <c r="I686" s="18" t="s">
        <v>526</v>
      </c>
      <c r="J686" s="14">
        <v>684</v>
      </c>
    </row>
    <row r="687" spans="2:10" ht="15" customHeight="1">
      <c r="B687" s="28"/>
      <c r="C687" s="19" t="s">
        <v>526</v>
      </c>
      <c r="D687" s="14" t="s">
        <v>526</v>
      </c>
      <c r="E687" s="14" t="s">
        <v>526</v>
      </c>
      <c r="F687" s="14" t="s">
        <v>526</v>
      </c>
      <c r="G687" s="18" t="s">
        <v>526</v>
      </c>
      <c r="H687" s="14" t="s">
        <v>526</v>
      </c>
      <c r="I687" s="18" t="s">
        <v>526</v>
      </c>
      <c r="J687" s="14">
        <v>685</v>
      </c>
    </row>
    <row r="688" spans="2:10" ht="15" customHeight="1">
      <c r="B688" s="28"/>
      <c r="C688" s="19" t="s">
        <v>526</v>
      </c>
      <c r="D688" s="14" t="s">
        <v>526</v>
      </c>
      <c r="E688" s="14" t="s">
        <v>526</v>
      </c>
      <c r="F688" s="14" t="s">
        <v>526</v>
      </c>
      <c r="G688" s="18" t="s">
        <v>526</v>
      </c>
      <c r="H688" s="14" t="s">
        <v>526</v>
      </c>
      <c r="I688" s="18" t="s">
        <v>526</v>
      </c>
      <c r="J688" s="14">
        <v>686</v>
      </c>
    </row>
    <row r="689" spans="2:10" ht="15" customHeight="1">
      <c r="B689" s="28"/>
      <c r="C689" s="19" t="s">
        <v>526</v>
      </c>
      <c r="D689" s="14" t="s">
        <v>526</v>
      </c>
      <c r="E689" s="14" t="s">
        <v>526</v>
      </c>
      <c r="F689" s="14" t="s">
        <v>526</v>
      </c>
      <c r="G689" s="18" t="s">
        <v>526</v>
      </c>
      <c r="H689" s="14" t="s">
        <v>526</v>
      </c>
      <c r="I689" s="18" t="s">
        <v>526</v>
      </c>
      <c r="J689" s="14">
        <v>687</v>
      </c>
    </row>
    <row r="690" spans="2:10" ht="15" customHeight="1">
      <c r="B690" s="28"/>
      <c r="C690" s="19" t="s">
        <v>526</v>
      </c>
      <c r="D690" s="14" t="s">
        <v>526</v>
      </c>
      <c r="E690" s="14" t="s">
        <v>526</v>
      </c>
      <c r="F690" s="14" t="s">
        <v>526</v>
      </c>
      <c r="G690" s="18" t="s">
        <v>526</v>
      </c>
      <c r="H690" s="14" t="s">
        <v>526</v>
      </c>
      <c r="I690" s="18" t="s">
        <v>526</v>
      </c>
      <c r="J690" s="14">
        <v>688</v>
      </c>
    </row>
    <row r="691" spans="2:10" ht="15" customHeight="1">
      <c r="B691" s="28"/>
      <c r="C691" s="19" t="s">
        <v>526</v>
      </c>
      <c r="D691" s="14" t="s">
        <v>526</v>
      </c>
      <c r="E691" s="14" t="s">
        <v>526</v>
      </c>
      <c r="F691" s="14" t="s">
        <v>526</v>
      </c>
      <c r="G691" s="18" t="s">
        <v>526</v>
      </c>
      <c r="H691" s="14" t="s">
        <v>526</v>
      </c>
      <c r="I691" s="18" t="s">
        <v>526</v>
      </c>
      <c r="J691" s="14">
        <v>689</v>
      </c>
    </row>
    <row r="692" spans="2:10" ht="15" customHeight="1">
      <c r="B692" s="28"/>
      <c r="C692" s="19" t="s">
        <v>526</v>
      </c>
      <c r="D692" s="14" t="s">
        <v>526</v>
      </c>
      <c r="E692" s="14" t="s">
        <v>526</v>
      </c>
      <c r="F692" s="14" t="s">
        <v>526</v>
      </c>
      <c r="G692" s="18" t="s">
        <v>526</v>
      </c>
      <c r="H692" s="14" t="s">
        <v>526</v>
      </c>
      <c r="I692" s="18" t="s">
        <v>526</v>
      </c>
      <c r="J692" s="14">
        <v>690</v>
      </c>
    </row>
    <row r="693" spans="2:10" ht="15" customHeight="1">
      <c r="B693" s="28"/>
      <c r="C693" s="19" t="s">
        <v>526</v>
      </c>
      <c r="D693" s="14" t="s">
        <v>526</v>
      </c>
      <c r="E693" s="14" t="s">
        <v>526</v>
      </c>
      <c r="F693" s="14" t="s">
        <v>526</v>
      </c>
      <c r="G693" s="18" t="s">
        <v>526</v>
      </c>
      <c r="H693" s="14" t="s">
        <v>526</v>
      </c>
      <c r="I693" s="18" t="s">
        <v>526</v>
      </c>
      <c r="J693" s="14">
        <v>691</v>
      </c>
    </row>
    <row r="694" spans="2:10" ht="15" customHeight="1">
      <c r="B694" s="28"/>
      <c r="C694" s="19" t="s">
        <v>526</v>
      </c>
      <c r="D694" s="14" t="s">
        <v>526</v>
      </c>
      <c r="E694" s="14" t="s">
        <v>526</v>
      </c>
      <c r="F694" s="14" t="s">
        <v>526</v>
      </c>
      <c r="G694" s="18" t="s">
        <v>526</v>
      </c>
      <c r="H694" s="14" t="s">
        <v>526</v>
      </c>
      <c r="I694" s="18" t="s">
        <v>526</v>
      </c>
      <c r="J694" s="14">
        <v>692</v>
      </c>
    </row>
    <row r="695" spans="2:10" ht="15" customHeight="1">
      <c r="B695" s="28"/>
      <c r="C695" s="19" t="s">
        <v>526</v>
      </c>
      <c r="D695" s="14" t="s">
        <v>526</v>
      </c>
      <c r="E695" s="14" t="s">
        <v>526</v>
      </c>
      <c r="F695" s="14" t="s">
        <v>526</v>
      </c>
      <c r="G695" s="18" t="s">
        <v>526</v>
      </c>
      <c r="H695" s="14" t="s">
        <v>526</v>
      </c>
      <c r="I695" s="18" t="s">
        <v>526</v>
      </c>
      <c r="J695" s="14">
        <v>693</v>
      </c>
    </row>
    <row r="696" spans="2:10" ht="15" customHeight="1">
      <c r="B696" s="28"/>
      <c r="C696" s="19" t="s">
        <v>526</v>
      </c>
      <c r="D696" s="14" t="s">
        <v>526</v>
      </c>
      <c r="E696" s="14" t="s">
        <v>526</v>
      </c>
      <c r="F696" s="14" t="s">
        <v>526</v>
      </c>
      <c r="G696" s="18" t="s">
        <v>526</v>
      </c>
      <c r="H696" s="14" t="s">
        <v>526</v>
      </c>
      <c r="I696" s="18" t="s">
        <v>526</v>
      </c>
      <c r="J696" s="14">
        <v>694</v>
      </c>
    </row>
    <row r="697" spans="2:10" ht="15" customHeight="1">
      <c r="B697" s="28"/>
      <c r="C697" s="19" t="s">
        <v>526</v>
      </c>
      <c r="D697" s="14" t="s">
        <v>526</v>
      </c>
      <c r="E697" s="14" t="s">
        <v>526</v>
      </c>
      <c r="F697" s="14" t="s">
        <v>526</v>
      </c>
      <c r="G697" s="18" t="s">
        <v>526</v>
      </c>
      <c r="H697" s="14" t="s">
        <v>526</v>
      </c>
      <c r="I697" s="18" t="s">
        <v>526</v>
      </c>
      <c r="J697" s="14">
        <v>695</v>
      </c>
    </row>
    <row r="698" spans="2:10" ht="15" customHeight="1">
      <c r="B698" s="28"/>
      <c r="C698" s="19" t="s">
        <v>526</v>
      </c>
      <c r="D698" s="14" t="s">
        <v>526</v>
      </c>
      <c r="E698" s="14" t="s">
        <v>526</v>
      </c>
      <c r="F698" s="14" t="s">
        <v>526</v>
      </c>
      <c r="G698" s="18" t="s">
        <v>526</v>
      </c>
      <c r="H698" s="14" t="s">
        <v>526</v>
      </c>
      <c r="I698" s="18" t="s">
        <v>526</v>
      </c>
      <c r="J698" s="14">
        <v>696</v>
      </c>
    </row>
    <row r="699" spans="2:10" ht="15" customHeight="1">
      <c r="B699" s="28"/>
      <c r="C699" s="19" t="s">
        <v>526</v>
      </c>
      <c r="D699" s="14" t="s">
        <v>526</v>
      </c>
      <c r="E699" s="14" t="s">
        <v>526</v>
      </c>
      <c r="F699" s="14" t="s">
        <v>526</v>
      </c>
      <c r="G699" s="18" t="s">
        <v>526</v>
      </c>
      <c r="H699" s="14" t="s">
        <v>526</v>
      </c>
      <c r="I699" s="18" t="s">
        <v>526</v>
      </c>
      <c r="J699" s="14">
        <v>697</v>
      </c>
    </row>
    <row r="700" spans="2:10" ht="15" customHeight="1">
      <c r="B700" s="28"/>
      <c r="C700" s="19" t="s">
        <v>526</v>
      </c>
      <c r="D700" s="14" t="s">
        <v>526</v>
      </c>
      <c r="E700" s="14" t="s">
        <v>526</v>
      </c>
      <c r="F700" s="14" t="s">
        <v>526</v>
      </c>
      <c r="G700" s="18" t="s">
        <v>526</v>
      </c>
      <c r="H700" s="14" t="s">
        <v>526</v>
      </c>
      <c r="I700" s="18" t="s">
        <v>526</v>
      </c>
      <c r="J700" s="14">
        <v>698</v>
      </c>
    </row>
    <row r="701" spans="2:10" ht="15" customHeight="1">
      <c r="B701" s="28"/>
      <c r="C701" s="19" t="s">
        <v>526</v>
      </c>
      <c r="D701" s="14" t="s">
        <v>526</v>
      </c>
      <c r="E701" s="14" t="s">
        <v>526</v>
      </c>
      <c r="F701" s="14" t="s">
        <v>526</v>
      </c>
      <c r="G701" s="18" t="s">
        <v>526</v>
      </c>
      <c r="H701" s="14" t="s">
        <v>526</v>
      </c>
      <c r="I701" s="18" t="s">
        <v>526</v>
      </c>
      <c r="J701" s="14">
        <v>699</v>
      </c>
    </row>
    <row r="702" spans="2:10" ht="15" customHeight="1">
      <c r="B702" s="28"/>
      <c r="C702" s="19" t="s">
        <v>526</v>
      </c>
      <c r="D702" s="14" t="s">
        <v>526</v>
      </c>
      <c r="E702" s="14" t="s">
        <v>526</v>
      </c>
      <c r="F702" s="14" t="s">
        <v>526</v>
      </c>
      <c r="G702" s="18" t="s">
        <v>526</v>
      </c>
      <c r="H702" s="14" t="s">
        <v>526</v>
      </c>
      <c r="I702" s="18" t="s">
        <v>526</v>
      </c>
      <c r="J702" s="14">
        <v>700</v>
      </c>
    </row>
    <row r="703" spans="2:10" ht="15" customHeight="1">
      <c r="B703" s="28"/>
      <c r="C703" s="19" t="s">
        <v>526</v>
      </c>
      <c r="D703" s="14" t="s">
        <v>526</v>
      </c>
      <c r="E703" s="14" t="s">
        <v>526</v>
      </c>
      <c r="F703" s="14" t="s">
        <v>526</v>
      </c>
      <c r="G703" s="18" t="s">
        <v>526</v>
      </c>
      <c r="H703" s="14" t="s">
        <v>526</v>
      </c>
      <c r="I703" s="18" t="s">
        <v>526</v>
      </c>
      <c r="J703" s="14">
        <v>701</v>
      </c>
    </row>
    <row r="704" spans="2:10" ht="15" customHeight="1">
      <c r="B704" s="28"/>
      <c r="C704" s="19" t="s">
        <v>526</v>
      </c>
      <c r="D704" s="14" t="s">
        <v>526</v>
      </c>
      <c r="E704" s="14" t="s">
        <v>526</v>
      </c>
      <c r="F704" s="14" t="s">
        <v>526</v>
      </c>
      <c r="G704" s="18" t="s">
        <v>526</v>
      </c>
      <c r="H704" s="14" t="s">
        <v>526</v>
      </c>
      <c r="I704" s="18" t="s">
        <v>526</v>
      </c>
      <c r="J704" s="14">
        <v>702</v>
      </c>
    </row>
    <row r="705" spans="2:10" ht="15" customHeight="1">
      <c r="B705" s="28"/>
      <c r="C705" s="19" t="s">
        <v>526</v>
      </c>
      <c r="D705" s="14" t="s">
        <v>526</v>
      </c>
      <c r="E705" s="14" t="s">
        <v>526</v>
      </c>
      <c r="F705" s="14" t="s">
        <v>526</v>
      </c>
      <c r="G705" s="18" t="s">
        <v>526</v>
      </c>
      <c r="H705" s="14" t="s">
        <v>526</v>
      </c>
      <c r="I705" s="18" t="s">
        <v>526</v>
      </c>
      <c r="J705" s="14">
        <v>703</v>
      </c>
    </row>
    <row r="706" spans="2:10" ht="15" customHeight="1">
      <c r="B706" s="28"/>
      <c r="C706" s="19" t="s">
        <v>526</v>
      </c>
      <c r="D706" s="14" t="s">
        <v>526</v>
      </c>
      <c r="E706" s="14" t="s">
        <v>526</v>
      </c>
      <c r="F706" s="14" t="s">
        <v>526</v>
      </c>
      <c r="G706" s="18" t="s">
        <v>526</v>
      </c>
      <c r="H706" s="14" t="s">
        <v>526</v>
      </c>
      <c r="I706" s="18" t="s">
        <v>526</v>
      </c>
      <c r="J706" s="14">
        <v>704</v>
      </c>
    </row>
    <row r="707" spans="2:10" ht="15" customHeight="1">
      <c r="B707" s="28"/>
      <c r="C707" s="19" t="s">
        <v>526</v>
      </c>
      <c r="D707" s="14" t="s">
        <v>526</v>
      </c>
      <c r="E707" s="14" t="s">
        <v>526</v>
      </c>
      <c r="F707" s="14" t="s">
        <v>526</v>
      </c>
      <c r="G707" s="18" t="s">
        <v>526</v>
      </c>
      <c r="H707" s="14" t="s">
        <v>526</v>
      </c>
      <c r="I707" s="18" t="s">
        <v>526</v>
      </c>
      <c r="J707" s="14">
        <v>705</v>
      </c>
    </row>
    <row r="708" spans="2:10" ht="15" customHeight="1">
      <c r="B708" s="28"/>
      <c r="C708" s="19" t="s">
        <v>526</v>
      </c>
      <c r="D708" s="14" t="s">
        <v>526</v>
      </c>
      <c r="E708" s="14" t="s">
        <v>526</v>
      </c>
      <c r="F708" s="14" t="s">
        <v>526</v>
      </c>
      <c r="G708" s="18" t="s">
        <v>526</v>
      </c>
      <c r="H708" s="14" t="s">
        <v>526</v>
      </c>
      <c r="I708" s="18" t="s">
        <v>526</v>
      </c>
      <c r="J708" s="14">
        <v>706</v>
      </c>
    </row>
    <row r="709" spans="2:10" ht="15" customHeight="1">
      <c r="B709" s="28"/>
      <c r="C709" s="19" t="s">
        <v>526</v>
      </c>
      <c r="D709" s="14" t="s">
        <v>526</v>
      </c>
      <c r="E709" s="14" t="s">
        <v>526</v>
      </c>
      <c r="F709" s="14" t="s">
        <v>526</v>
      </c>
      <c r="G709" s="18" t="s">
        <v>526</v>
      </c>
      <c r="H709" s="14" t="s">
        <v>526</v>
      </c>
      <c r="I709" s="18" t="s">
        <v>526</v>
      </c>
      <c r="J709" s="14">
        <v>707</v>
      </c>
    </row>
    <row r="710" spans="2:10" ht="15" customHeight="1">
      <c r="B710" s="28"/>
      <c r="C710" s="19" t="s">
        <v>526</v>
      </c>
      <c r="D710" s="14" t="s">
        <v>526</v>
      </c>
      <c r="E710" s="14" t="s">
        <v>526</v>
      </c>
      <c r="F710" s="14" t="s">
        <v>526</v>
      </c>
      <c r="G710" s="18" t="s">
        <v>526</v>
      </c>
      <c r="H710" s="14" t="s">
        <v>526</v>
      </c>
      <c r="I710" s="18" t="s">
        <v>526</v>
      </c>
      <c r="J710" s="14">
        <v>708</v>
      </c>
    </row>
    <row r="711" spans="2:10" ht="15" customHeight="1">
      <c r="B711" s="28"/>
      <c r="C711" s="19" t="s">
        <v>526</v>
      </c>
      <c r="D711" s="14" t="s">
        <v>526</v>
      </c>
      <c r="E711" s="14" t="s">
        <v>526</v>
      </c>
      <c r="F711" s="14" t="s">
        <v>526</v>
      </c>
      <c r="G711" s="18" t="s">
        <v>526</v>
      </c>
      <c r="H711" s="14" t="s">
        <v>526</v>
      </c>
      <c r="I711" s="18" t="s">
        <v>526</v>
      </c>
      <c r="J711" s="14">
        <v>709</v>
      </c>
    </row>
    <row r="712" spans="2:10" ht="15" customHeight="1">
      <c r="B712" s="28"/>
      <c r="C712" s="19" t="s">
        <v>526</v>
      </c>
      <c r="D712" s="14" t="s">
        <v>526</v>
      </c>
      <c r="E712" s="14" t="s">
        <v>526</v>
      </c>
      <c r="F712" s="14" t="s">
        <v>526</v>
      </c>
      <c r="G712" s="18" t="s">
        <v>526</v>
      </c>
      <c r="H712" s="14" t="s">
        <v>526</v>
      </c>
      <c r="I712" s="18" t="s">
        <v>526</v>
      </c>
      <c r="J712" s="14">
        <v>710</v>
      </c>
    </row>
    <row r="713" spans="2:10" ht="15" customHeight="1">
      <c r="B713" s="28"/>
      <c r="C713" s="19" t="s">
        <v>526</v>
      </c>
      <c r="D713" s="14" t="s">
        <v>526</v>
      </c>
      <c r="E713" s="14" t="s">
        <v>526</v>
      </c>
      <c r="F713" s="14" t="s">
        <v>526</v>
      </c>
      <c r="G713" s="18" t="s">
        <v>526</v>
      </c>
      <c r="H713" s="14" t="s">
        <v>526</v>
      </c>
      <c r="I713" s="18" t="s">
        <v>526</v>
      </c>
      <c r="J713" s="14">
        <v>711</v>
      </c>
    </row>
    <row r="714" spans="2:10" ht="15" customHeight="1">
      <c r="B714" s="28"/>
      <c r="C714" s="19" t="s">
        <v>526</v>
      </c>
      <c r="D714" s="14" t="s">
        <v>526</v>
      </c>
      <c r="E714" s="14" t="s">
        <v>526</v>
      </c>
      <c r="F714" s="14" t="s">
        <v>526</v>
      </c>
      <c r="G714" s="18" t="s">
        <v>526</v>
      </c>
      <c r="H714" s="14" t="s">
        <v>526</v>
      </c>
      <c r="I714" s="18" t="s">
        <v>526</v>
      </c>
      <c r="J714" s="14">
        <v>712</v>
      </c>
    </row>
    <row r="715" spans="2:10" ht="15" customHeight="1">
      <c r="B715" s="28"/>
      <c r="C715" s="19" t="s">
        <v>526</v>
      </c>
      <c r="D715" s="14" t="s">
        <v>526</v>
      </c>
      <c r="E715" s="14" t="s">
        <v>526</v>
      </c>
      <c r="F715" s="14" t="s">
        <v>526</v>
      </c>
      <c r="G715" s="18" t="s">
        <v>526</v>
      </c>
      <c r="H715" s="14" t="s">
        <v>526</v>
      </c>
      <c r="I715" s="18" t="s">
        <v>526</v>
      </c>
      <c r="J715" s="14">
        <v>713</v>
      </c>
    </row>
    <row r="716" spans="2:10" ht="15" customHeight="1">
      <c r="B716" s="28"/>
      <c r="C716" s="19" t="s">
        <v>526</v>
      </c>
      <c r="D716" s="14" t="s">
        <v>526</v>
      </c>
      <c r="E716" s="14" t="s">
        <v>526</v>
      </c>
      <c r="F716" s="14" t="s">
        <v>526</v>
      </c>
      <c r="G716" s="18" t="s">
        <v>526</v>
      </c>
      <c r="H716" s="14" t="s">
        <v>526</v>
      </c>
      <c r="I716" s="18" t="s">
        <v>526</v>
      </c>
      <c r="J716" s="14">
        <v>714</v>
      </c>
    </row>
    <row r="717" spans="2:10" ht="15" customHeight="1">
      <c r="B717" s="28"/>
      <c r="C717" s="19" t="s">
        <v>526</v>
      </c>
      <c r="D717" s="14" t="s">
        <v>526</v>
      </c>
      <c r="E717" s="14" t="s">
        <v>526</v>
      </c>
      <c r="F717" s="14" t="s">
        <v>526</v>
      </c>
      <c r="G717" s="18" t="s">
        <v>526</v>
      </c>
      <c r="H717" s="14" t="s">
        <v>526</v>
      </c>
      <c r="I717" s="18" t="s">
        <v>526</v>
      </c>
      <c r="J717" s="14">
        <v>715</v>
      </c>
    </row>
    <row r="718" spans="2:10" ht="15" customHeight="1">
      <c r="B718" s="28"/>
      <c r="C718" s="19" t="s">
        <v>526</v>
      </c>
      <c r="D718" s="14" t="s">
        <v>526</v>
      </c>
      <c r="E718" s="14" t="s">
        <v>526</v>
      </c>
      <c r="F718" s="14" t="s">
        <v>526</v>
      </c>
      <c r="G718" s="18" t="s">
        <v>526</v>
      </c>
      <c r="H718" s="14" t="s">
        <v>526</v>
      </c>
      <c r="I718" s="18" t="s">
        <v>526</v>
      </c>
      <c r="J718" s="14">
        <v>716</v>
      </c>
    </row>
    <row r="719" spans="2:10" ht="15" customHeight="1">
      <c r="B719" s="28"/>
      <c r="C719" s="19" t="s">
        <v>526</v>
      </c>
      <c r="D719" s="14" t="s">
        <v>526</v>
      </c>
      <c r="E719" s="14" t="s">
        <v>526</v>
      </c>
      <c r="F719" s="14" t="s">
        <v>526</v>
      </c>
      <c r="G719" s="18" t="s">
        <v>526</v>
      </c>
      <c r="H719" s="14" t="s">
        <v>526</v>
      </c>
      <c r="I719" s="18" t="s">
        <v>526</v>
      </c>
      <c r="J719" s="14">
        <v>717</v>
      </c>
    </row>
    <row r="720" spans="2:10" ht="15" customHeight="1">
      <c r="B720" s="28"/>
      <c r="C720" s="19" t="s">
        <v>526</v>
      </c>
      <c r="D720" s="14" t="s">
        <v>526</v>
      </c>
      <c r="E720" s="14" t="s">
        <v>526</v>
      </c>
      <c r="F720" s="14" t="s">
        <v>526</v>
      </c>
      <c r="G720" s="18" t="s">
        <v>526</v>
      </c>
      <c r="H720" s="14" t="s">
        <v>526</v>
      </c>
      <c r="I720" s="18" t="s">
        <v>526</v>
      </c>
      <c r="J720" s="14">
        <v>718</v>
      </c>
    </row>
    <row r="721" spans="2:10" ht="15" customHeight="1">
      <c r="B721" s="28"/>
      <c r="C721" s="19" t="s">
        <v>526</v>
      </c>
      <c r="D721" s="14" t="s">
        <v>526</v>
      </c>
      <c r="E721" s="14" t="s">
        <v>526</v>
      </c>
      <c r="F721" s="14" t="s">
        <v>526</v>
      </c>
      <c r="G721" s="18" t="s">
        <v>526</v>
      </c>
      <c r="H721" s="14" t="s">
        <v>526</v>
      </c>
      <c r="I721" s="18" t="s">
        <v>526</v>
      </c>
      <c r="J721" s="14">
        <v>719</v>
      </c>
    </row>
    <row r="722" spans="2:10" ht="15" customHeight="1">
      <c r="B722" s="28"/>
      <c r="C722" s="19" t="s">
        <v>526</v>
      </c>
      <c r="D722" s="14" t="s">
        <v>526</v>
      </c>
      <c r="E722" s="14" t="s">
        <v>526</v>
      </c>
      <c r="F722" s="14" t="s">
        <v>526</v>
      </c>
      <c r="G722" s="18" t="s">
        <v>526</v>
      </c>
      <c r="H722" s="14" t="s">
        <v>526</v>
      </c>
      <c r="I722" s="18" t="s">
        <v>526</v>
      </c>
      <c r="J722" s="14">
        <v>720</v>
      </c>
    </row>
    <row r="723" spans="2:10" ht="15" customHeight="1">
      <c r="B723" s="28"/>
      <c r="C723" s="19" t="s">
        <v>526</v>
      </c>
      <c r="D723" s="14" t="s">
        <v>526</v>
      </c>
      <c r="E723" s="14" t="s">
        <v>526</v>
      </c>
      <c r="F723" s="14" t="s">
        <v>526</v>
      </c>
      <c r="G723" s="18" t="s">
        <v>526</v>
      </c>
      <c r="H723" s="14" t="s">
        <v>526</v>
      </c>
      <c r="I723" s="18" t="s">
        <v>526</v>
      </c>
      <c r="J723" s="14">
        <v>721</v>
      </c>
    </row>
    <row r="724" spans="2:10" ht="15" customHeight="1">
      <c r="B724" s="28"/>
      <c r="C724" s="19" t="s">
        <v>526</v>
      </c>
      <c r="D724" s="14" t="s">
        <v>526</v>
      </c>
      <c r="E724" s="14" t="s">
        <v>526</v>
      </c>
      <c r="F724" s="14" t="s">
        <v>526</v>
      </c>
      <c r="G724" s="18" t="s">
        <v>526</v>
      </c>
      <c r="H724" s="14" t="s">
        <v>526</v>
      </c>
      <c r="I724" s="18" t="s">
        <v>526</v>
      </c>
      <c r="J724" s="14">
        <v>722</v>
      </c>
    </row>
    <row r="725" spans="2:10" ht="15" customHeight="1">
      <c r="B725" s="28"/>
      <c r="C725" s="19" t="s">
        <v>526</v>
      </c>
      <c r="D725" s="14" t="s">
        <v>526</v>
      </c>
      <c r="E725" s="14" t="s">
        <v>526</v>
      </c>
      <c r="F725" s="14" t="s">
        <v>526</v>
      </c>
      <c r="G725" s="18" t="s">
        <v>526</v>
      </c>
      <c r="H725" s="14" t="s">
        <v>526</v>
      </c>
      <c r="I725" s="18" t="s">
        <v>526</v>
      </c>
      <c r="J725" s="14">
        <v>723</v>
      </c>
    </row>
    <row r="726" spans="2:10" ht="15" customHeight="1">
      <c r="B726" s="28"/>
      <c r="C726" s="19" t="s">
        <v>526</v>
      </c>
      <c r="D726" s="14" t="s">
        <v>526</v>
      </c>
      <c r="E726" s="14" t="s">
        <v>526</v>
      </c>
      <c r="F726" s="14" t="s">
        <v>526</v>
      </c>
      <c r="G726" s="18" t="s">
        <v>526</v>
      </c>
      <c r="H726" s="14" t="s">
        <v>526</v>
      </c>
      <c r="I726" s="18" t="s">
        <v>526</v>
      </c>
      <c r="J726" s="14">
        <v>724</v>
      </c>
    </row>
    <row r="727" spans="2:10" ht="15" customHeight="1">
      <c r="B727" s="28"/>
      <c r="C727" s="19" t="s">
        <v>526</v>
      </c>
      <c r="D727" s="14" t="s">
        <v>526</v>
      </c>
      <c r="E727" s="14" t="s">
        <v>526</v>
      </c>
      <c r="F727" s="14" t="s">
        <v>526</v>
      </c>
      <c r="G727" s="18" t="s">
        <v>526</v>
      </c>
      <c r="H727" s="14" t="s">
        <v>526</v>
      </c>
      <c r="I727" s="18" t="s">
        <v>526</v>
      </c>
      <c r="J727" s="14">
        <v>725</v>
      </c>
    </row>
    <row r="728" spans="2:10" ht="15" customHeight="1">
      <c r="B728" s="28"/>
      <c r="C728" s="19" t="s">
        <v>526</v>
      </c>
      <c r="D728" s="14" t="s">
        <v>526</v>
      </c>
      <c r="E728" s="14" t="s">
        <v>526</v>
      </c>
      <c r="F728" s="14" t="s">
        <v>526</v>
      </c>
      <c r="G728" s="18" t="s">
        <v>526</v>
      </c>
      <c r="H728" s="14" t="s">
        <v>526</v>
      </c>
      <c r="I728" s="18" t="s">
        <v>526</v>
      </c>
      <c r="J728" s="14">
        <v>726</v>
      </c>
    </row>
    <row r="729" spans="2:10" ht="15" customHeight="1">
      <c r="B729" s="28"/>
      <c r="C729" s="19" t="s">
        <v>526</v>
      </c>
      <c r="D729" s="14" t="s">
        <v>526</v>
      </c>
      <c r="E729" s="14" t="s">
        <v>526</v>
      </c>
      <c r="F729" s="14" t="s">
        <v>526</v>
      </c>
      <c r="G729" s="18" t="s">
        <v>526</v>
      </c>
      <c r="H729" s="14" t="s">
        <v>526</v>
      </c>
      <c r="I729" s="18" t="s">
        <v>526</v>
      </c>
      <c r="J729" s="14">
        <v>727</v>
      </c>
    </row>
    <row r="730" spans="2:10" ht="15" customHeight="1">
      <c r="B730" s="28"/>
      <c r="C730" s="19" t="s">
        <v>526</v>
      </c>
      <c r="D730" s="14" t="s">
        <v>526</v>
      </c>
      <c r="E730" s="14" t="s">
        <v>526</v>
      </c>
      <c r="F730" s="14" t="s">
        <v>526</v>
      </c>
      <c r="G730" s="18" t="s">
        <v>526</v>
      </c>
      <c r="H730" s="14" t="s">
        <v>526</v>
      </c>
      <c r="I730" s="18" t="s">
        <v>526</v>
      </c>
      <c r="J730" s="14">
        <v>728</v>
      </c>
    </row>
    <row r="731" spans="2:10" ht="15" customHeight="1">
      <c r="B731" s="28"/>
      <c r="C731" s="19" t="s">
        <v>526</v>
      </c>
      <c r="D731" s="14" t="s">
        <v>526</v>
      </c>
      <c r="E731" s="14" t="s">
        <v>526</v>
      </c>
      <c r="F731" s="14" t="s">
        <v>526</v>
      </c>
      <c r="G731" s="18" t="s">
        <v>526</v>
      </c>
      <c r="H731" s="14" t="s">
        <v>526</v>
      </c>
      <c r="I731" s="18" t="s">
        <v>526</v>
      </c>
      <c r="J731" s="14">
        <v>729</v>
      </c>
    </row>
    <row r="732" spans="2:10" ht="15" customHeight="1">
      <c r="B732" s="28"/>
      <c r="C732" s="19" t="s">
        <v>526</v>
      </c>
      <c r="D732" s="14" t="s">
        <v>526</v>
      </c>
      <c r="E732" s="14" t="s">
        <v>526</v>
      </c>
      <c r="F732" s="14" t="s">
        <v>526</v>
      </c>
      <c r="G732" s="18" t="s">
        <v>526</v>
      </c>
      <c r="H732" s="14" t="s">
        <v>526</v>
      </c>
      <c r="I732" s="18" t="s">
        <v>526</v>
      </c>
      <c r="J732" s="14">
        <v>730</v>
      </c>
    </row>
    <row r="733" spans="2:10" ht="15" customHeight="1">
      <c r="B733" s="28"/>
      <c r="C733" s="19" t="s">
        <v>526</v>
      </c>
      <c r="D733" s="14" t="s">
        <v>526</v>
      </c>
      <c r="E733" s="14" t="s">
        <v>526</v>
      </c>
      <c r="F733" s="14" t="s">
        <v>526</v>
      </c>
      <c r="G733" s="18" t="s">
        <v>526</v>
      </c>
      <c r="H733" s="14" t="s">
        <v>526</v>
      </c>
      <c r="I733" s="18" t="s">
        <v>526</v>
      </c>
      <c r="J733" s="14">
        <v>731</v>
      </c>
    </row>
    <row r="734" spans="2:10" ht="15" customHeight="1">
      <c r="B734" s="28"/>
      <c r="C734" s="19" t="s">
        <v>526</v>
      </c>
      <c r="D734" s="14" t="s">
        <v>526</v>
      </c>
      <c r="E734" s="14" t="s">
        <v>526</v>
      </c>
      <c r="F734" s="14" t="s">
        <v>526</v>
      </c>
      <c r="G734" s="18" t="s">
        <v>526</v>
      </c>
      <c r="H734" s="14" t="s">
        <v>526</v>
      </c>
      <c r="I734" s="18" t="s">
        <v>526</v>
      </c>
      <c r="J734" s="14">
        <v>732</v>
      </c>
    </row>
    <row r="735" spans="2:10" ht="15" customHeight="1">
      <c r="B735" s="28"/>
      <c r="C735" s="19" t="s">
        <v>526</v>
      </c>
      <c r="D735" s="14" t="s">
        <v>526</v>
      </c>
      <c r="E735" s="14" t="s">
        <v>526</v>
      </c>
      <c r="F735" s="14" t="s">
        <v>526</v>
      </c>
      <c r="G735" s="18" t="s">
        <v>526</v>
      </c>
      <c r="H735" s="14" t="s">
        <v>526</v>
      </c>
      <c r="I735" s="18" t="s">
        <v>526</v>
      </c>
      <c r="J735" s="14">
        <v>733</v>
      </c>
    </row>
    <row r="736" spans="2:10" ht="15" customHeight="1">
      <c r="B736" s="28"/>
      <c r="C736" s="19" t="s">
        <v>526</v>
      </c>
      <c r="D736" s="14" t="s">
        <v>526</v>
      </c>
      <c r="E736" s="14" t="s">
        <v>526</v>
      </c>
      <c r="F736" s="14" t="s">
        <v>526</v>
      </c>
      <c r="G736" s="18" t="s">
        <v>526</v>
      </c>
      <c r="H736" s="14" t="s">
        <v>526</v>
      </c>
      <c r="I736" s="18" t="s">
        <v>526</v>
      </c>
      <c r="J736" s="14">
        <v>734</v>
      </c>
    </row>
    <row r="737" spans="2:10" ht="15" customHeight="1">
      <c r="B737" s="28"/>
      <c r="C737" s="19" t="s">
        <v>526</v>
      </c>
      <c r="D737" s="14" t="s">
        <v>526</v>
      </c>
      <c r="E737" s="14" t="s">
        <v>526</v>
      </c>
      <c r="F737" s="14" t="s">
        <v>526</v>
      </c>
      <c r="G737" s="18" t="s">
        <v>526</v>
      </c>
      <c r="H737" s="14" t="s">
        <v>526</v>
      </c>
      <c r="I737" s="18" t="s">
        <v>526</v>
      </c>
      <c r="J737" s="14">
        <v>735</v>
      </c>
    </row>
    <row r="738" spans="2:10" ht="15" customHeight="1">
      <c r="B738" s="28"/>
      <c r="C738" s="19" t="s">
        <v>526</v>
      </c>
      <c r="D738" s="14" t="s">
        <v>526</v>
      </c>
      <c r="E738" s="14" t="s">
        <v>526</v>
      </c>
      <c r="F738" s="14" t="s">
        <v>526</v>
      </c>
      <c r="G738" s="18" t="s">
        <v>526</v>
      </c>
      <c r="H738" s="14" t="s">
        <v>526</v>
      </c>
      <c r="I738" s="18" t="s">
        <v>526</v>
      </c>
      <c r="J738" s="14">
        <v>736</v>
      </c>
    </row>
    <row r="739" spans="2:10" ht="15" customHeight="1">
      <c r="B739" s="28"/>
      <c r="C739" s="19" t="s">
        <v>526</v>
      </c>
      <c r="D739" s="14" t="s">
        <v>526</v>
      </c>
      <c r="E739" s="14" t="s">
        <v>526</v>
      </c>
      <c r="F739" s="14" t="s">
        <v>526</v>
      </c>
      <c r="G739" s="18" t="s">
        <v>526</v>
      </c>
      <c r="H739" s="14" t="s">
        <v>526</v>
      </c>
      <c r="I739" s="18" t="s">
        <v>526</v>
      </c>
      <c r="J739" s="14">
        <v>737</v>
      </c>
    </row>
    <row r="740" spans="2:10" ht="15" customHeight="1">
      <c r="B740" s="28"/>
      <c r="C740" s="19" t="s">
        <v>526</v>
      </c>
      <c r="D740" s="14" t="s">
        <v>526</v>
      </c>
      <c r="E740" s="14" t="s">
        <v>526</v>
      </c>
      <c r="F740" s="14" t="s">
        <v>526</v>
      </c>
      <c r="G740" s="18" t="s">
        <v>526</v>
      </c>
      <c r="H740" s="14" t="s">
        <v>526</v>
      </c>
      <c r="I740" s="18" t="s">
        <v>526</v>
      </c>
      <c r="J740" s="14">
        <v>738</v>
      </c>
    </row>
    <row r="741" spans="2:10" ht="15" customHeight="1">
      <c r="B741" s="28"/>
      <c r="C741" s="19" t="s">
        <v>526</v>
      </c>
      <c r="D741" s="14" t="s">
        <v>526</v>
      </c>
      <c r="E741" s="14" t="s">
        <v>526</v>
      </c>
      <c r="F741" s="14" t="s">
        <v>526</v>
      </c>
      <c r="G741" s="18" t="s">
        <v>526</v>
      </c>
      <c r="H741" s="14" t="s">
        <v>526</v>
      </c>
      <c r="I741" s="18" t="s">
        <v>526</v>
      </c>
      <c r="J741" s="14">
        <v>739</v>
      </c>
    </row>
    <row r="742" spans="2:10" ht="15" customHeight="1">
      <c r="B742" s="28"/>
      <c r="C742" s="19" t="s">
        <v>526</v>
      </c>
      <c r="D742" s="14" t="s">
        <v>526</v>
      </c>
      <c r="E742" s="14" t="s">
        <v>526</v>
      </c>
      <c r="F742" s="14" t="s">
        <v>526</v>
      </c>
      <c r="G742" s="18" t="s">
        <v>526</v>
      </c>
      <c r="H742" s="14" t="s">
        <v>526</v>
      </c>
      <c r="I742" s="18" t="s">
        <v>526</v>
      </c>
      <c r="J742" s="14">
        <v>740</v>
      </c>
    </row>
    <row r="743" spans="2:10" ht="15" customHeight="1">
      <c r="B743" s="28"/>
      <c r="C743" s="19" t="s">
        <v>526</v>
      </c>
      <c r="D743" s="14" t="s">
        <v>526</v>
      </c>
      <c r="E743" s="14" t="s">
        <v>526</v>
      </c>
      <c r="F743" s="14" t="s">
        <v>526</v>
      </c>
      <c r="G743" s="18" t="s">
        <v>526</v>
      </c>
      <c r="H743" s="14" t="s">
        <v>526</v>
      </c>
      <c r="I743" s="18" t="s">
        <v>526</v>
      </c>
      <c r="J743" s="14">
        <v>741</v>
      </c>
    </row>
    <row r="744" spans="2:10" ht="15" customHeight="1">
      <c r="B744" s="28"/>
      <c r="C744" s="19" t="s">
        <v>526</v>
      </c>
      <c r="D744" s="14" t="s">
        <v>526</v>
      </c>
      <c r="E744" s="14" t="s">
        <v>526</v>
      </c>
      <c r="F744" s="14" t="s">
        <v>526</v>
      </c>
      <c r="G744" s="18" t="s">
        <v>526</v>
      </c>
      <c r="H744" s="14" t="s">
        <v>526</v>
      </c>
      <c r="I744" s="18" t="s">
        <v>526</v>
      </c>
      <c r="J744" s="14">
        <v>742</v>
      </c>
    </row>
    <row r="745" spans="2:10" ht="15" customHeight="1">
      <c r="B745" s="28"/>
      <c r="C745" s="19" t="s">
        <v>526</v>
      </c>
      <c r="D745" s="14" t="s">
        <v>526</v>
      </c>
      <c r="E745" s="14" t="s">
        <v>526</v>
      </c>
      <c r="F745" s="14" t="s">
        <v>526</v>
      </c>
      <c r="G745" s="18" t="s">
        <v>526</v>
      </c>
      <c r="H745" s="14" t="s">
        <v>526</v>
      </c>
      <c r="I745" s="18" t="s">
        <v>526</v>
      </c>
      <c r="J745" s="14">
        <v>743</v>
      </c>
    </row>
    <row r="746" spans="2:10" ht="15" customHeight="1">
      <c r="B746" s="28"/>
      <c r="C746" s="19" t="s">
        <v>526</v>
      </c>
      <c r="D746" s="14" t="s">
        <v>526</v>
      </c>
      <c r="E746" s="14" t="s">
        <v>526</v>
      </c>
      <c r="F746" s="14" t="s">
        <v>526</v>
      </c>
      <c r="G746" s="18" t="s">
        <v>526</v>
      </c>
      <c r="H746" s="14" t="s">
        <v>526</v>
      </c>
      <c r="I746" s="18" t="s">
        <v>526</v>
      </c>
      <c r="J746" s="14">
        <v>744</v>
      </c>
    </row>
    <row r="747" spans="2:10" ht="15" customHeight="1">
      <c r="B747" s="28"/>
      <c r="C747" s="19" t="s">
        <v>526</v>
      </c>
      <c r="D747" s="14" t="s">
        <v>526</v>
      </c>
      <c r="E747" s="14" t="s">
        <v>526</v>
      </c>
      <c r="F747" s="14" t="s">
        <v>526</v>
      </c>
      <c r="G747" s="18" t="s">
        <v>526</v>
      </c>
      <c r="H747" s="14" t="s">
        <v>526</v>
      </c>
      <c r="I747" s="18" t="s">
        <v>526</v>
      </c>
      <c r="J747" s="14">
        <v>745</v>
      </c>
    </row>
    <row r="748" spans="2:10" ht="15" customHeight="1">
      <c r="B748" s="28"/>
      <c r="C748" s="19" t="s">
        <v>526</v>
      </c>
      <c r="D748" s="14" t="s">
        <v>526</v>
      </c>
      <c r="E748" s="14" t="s">
        <v>526</v>
      </c>
      <c r="F748" s="14" t="s">
        <v>526</v>
      </c>
      <c r="G748" s="18" t="s">
        <v>526</v>
      </c>
      <c r="H748" s="14" t="s">
        <v>526</v>
      </c>
      <c r="I748" s="18" t="s">
        <v>526</v>
      </c>
      <c r="J748" s="14">
        <v>746</v>
      </c>
    </row>
    <row r="749" spans="2:10" ht="15" customHeight="1">
      <c r="B749" s="28"/>
      <c r="C749" s="19" t="s">
        <v>526</v>
      </c>
      <c r="D749" s="14" t="s">
        <v>526</v>
      </c>
      <c r="E749" s="14" t="s">
        <v>526</v>
      </c>
      <c r="F749" s="14" t="s">
        <v>526</v>
      </c>
      <c r="G749" s="18" t="s">
        <v>526</v>
      </c>
      <c r="H749" s="14" t="s">
        <v>526</v>
      </c>
      <c r="I749" s="18" t="s">
        <v>526</v>
      </c>
      <c r="J749" s="14">
        <v>747</v>
      </c>
    </row>
    <row r="750" spans="2:10" ht="15" customHeight="1">
      <c r="B750" s="28"/>
      <c r="C750" s="19" t="s">
        <v>526</v>
      </c>
      <c r="D750" s="14" t="s">
        <v>526</v>
      </c>
      <c r="E750" s="14" t="s">
        <v>526</v>
      </c>
      <c r="F750" s="14" t="s">
        <v>526</v>
      </c>
      <c r="G750" s="18" t="s">
        <v>526</v>
      </c>
      <c r="H750" s="14" t="s">
        <v>526</v>
      </c>
      <c r="I750" s="18" t="s">
        <v>526</v>
      </c>
      <c r="J750" s="14">
        <v>748</v>
      </c>
    </row>
    <row r="751" spans="2:10" ht="15" customHeight="1">
      <c r="B751" s="28"/>
      <c r="C751" s="19" t="s">
        <v>526</v>
      </c>
      <c r="D751" s="14" t="s">
        <v>526</v>
      </c>
      <c r="E751" s="14" t="s">
        <v>526</v>
      </c>
      <c r="F751" s="14" t="s">
        <v>526</v>
      </c>
      <c r="G751" s="18" t="s">
        <v>526</v>
      </c>
      <c r="H751" s="14" t="s">
        <v>526</v>
      </c>
      <c r="I751" s="18" t="s">
        <v>526</v>
      </c>
      <c r="J751" s="14">
        <v>749</v>
      </c>
    </row>
    <row r="752" spans="2:10" ht="15" customHeight="1">
      <c r="B752" s="28"/>
      <c r="C752" s="19" t="s">
        <v>526</v>
      </c>
      <c r="D752" s="14" t="s">
        <v>526</v>
      </c>
      <c r="E752" s="14" t="s">
        <v>526</v>
      </c>
      <c r="F752" s="14" t="s">
        <v>526</v>
      </c>
      <c r="G752" s="18" t="s">
        <v>526</v>
      </c>
      <c r="H752" s="14" t="s">
        <v>526</v>
      </c>
      <c r="I752" s="18" t="s">
        <v>526</v>
      </c>
      <c r="J752" s="14">
        <v>750</v>
      </c>
    </row>
    <row r="753" spans="2:10" ht="15" customHeight="1">
      <c r="B753" s="28"/>
      <c r="C753" s="19" t="s">
        <v>526</v>
      </c>
      <c r="D753" s="14" t="s">
        <v>526</v>
      </c>
      <c r="E753" s="14" t="s">
        <v>526</v>
      </c>
      <c r="F753" s="14" t="s">
        <v>526</v>
      </c>
      <c r="G753" s="18" t="s">
        <v>526</v>
      </c>
      <c r="H753" s="14" t="s">
        <v>526</v>
      </c>
      <c r="I753" s="18" t="s">
        <v>526</v>
      </c>
      <c r="J753" s="14">
        <v>751</v>
      </c>
    </row>
    <row r="754" spans="2:10" ht="15" customHeight="1">
      <c r="B754" s="28"/>
      <c r="C754" s="19" t="s">
        <v>526</v>
      </c>
      <c r="D754" s="14" t="s">
        <v>526</v>
      </c>
      <c r="E754" s="14" t="s">
        <v>526</v>
      </c>
      <c r="F754" s="14" t="s">
        <v>526</v>
      </c>
      <c r="G754" s="18" t="s">
        <v>526</v>
      </c>
      <c r="H754" s="14" t="s">
        <v>526</v>
      </c>
      <c r="I754" s="18" t="s">
        <v>526</v>
      </c>
      <c r="J754" s="14">
        <v>752</v>
      </c>
    </row>
    <row r="755" spans="2:10" ht="15" customHeight="1">
      <c r="B755" s="28"/>
      <c r="C755" s="19" t="s">
        <v>526</v>
      </c>
      <c r="D755" s="14" t="s">
        <v>526</v>
      </c>
      <c r="E755" s="14" t="s">
        <v>526</v>
      </c>
      <c r="F755" s="14" t="s">
        <v>526</v>
      </c>
      <c r="G755" s="18" t="s">
        <v>526</v>
      </c>
      <c r="H755" s="14" t="s">
        <v>526</v>
      </c>
      <c r="I755" s="18" t="s">
        <v>526</v>
      </c>
      <c r="J755" s="14">
        <v>753</v>
      </c>
    </row>
    <row r="756" spans="2:10" ht="15" customHeight="1">
      <c r="B756" s="28"/>
      <c r="C756" s="19" t="s">
        <v>526</v>
      </c>
      <c r="D756" s="14" t="s">
        <v>526</v>
      </c>
      <c r="E756" s="14" t="s">
        <v>526</v>
      </c>
      <c r="F756" s="14" t="s">
        <v>526</v>
      </c>
      <c r="G756" s="18" t="s">
        <v>526</v>
      </c>
      <c r="H756" s="14" t="s">
        <v>526</v>
      </c>
      <c r="I756" s="18" t="s">
        <v>526</v>
      </c>
      <c r="J756" s="14">
        <v>754</v>
      </c>
    </row>
    <row r="757" spans="2:10" ht="15" customHeight="1">
      <c r="B757" s="28"/>
      <c r="C757" s="19" t="s">
        <v>526</v>
      </c>
      <c r="D757" s="14" t="s">
        <v>526</v>
      </c>
      <c r="E757" s="14" t="s">
        <v>526</v>
      </c>
      <c r="F757" s="14" t="s">
        <v>526</v>
      </c>
      <c r="G757" s="18" t="s">
        <v>526</v>
      </c>
      <c r="H757" s="14" t="s">
        <v>526</v>
      </c>
      <c r="I757" s="18" t="s">
        <v>526</v>
      </c>
      <c r="J757" s="14">
        <v>755</v>
      </c>
    </row>
    <row r="758" spans="2:10" ht="15" customHeight="1">
      <c r="B758" s="28"/>
      <c r="C758" s="19" t="s">
        <v>526</v>
      </c>
      <c r="D758" s="14" t="s">
        <v>526</v>
      </c>
      <c r="E758" s="14" t="s">
        <v>526</v>
      </c>
      <c r="F758" s="14" t="s">
        <v>526</v>
      </c>
      <c r="G758" s="18" t="s">
        <v>526</v>
      </c>
      <c r="H758" s="14" t="s">
        <v>526</v>
      </c>
      <c r="I758" s="18" t="s">
        <v>526</v>
      </c>
      <c r="J758" s="14">
        <v>756</v>
      </c>
    </row>
    <row r="759" spans="2:10" ht="15" customHeight="1">
      <c r="B759" s="28"/>
      <c r="C759" s="19" t="s">
        <v>526</v>
      </c>
      <c r="D759" s="14" t="s">
        <v>526</v>
      </c>
      <c r="E759" s="14" t="s">
        <v>526</v>
      </c>
      <c r="F759" s="14" t="s">
        <v>526</v>
      </c>
      <c r="G759" s="18" t="s">
        <v>526</v>
      </c>
      <c r="H759" s="14" t="s">
        <v>526</v>
      </c>
      <c r="I759" s="18" t="s">
        <v>526</v>
      </c>
      <c r="J759" s="14">
        <v>757</v>
      </c>
    </row>
    <row r="760" spans="2:10" ht="15" customHeight="1">
      <c r="B760" s="28"/>
      <c r="C760" s="19" t="s">
        <v>526</v>
      </c>
      <c r="D760" s="14" t="s">
        <v>526</v>
      </c>
      <c r="E760" s="14" t="s">
        <v>526</v>
      </c>
      <c r="F760" s="14" t="s">
        <v>526</v>
      </c>
      <c r="G760" s="18" t="s">
        <v>526</v>
      </c>
      <c r="H760" s="14" t="s">
        <v>526</v>
      </c>
      <c r="I760" s="18" t="s">
        <v>526</v>
      </c>
      <c r="J760" s="14">
        <v>758</v>
      </c>
    </row>
    <row r="761" spans="2:10" ht="15" customHeight="1">
      <c r="B761" s="28"/>
      <c r="C761" s="19" t="s">
        <v>526</v>
      </c>
      <c r="D761" s="14" t="s">
        <v>526</v>
      </c>
      <c r="E761" s="14" t="s">
        <v>526</v>
      </c>
      <c r="F761" s="14" t="s">
        <v>526</v>
      </c>
      <c r="G761" s="18" t="s">
        <v>526</v>
      </c>
      <c r="H761" s="14" t="s">
        <v>526</v>
      </c>
      <c r="I761" s="18" t="s">
        <v>526</v>
      </c>
      <c r="J761" s="14">
        <v>759</v>
      </c>
    </row>
    <row r="762" spans="2:10" ht="15" customHeight="1">
      <c r="B762" s="28"/>
      <c r="C762" s="19" t="s">
        <v>526</v>
      </c>
      <c r="D762" s="14" t="s">
        <v>526</v>
      </c>
      <c r="E762" s="14" t="s">
        <v>526</v>
      </c>
      <c r="F762" s="14" t="s">
        <v>526</v>
      </c>
      <c r="G762" s="18" t="s">
        <v>526</v>
      </c>
      <c r="H762" s="14" t="s">
        <v>526</v>
      </c>
      <c r="I762" s="18" t="s">
        <v>526</v>
      </c>
      <c r="J762" s="14">
        <v>760</v>
      </c>
    </row>
    <row r="763" spans="2:10" ht="15" customHeight="1">
      <c r="B763" s="28"/>
      <c r="C763" s="19" t="s">
        <v>526</v>
      </c>
      <c r="D763" s="14" t="s">
        <v>526</v>
      </c>
      <c r="E763" s="14" t="s">
        <v>526</v>
      </c>
      <c r="F763" s="14" t="s">
        <v>526</v>
      </c>
      <c r="G763" s="18" t="s">
        <v>526</v>
      </c>
      <c r="H763" s="14" t="s">
        <v>526</v>
      </c>
      <c r="I763" s="18" t="s">
        <v>526</v>
      </c>
      <c r="J763" s="14">
        <v>761</v>
      </c>
    </row>
    <row r="764" spans="2:10" ht="15" customHeight="1">
      <c r="B764" s="28"/>
      <c r="C764" s="19" t="s">
        <v>526</v>
      </c>
      <c r="D764" s="14" t="s">
        <v>526</v>
      </c>
      <c r="E764" s="14" t="s">
        <v>526</v>
      </c>
      <c r="F764" s="14" t="s">
        <v>526</v>
      </c>
      <c r="G764" s="18" t="s">
        <v>526</v>
      </c>
      <c r="H764" s="14" t="s">
        <v>526</v>
      </c>
      <c r="I764" s="18" t="s">
        <v>526</v>
      </c>
      <c r="J764" s="14">
        <v>762</v>
      </c>
    </row>
    <row r="765" spans="2:10" ht="15" customHeight="1">
      <c r="B765" s="28"/>
      <c r="C765" s="19" t="s">
        <v>526</v>
      </c>
      <c r="D765" s="14" t="s">
        <v>526</v>
      </c>
      <c r="E765" s="14" t="s">
        <v>526</v>
      </c>
      <c r="F765" s="14" t="s">
        <v>526</v>
      </c>
      <c r="G765" s="18" t="s">
        <v>526</v>
      </c>
      <c r="H765" s="14" t="s">
        <v>526</v>
      </c>
      <c r="I765" s="18" t="s">
        <v>526</v>
      </c>
      <c r="J765" s="14">
        <v>763</v>
      </c>
    </row>
    <row r="766" spans="2:10" ht="15" customHeight="1">
      <c r="B766" s="28"/>
      <c r="C766" s="19" t="s">
        <v>526</v>
      </c>
      <c r="D766" s="14" t="s">
        <v>526</v>
      </c>
      <c r="E766" s="14" t="s">
        <v>526</v>
      </c>
      <c r="F766" s="14" t="s">
        <v>526</v>
      </c>
      <c r="G766" s="18" t="s">
        <v>526</v>
      </c>
      <c r="H766" s="14" t="s">
        <v>526</v>
      </c>
      <c r="I766" s="18" t="s">
        <v>526</v>
      </c>
      <c r="J766" s="14">
        <v>764</v>
      </c>
    </row>
    <row r="767" spans="2:10" ht="15" customHeight="1">
      <c r="B767" s="28"/>
      <c r="C767" s="19" t="s">
        <v>526</v>
      </c>
      <c r="D767" s="14" t="s">
        <v>526</v>
      </c>
      <c r="E767" s="14" t="s">
        <v>526</v>
      </c>
      <c r="F767" s="14" t="s">
        <v>526</v>
      </c>
      <c r="G767" s="18" t="s">
        <v>526</v>
      </c>
      <c r="H767" s="14" t="s">
        <v>526</v>
      </c>
      <c r="I767" s="18" t="s">
        <v>526</v>
      </c>
      <c r="J767" s="14">
        <v>765</v>
      </c>
    </row>
    <row r="768" spans="2:10" ht="15" customHeight="1">
      <c r="B768" s="28"/>
      <c r="C768" s="19" t="s">
        <v>526</v>
      </c>
      <c r="D768" s="14" t="s">
        <v>526</v>
      </c>
      <c r="E768" s="14" t="s">
        <v>526</v>
      </c>
      <c r="F768" s="14" t="s">
        <v>526</v>
      </c>
      <c r="G768" s="18" t="s">
        <v>526</v>
      </c>
      <c r="H768" s="14" t="s">
        <v>526</v>
      </c>
      <c r="I768" s="18" t="s">
        <v>526</v>
      </c>
      <c r="J768" s="14">
        <v>766</v>
      </c>
    </row>
    <row r="769" spans="2:10" ht="15" customHeight="1">
      <c r="B769" s="28"/>
      <c r="C769" s="19" t="s">
        <v>526</v>
      </c>
      <c r="D769" s="14" t="s">
        <v>526</v>
      </c>
      <c r="E769" s="14" t="s">
        <v>526</v>
      </c>
      <c r="F769" s="14" t="s">
        <v>526</v>
      </c>
      <c r="G769" s="18" t="s">
        <v>526</v>
      </c>
      <c r="H769" s="14" t="s">
        <v>526</v>
      </c>
      <c r="I769" s="18" t="s">
        <v>526</v>
      </c>
      <c r="J769" s="14">
        <v>767</v>
      </c>
    </row>
    <row r="770" spans="2:10" ht="15" customHeight="1">
      <c r="B770" s="28"/>
      <c r="C770" s="19" t="s">
        <v>526</v>
      </c>
      <c r="D770" s="14" t="s">
        <v>526</v>
      </c>
      <c r="E770" s="14" t="s">
        <v>526</v>
      </c>
      <c r="F770" s="14" t="s">
        <v>526</v>
      </c>
      <c r="G770" s="18" t="s">
        <v>526</v>
      </c>
      <c r="H770" s="14" t="s">
        <v>526</v>
      </c>
      <c r="I770" s="18" t="s">
        <v>526</v>
      </c>
      <c r="J770" s="14">
        <v>768</v>
      </c>
    </row>
    <row r="771" spans="2:10" ht="15" customHeight="1">
      <c r="B771" s="28"/>
      <c r="C771" s="19" t="s">
        <v>526</v>
      </c>
      <c r="D771" s="14" t="s">
        <v>526</v>
      </c>
      <c r="E771" s="14" t="s">
        <v>526</v>
      </c>
      <c r="F771" s="14" t="s">
        <v>526</v>
      </c>
      <c r="G771" s="18" t="s">
        <v>526</v>
      </c>
      <c r="H771" s="14" t="s">
        <v>526</v>
      </c>
      <c r="I771" s="18" t="s">
        <v>526</v>
      </c>
      <c r="J771" s="14">
        <v>769</v>
      </c>
    </row>
    <row r="772" spans="2:10" ht="15" customHeight="1">
      <c r="B772" s="28"/>
      <c r="C772" s="19" t="s">
        <v>526</v>
      </c>
      <c r="D772" s="14" t="s">
        <v>526</v>
      </c>
      <c r="E772" s="14" t="s">
        <v>526</v>
      </c>
      <c r="F772" s="14" t="s">
        <v>526</v>
      </c>
      <c r="G772" s="18" t="s">
        <v>526</v>
      </c>
      <c r="H772" s="14" t="s">
        <v>526</v>
      </c>
      <c r="I772" s="18" t="s">
        <v>526</v>
      </c>
      <c r="J772" s="14">
        <v>770</v>
      </c>
    </row>
    <row r="773" spans="2:10" ht="15" customHeight="1">
      <c r="B773" s="28"/>
      <c r="C773" s="19" t="s">
        <v>526</v>
      </c>
      <c r="D773" s="14" t="s">
        <v>526</v>
      </c>
      <c r="E773" s="14" t="s">
        <v>526</v>
      </c>
      <c r="F773" s="14" t="s">
        <v>526</v>
      </c>
      <c r="G773" s="18" t="s">
        <v>526</v>
      </c>
      <c r="H773" s="14" t="s">
        <v>526</v>
      </c>
      <c r="I773" s="18" t="s">
        <v>526</v>
      </c>
      <c r="J773" s="14">
        <v>771</v>
      </c>
    </row>
    <row r="774" spans="2:10" ht="15" customHeight="1">
      <c r="B774" s="28"/>
      <c r="C774" s="19" t="s">
        <v>526</v>
      </c>
      <c r="D774" s="14" t="s">
        <v>526</v>
      </c>
      <c r="E774" s="14" t="s">
        <v>526</v>
      </c>
      <c r="F774" s="14" t="s">
        <v>526</v>
      </c>
      <c r="G774" s="18" t="s">
        <v>526</v>
      </c>
      <c r="H774" s="14" t="s">
        <v>526</v>
      </c>
      <c r="I774" s="18" t="s">
        <v>526</v>
      </c>
      <c r="J774" s="14">
        <v>772</v>
      </c>
    </row>
    <row r="775" spans="2:10" ht="15" customHeight="1">
      <c r="B775" s="28"/>
      <c r="C775" s="19" t="s">
        <v>526</v>
      </c>
      <c r="D775" s="14" t="s">
        <v>526</v>
      </c>
      <c r="E775" s="14" t="s">
        <v>526</v>
      </c>
      <c r="F775" s="14" t="s">
        <v>526</v>
      </c>
      <c r="G775" s="18" t="s">
        <v>526</v>
      </c>
      <c r="H775" s="14" t="s">
        <v>526</v>
      </c>
      <c r="I775" s="18" t="s">
        <v>526</v>
      </c>
      <c r="J775" s="14">
        <v>773</v>
      </c>
    </row>
    <row r="776" spans="2:10" ht="15" customHeight="1">
      <c r="B776" s="28"/>
      <c r="C776" s="19" t="s">
        <v>526</v>
      </c>
      <c r="D776" s="14" t="s">
        <v>526</v>
      </c>
      <c r="E776" s="14" t="s">
        <v>526</v>
      </c>
      <c r="F776" s="14" t="s">
        <v>526</v>
      </c>
      <c r="G776" s="18" t="s">
        <v>526</v>
      </c>
      <c r="H776" s="14" t="s">
        <v>526</v>
      </c>
      <c r="I776" s="18" t="s">
        <v>526</v>
      </c>
      <c r="J776" s="14">
        <v>774</v>
      </c>
    </row>
    <row r="777" spans="2:10" ht="15" customHeight="1">
      <c r="B777" s="28"/>
      <c r="C777" s="19" t="s">
        <v>526</v>
      </c>
      <c r="D777" s="14" t="s">
        <v>526</v>
      </c>
      <c r="E777" s="14" t="s">
        <v>526</v>
      </c>
      <c r="F777" s="14" t="s">
        <v>526</v>
      </c>
      <c r="G777" s="18" t="s">
        <v>526</v>
      </c>
      <c r="H777" s="14" t="s">
        <v>526</v>
      </c>
      <c r="I777" s="18" t="s">
        <v>526</v>
      </c>
      <c r="J777" s="14">
        <v>775</v>
      </c>
    </row>
    <row r="778" spans="2:10" ht="15" customHeight="1">
      <c r="B778" s="28"/>
      <c r="C778" s="19" t="s">
        <v>526</v>
      </c>
      <c r="D778" s="14" t="s">
        <v>526</v>
      </c>
      <c r="E778" s="14" t="s">
        <v>526</v>
      </c>
      <c r="F778" s="14" t="s">
        <v>526</v>
      </c>
      <c r="G778" s="18" t="s">
        <v>526</v>
      </c>
      <c r="H778" s="14" t="s">
        <v>526</v>
      </c>
      <c r="I778" s="18" t="s">
        <v>526</v>
      </c>
      <c r="J778" s="14">
        <v>776</v>
      </c>
    </row>
    <row r="779" spans="2:10" ht="15" customHeight="1">
      <c r="B779" s="28"/>
      <c r="C779" s="19" t="s">
        <v>526</v>
      </c>
      <c r="D779" s="14" t="s">
        <v>526</v>
      </c>
      <c r="E779" s="14" t="s">
        <v>526</v>
      </c>
      <c r="F779" s="14" t="s">
        <v>526</v>
      </c>
      <c r="G779" s="18" t="s">
        <v>526</v>
      </c>
      <c r="H779" s="14" t="s">
        <v>526</v>
      </c>
      <c r="I779" s="18" t="s">
        <v>526</v>
      </c>
      <c r="J779" s="14">
        <v>777</v>
      </c>
    </row>
    <row r="780" spans="2:10" ht="15" customHeight="1">
      <c r="B780" s="28"/>
      <c r="C780" s="19" t="s">
        <v>526</v>
      </c>
      <c r="D780" s="14" t="s">
        <v>526</v>
      </c>
      <c r="E780" s="14" t="s">
        <v>526</v>
      </c>
      <c r="F780" s="14" t="s">
        <v>526</v>
      </c>
      <c r="G780" s="18" t="s">
        <v>526</v>
      </c>
      <c r="H780" s="14" t="s">
        <v>526</v>
      </c>
      <c r="I780" s="18" t="s">
        <v>526</v>
      </c>
      <c r="J780" s="14">
        <v>778</v>
      </c>
    </row>
    <row r="781" spans="2:10" ht="15" customHeight="1">
      <c r="B781" s="28"/>
      <c r="C781" s="19" t="s">
        <v>526</v>
      </c>
      <c r="D781" s="14" t="s">
        <v>526</v>
      </c>
      <c r="E781" s="14" t="s">
        <v>526</v>
      </c>
      <c r="F781" s="14" t="s">
        <v>526</v>
      </c>
      <c r="G781" s="18" t="s">
        <v>526</v>
      </c>
      <c r="H781" s="14" t="s">
        <v>526</v>
      </c>
      <c r="I781" s="18" t="s">
        <v>526</v>
      </c>
      <c r="J781" s="14">
        <v>779</v>
      </c>
    </row>
    <row r="782" spans="2:10" ht="15" customHeight="1">
      <c r="B782" s="28"/>
      <c r="C782" s="19" t="s">
        <v>526</v>
      </c>
      <c r="D782" s="14" t="s">
        <v>526</v>
      </c>
      <c r="E782" s="14" t="s">
        <v>526</v>
      </c>
      <c r="F782" s="14" t="s">
        <v>526</v>
      </c>
      <c r="G782" s="18" t="s">
        <v>526</v>
      </c>
      <c r="H782" s="14" t="s">
        <v>526</v>
      </c>
      <c r="I782" s="18" t="s">
        <v>526</v>
      </c>
      <c r="J782" s="14">
        <v>780</v>
      </c>
    </row>
    <row r="783" spans="2:10" ht="15" customHeight="1">
      <c r="B783" s="28"/>
      <c r="C783" s="19" t="s">
        <v>526</v>
      </c>
      <c r="D783" s="14" t="s">
        <v>526</v>
      </c>
      <c r="E783" s="14" t="s">
        <v>526</v>
      </c>
      <c r="F783" s="14" t="s">
        <v>526</v>
      </c>
      <c r="G783" s="18" t="s">
        <v>526</v>
      </c>
      <c r="H783" s="14" t="s">
        <v>526</v>
      </c>
      <c r="I783" s="18" t="s">
        <v>526</v>
      </c>
      <c r="J783" s="14">
        <v>781</v>
      </c>
    </row>
    <row r="784" spans="2:10" ht="15" customHeight="1">
      <c r="B784" s="28"/>
      <c r="C784" s="19" t="s">
        <v>526</v>
      </c>
      <c r="D784" s="14" t="s">
        <v>526</v>
      </c>
      <c r="E784" s="14" t="s">
        <v>526</v>
      </c>
      <c r="F784" s="14" t="s">
        <v>526</v>
      </c>
      <c r="G784" s="18" t="s">
        <v>526</v>
      </c>
      <c r="H784" s="14" t="s">
        <v>526</v>
      </c>
      <c r="I784" s="18" t="s">
        <v>526</v>
      </c>
      <c r="J784" s="14">
        <v>782</v>
      </c>
    </row>
    <row r="785" spans="2:10" ht="15" customHeight="1">
      <c r="B785" s="28"/>
      <c r="C785" s="19" t="s">
        <v>526</v>
      </c>
      <c r="D785" s="14" t="s">
        <v>526</v>
      </c>
      <c r="E785" s="14" t="s">
        <v>526</v>
      </c>
      <c r="F785" s="14" t="s">
        <v>526</v>
      </c>
      <c r="G785" s="18" t="s">
        <v>526</v>
      </c>
      <c r="H785" s="14" t="s">
        <v>526</v>
      </c>
      <c r="I785" s="18" t="s">
        <v>526</v>
      </c>
      <c r="J785" s="14">
        <v>783</v>
      </c>
    </row>
    <row r="786" spans="2:10" ht="15" customHeight="1">
      <c r="B786" s="28"/>
      <c r="C786" s="19" t="s">
        <v>526</v>
      </c>
      <c r="D786" s="14" t="s">
        <v>526</v>
      </c>
      <c r="E786" s="14" t="s">
        <v>526</v>
      </c>
      <c r="F786" s="14" t="s">
        <v>526</v>
      </c>
      <c r="G786" s="18" t="s">
        <v>526</v>
      </c>
      <c r="H786" s="14" t="s">
        <v>526</v>
      </c>
      <c r="I786" s="18" t="s">
        <v>526</v>
      </c>
      <c r="J786" s="14">
        <v>784</v>
      </c>
    </row>
    <row r="787" spans="2:10" ht="15" customHeight="1">
      <c r="B787" s="28"/>
      <c r="C787" s="19" t="s">
        <v>526</v>
      </c>
      <c r="D787" s="14" t="s">
        <v>526</v>
      </c>
      <c r="E787" s="14" t="s">
        <v>526</v>
      </c>
      <c r="F787" s="14" t="s">
        <v>526</v>
      </c>
      <c r="G787" s="18" t="s">
        <v>526</v>
      </c>
      <c r="H787" s="14" t="s">
        <v>526</v>
      </c>
      <c r="I787" s="18" t="s">
        <v>526</v>
      </c>
      <c r="J787" s="14">
        <v>785</v>
      </c>
    </row>
    <row r="788" spans="2:10" ht="15" customHeight="1">
      <c r="B788" s="28"/>
      <c r="C788" s="19" t="s">
        <v>526</v>
      </c>
      <c r="D788" s="14" t="s">
        <v>526</v>
      </c>
      <c r="E788" s="14" t="s">
        <v>526</v>
      </c>
      <c r="F788" s="14" t="s">
        <v>526</v>
      </c>
      <c r="G788" s="18" t="s">
        <v>526</v>
      </c>
      <c r="H788" s="14" t="s">
        <v>526</v>
      </c>
      <c r="I788" s="18" t="s">
        <v>526</v>
      </c>
      <c r="J788" s="14">
        <v>786</v>
      </c>
    </row>
    <row r="789" spans="2:10" ht="15" customHeight="1">
      <c r="B789" s="28"/>
      <c r="C789" s="19" t="s">
        <v>526</v>
      </c>
      <c r="D789" s="14" t="s">
        <v>526</v>
      </c>
      <c r="E789" s="14" t="s">
        <v>526</v>
      </c>
      <c r="F789" s="14" t="s">
        <v>526</v>
      </c>
      <c r="G789" s="18" t="s">
        <v>526</v>
      </c>
      <c r="H789" s="14" t="s">
        <v>526</v>
      </c>
      <c r="I789" s="18" t="s">
        <v>526</v>
      </c>
      <c r="J789" s="14">
        <v>787</v>
      </c>
    </row>
    <row r="790" spans="2:10" ht="15" customHeight="1">
      <c r="B790" s="28"/>
      <c r="C790" s="19" t="s">
        <v>526</v>
      </c>
      <c r="D790" s="14" t="s">
        <v>526</v>
      </c>
      <c r="E790" s="14" t="s">
        <v>526</v>
      </c>
      <c r="F790" s="14" t="s">
        <v>526</v>
      </c>
      <c r="G790" s="18" t="s">
        <v>526</v>
      </c>
      <c r="H790" s="14" t="s">
        <v>526</v>
      </c>
      <c r="I790" s="18" t="s">
        <v>526</v>
      </c>
      <c r="J790" s="14">
        <v>788</v>
      </c>
    </row>
    <row r="791" spans="2:10" ht="15" customHeight="1">
      <c r="B791" s="28"/>
      <c r="C791" s="19" t="s">
        <v>526</v>
      </c>
      <c r="D791" s="14" t="s">
        <v>526</v>
      </c>
      <c r="E791" s="14" t="s">
        <v>526</v>
      </c>
      <c r="F791" s="14" t="s">
        <v>526</v>
      </c>
      <c r="G791" s="18" t="s">
        <v>526</v>
      </c>
      <c r="H791" s="14" t="s">
        <v>526</v>
      </c>
      <c r="I791" s="18" t="s">
        <v>526</v>
      </c>
      <c r="J791" s="14">
        <v>789</v>
      </c>
    </row>
    <row r="792" spans="2:10" ht="15" customHeight="1">
      <c r="B792" s="28"/>
      <c r="C792" s="19" t="s">
        <v>526</v>
      </c>
      <c r="D792" s="14" t="s">
        <v>526</v>
      </c>
      <c r="E792" s="14" t="s">
        <v>526</v>
      </c>
      <c r="F792" s="14" t="s">
        <v>526</v>
      </c>
      <c r="G792" s="18" t="s">
        <v>526</v>
      </c>
      <c r="H792" s="14" t="s">
        <v>526</v>
      </c>
      <c r="I792" s="18" t="s">
        <v>526</v>
      </c>
      <c r="J792" s="14">
        <v>790</v>
      </c>
    </row>
    <row r="793" spans="2:10" ht="15" customHeight="1">
      <c r="B793" s="28"/>
      <c r="C793" s="19" t="s">
        <v>526</v>
      </c>
      <c r="D793" s="14" t="s">
        <v>526</v>
      </c>
      <c r="E793" s="14" t="s">
        <v>526</v>
      </c>
      <c r="F793" s="14" t="s">
        <v>526</v>
      </c>
      <c r="G793" s="18" t="s">
        <v>526</v>
      </c>
      <c r="H793" s="14" t="s">
        <v>526</v>
      </c>
      <c r="I793" s="18" t="s">
        <v>526</v>
      </c>
      <c r="J793" s="14">
        <v>791</v>
      </c>
    </row>
    <row r="794" spans="2:10" ht="15" customHeight="1">
      <c r="B794" s="28"/>
      <c r="C794" s="19" t="s">
        <v>526</v>
      </c>
      <c r="D794" s="14" t="s">
        <v>526</v>
      </c>
      <c r="E794" s="14" t="s">
        <v>526</v>
      </c>
      <c r="F794" s="14" t="s">
        <v>526</v>
      </c>
      <c r="G794" s="18" t="s">
        <v>526</v>
      </c>
      <c r="H794" s="14" t="s">
        <v>526</v>
      </c>
      <c r="I794" s="18" t="s">
        <v>526</v>
      </c>
      <c r="J794" s="14">
        <v>792</v>
      </c>
    </row>
    <row r="795" spans="2:10" ht="15" customHeight="1">
      <c r="B795" s="28"/>
      <c r="C795" s="19" t="s">
        <v>526</v>
      </c>
      <c r="D795" s="14" t="s">
        <v>526</v>
      </c>
      <c r="E795" s="14" t="s">
        <v>526</v>
      </c>
      <c r="F795" s="14" t="s">
        <v>526</v>
      </c>
      <c r="G795" s="18" t="s">
        <v>526</v>
      </c>
      <c r="H795" s="14" t="s">
        <v>526</v>
      </c>
      <c r="I795" s="18" t="s">
        <v>526</v>
      </c>
      <c r="J795" s="14">
        <v>793</v>
      </c>
    </row>
    <row r="796" spans="2:10" ht="15" customHeight="1">
      <c r="B796" s="28"/>
      <c r="C796" s="19" t="s">
        <v>526</v>
      </c>
      <c r="D796" s="14" t="s">
        <v>526</v>
      </c>
      <c r="E796" s="14" t="s">
        <v>526</v>
      </c>
      <c r="F796" s="14" t="s">
        <v>526</v>
      </c>
      <c r="G796" s="18" t="s">
        <v>526</v>
      </c>
      <c r="H796" s="14" t="s">
        <v>526</v>
      </c>
      <c r="I796" s="18" t="s">
        <v>526</v>
      </c>
      <c r="J796" s="14">
        <v>794</v>
      </c>
    </row>
    <row r="797" spans="2:10" ht="15" customHeight="1">
      <c r="B797" s="28"/>
      <c r="C797" s="19" t="s">
        <v>526</v>
      </c>
      <c r="D797" s="14" t="s">
        <v>526</v>
      </c>
      <c r="E797" s="14" t="s">
        <v>526</v>
      </c>
      <c r="F797" s="14" t="s">
        <v>526</v>
      </c>
      <c r="G797" s="18" t="s">
        <v>526</v>
      </c>
      <c r="H797" s="14" t="s">
        <v>526</v>
      </c>
      <c r="I797" s="18" t="s">
        <v>526</v>
      </c>
      <c r="J797" s="14">
        <v>795</v>
      </c>
    </row>
    <row r="798" spans="2:10" ht="15" customHeight="1">
      <c r="B798" s="28"/>
      <c r="C798" s="19" t="s">
        <v>526</v>
      </c>
      <c r="D798" s="14" t="s">
        <v>526</v>
      </c>
      <c r="E798" s="14" t="s">
        <v>526</v>
      </c>
      <c r="F798" s="14" t="s">
        <v>526</v>
      </c>
      <c r="G798" s="18" t="s">
        <v>526</v>
      </c>
      <c r="H798" s="14" t="s">
        <v>526</v>
      </c>
      <c r="I798" s="18" t="s">
        <v>526</v>
      </c>
      <c r="J798" s="14">
        <v>796</v>
      </c>
    </row>
    <row r="799" spans="2:10" ht="15" customHeight="1">
      <c r="B799" s="28"/>
      <c r="C799" s="19" t="s">
        <v>526</v>
      </c>
      <c r="D799" s="14" t="s">
        <v>526</v>
      </c>
      <c r="E799" s="14" t="s">
        <v>526</v>
      </c>
      <c r="F799" s="14" t="s">
        <v>526</v>
      </c>
      <c r="G799" s="18" t="s">
        <v>526</v>
      </c>
      <c r="H799" s="14" t="s">
        <v>526</v>
      </c>
      <c r="I799" s="18" t="s">
        <v>526</v>
      </c>
      <c r="J799" s="14">
        <v>797</v>
      </c>
    </row>
    <row r="800" spans="2:10" ht="15" customHeight="1">
      <c r="B800" s="28"/>
      <c r="C800" s="19" t="s">
        <v>526</v>
      </c>
      <c r="D800" s="14" t="s">
        <v>526</v>
      </c>
      <c r="E800" s="14" t="s">
        <v>526</v>
      </c>
      <c r="F800" s="14" t="s">
        <v>526</v>
      </c>
      <c r="G800" s="18" t="s">
        <v>526</v>
      </c>
      <c r="H800" s="14" t="s">
        <v>526</v>
      </c>
      <c r="I800" s="18" t="s">
        <v>526</v>
      </c>
      <c r="J800" s="14">
        <v>798</v>
      </c>
    </row>
    <row r="801" spans="2:10" ht="15" customHeight="1">
      <c r="B801" s="28"/>
      <c r="C801" s="19" t="s">
        <v>526</v>
      </c>
      <c r="D801" s="14" t="s">
        <v>526</v>
      </c>
      <c r="E801" s="14" t="s">
        <v>526</v>
      </c>
      <c r="F801" s="14" t="s">
        <v>526</v>
      </c>
      <c r="G801" s="18" t="s">
        <v>526</v>
      </c>
      <c r="H801" s="14" t="s">
        <v>526</v>
      </c>
      <c r="I801" s="18" t="s">
        <v>526</v>
      </c>
      <c r="J801" s="14">
        <v>799</v>
      </c>
    </row>
    <row r="802" spans="2:10" ht="15" customHeight="1">
      <c r="B802" s="28"/>
      <c r="C802" s="19" t="s">
        <v>526</v>
      </c>
      <c r="D802" s="14" t="s">
        <v>526</v>
      </c>
      <c r="E802" s="14" t="s">
        <v>526</v>
      </c>
      <c r="F802" s="14" t="s">
        <v>526</v>
      </c>
      <c r="G802" s="18" t="s">
        <v>526</v>
      </c>
      <c r="H802" s="14" t="s">
        <v>526</v>
      </c>
      <c r="I802" s="18" t="s">
        <v>526</v>
      </c>
      <c r="J802" s="14">
        <v>800</v>
      </c>
    </row>
  </sheetData>
  <sheetProtection sort="0" autoFilter="0"/>
  <autoFilter ref="B2:J2" xr:uid="{00000000-0009-0000-0000-000001000000}"/>
  <mergeCells count="2">
    <mergeCell ref="A1:C1"/>
    <mergeCell ref="D1:J1"/>
  </mergeCells>
  <conditionalFormatting sqref="D1:D2 D803:D1048576">
    <cfRule type="cellIs" dxfId="14" priority="8" operator="equal">
      <formula>"CRWG Red Criticality Control"</formula>
    </cfRule>
    <cfRule type="cellIs" dxfId="13" priority="9" operator="equal">
      <formula>"CRWG White Criticality Control"</formula>
    </cfRule>
    <cfRule type="cellIs" dxfId="12" priority="10" operator="equal">
      <formula>"CRWG Yellow Criticality Control"</formula>
    </cfRule>
  </conditionalFormatting>
  <conditionalFormatting sqref="D3:D634">
    <cfRule type="cellIs" dxfId="11" priority="5" operator="equal">
      <formula>"CRWG Red Criticality Control"</formula>
    </cfRule>
    <cfRule type="cellIs" dxfId="10" priority="6" operator="equal">
      <formula>"CRWG White Criticality Control"</formula>
    </cfRule>
    <cfRule type="cellIs" dxfId="9" priority="7" operator="equal">
      <formula>"CRWG Yellow Criticality Control"</formula>
    </cfRule>
  </conditionalFormatting>
  <conditionalFormatting sqref="D635:D802">
    <cfRule type="cellIs" dxfId="8" priority="1" operator="equal">
      <formula>"CRWG Red Criticality Control"</formula>
    </cfRule>
    <cfRule type="cellIs" dxfId="7" priority="2" operator="equal">
      <formula>"CRWG White Criticality Control"</formula>
    </cfRule>
    <cfRule type="cellIs" dxfId="6" priority="3" operator="equal">
      <formula>"CRWG Yellow Criticality Control"</formula>
    </cfRule>
  </conditionalFormatting>
  <pageMargins left="0.7" right="0.7" top="0.75" bottom="0.75" header="0.3" footer="0.3"/>
  <pageSetup scale="40" fitToHeight="0" orientation="landscape"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633"/>
  <sheetViews>
    <sheetView zoomScale="90" zoomScaleNormal="90" workbookViewId="0">
      <selection activeCell="D80" sqref="D80"/>
    </sheetView>
  </sheetViews>
  <sheetFormatPr defaultColWidth="9.140625" defaultRowHeight="14.45"/>
  <cols>
    <col min="1" max="1" width="16.28515625" style="12" bestFit="1" customWidth="1"/>
    <col min="2" max="2" width="50" style="11" customWidth="1"/>
    <col min="3" max="3" width="34.7109375" style="11" customWidth="1"/>
    <col min="4" max="4" width="29.85546875" style="12" bestFit="1" customWidth="1"/>
    <col min="5" max="5" width="10.42578125" style="12" bestFit="1" customWidth="1"/>
    <col min="6" max="6" width="16.28515625" style="12" bestFit="1" customWidth="1"/>
    <col min="7" max="7" width="28.28515625" style="11" customWidth="1"/>
    <col min="8" max="8" width="22" style="12" bestFit="1" customWidth="1"/>
    <col min="9" max="9" width="42.42578125" style="11" customWidth="1"/>
    <col min="10" max="16384" width="9.140625" style="9"/>
  </cols>
  <sheetData>
    <row r="1" spans="1:11">
      <c r="A1" s="6" t="s">
        <v>644</v>
      </c>
      <c r="B1" s="6" t="s">
        <v>645</v>
      </c>
      <c r="C1" s="6" t="s">
        <v>646</v>
      </c>
      <c r="D1" s="6" t="s">
        <v>3</v>
      </c>
      <c r="E1" s="6" t="s">
        <v>4</v>
      </c>
      <c r="F1" s="6" t="s">
        <v>5</v>
      </c>
      <c r="G1" s="6" t="s">
        <v>6</v>
      </c>
      <c r="H1" s="6" t="s">
        <v>7</v>
      </c>
      <c r="I1" s="6" t="s">
        <v>8</v>
      </c>
      <c r="J1" s="6" t="s">
        <v>9</v>
      </c>
    </row>
    <row r="2" spans="1:11">
      <c r="A2" s="8" t="s">
        <v>10</v>
      </c>
      <c r="B2" s="7" t="s">
        <v>647</v>
      </c>
      <c r="C2" s="7" t="s">
        <v>648</v>
      </c>
      <c r="D2" s="8" t="s">
        <v>494</v>
      </c>
      <c r="E2" s="8" t="s">
        <v>504</v>
      </c>
      <c r="F2" s="8" t="s">
        <v>489</v>
      </c>
      <c r="G2" s="7" t="s">
        <v>496</v>
      </c>
      <c r="H2" s="8" t="s">
        <v>491</v>
      </c>
      <c r="I2" s="7" t="s">
        <v>492</v>
      </c>
      <c r="J2" s="8">
        <v>1</v>
      </c>
      <c r="K2" s="43"/>
    </row>
    <row r="3" spans="1:11">
      <c r="A3" s="8" t="s">
        <v>11</v>
      </c>
      <c r="B3" s="7" t="s">
        <v>486</v>
      </c>
      <c r="C3" s="7" t="s">
        <v>649</v>
      </c>
      <c r="D3" s="8" t="s">
        <v>487</v>
      </c>
      <c r="E3" s="8" t="s">
        <v>488</v>
      </c>
      <c r="F3" s="8" t="s">
        <v>489</v>
      </c>
      <c r="G3" s="7" t="s">
        <v>490</v>
      </c>
      <c r="H3" s="8" t="s">
        <v>491</v>
      </c>
      <c r="I3" s="7" t="s">
        <v>492</v>
      </c>
      <c r="J3" s="8">
        <v>2</v>
      </c>
      <c r="K3" s="44"/>
    </row>
    <row r="4" spans="1:11">
      <c r="A4" s="8" t="s">
        <v>13</v>
      </c>
      <c r="B4" s="7" t="s">
        <v>493</v>
      </c>
      <c r="C4" s="7" t="s">
        <v>648</v>
      </c>
      <c r="D4" s="8" t="s">
        <v>494</v>
      </c>
      <c r="E4" s="8" t="s">
        <v>495</v>
      </c>
      <c r="F4" s="8" t="s">
        <v>489</v>
      </c>
      <c r="G4" s="7" t="s">
        <v>496</v>
      </c>
      <c r="H4" s="8" t="s">
        <v>491</v>
      </c>
      <c r="I4" s="7" t="s">
        <v>492</v>
      </c>
      <c r="J4" s="8">
        <v>3</v>
      </c>
      <c r="K4" s="44"/>
    </row>
    <row r="5" spans="1:11">
      <c r="A5" s="8" t="s">
        <v>14</v>
      </c>
      <c r="B5" s="7" t="s">
        <v>497</v>
      </c>
      <c r="C5" s="7" t="s">
        <v>648</v>
      </c>
      <c r="D5" s="8" t="s">
        <v>494</v>
      </c>
      <c r="E5" s="8" t="s">
        <v>495</v>
      </c>
      <c r="F5" s="8" t="s">
        <v>489</v>
      </c>
      <c r="G5" s="7" t="s">
        <v>496</v>
      </c>
      <c r="H5" s="8" t="s">
        <v>491</v>
      </c>
      <c r="I5" s="7" t="s">
        <v>492</v>
      </c>
      <c r="J5" s="8">
        <v>4</v>
      </c>
      <c r="K5" s="44"/>
    </row>
    <row r="6" spans="1:11">
      <c r="A6" s="8" t="s">
        <v>15</v>
      </c>
      <c r="B6" s="7" t="s">
        <v>498</v>
      </c>
      <c r="C6" s="7" t="s">
        <v>648</v>
      </c>
      <c r="D6" s="8" t="s">
        <v>494</v>
      </c>
      <c r="E6" s="8" t="s">
        <v>499</v>
      </c>
      <c r="F6" s="8" t="s">
        <v>489</v>
      </c>
      <c r="G6" s="7" t="s">
        <v>496</v>
      </c>
      <c r="H6" s="8" t="s">
        <v>491</v>
      </c>
      <c r="I6" s="7" t="s">
        <v>492</v>
      </c>
      <c r="J6" s="8">
        <v>5</v>
      </c>
      <c r="K6" s="44"/>
    </row>
    <row r="7" spans="1:11">
      <c r="A7" s="8" t="s">
        <v>16</v>
      </c>
      <c r="B7" s="7" t="s">
        <v>500</v>
      </c>
      <c r="C7" s="7" t="s">
        <v>648</v>
      </c>
      <c r="D7" s="8" t="s">
        <v>494</v>
      </c>
      <c r="E7" s="8" t="s">
        <v>495</v>
      </c>
      <c r="F7" s="8" t="s">
        <v>501</v>
      </c>
      <c r="G7" s="7" t="s">
        <v>496</v>
      </c>
      <c r="H7" s="8" t="s">
        <v>502</v>
      </c>
      <c r="I7" s="7" t="s">
        <v>492</v>
      </c>
      <c r="J7" s="8">
        <v>6</v>
      </c>
      <c r="K7" s="44"/>
    </row>
    <row r="8" spans="1:11">
      <c r="A8" s="8" t="s">
        <v>17</v>
      </c>
      <c r="B8" s="7" t="s">
        <v>503</v>
      </c>
      <c r="C8" s="7" t="s">
        <v>648</v>
      </c>
      <c r="D8" s="8" t="s">
        <v>494</v>
      </c>
      <c r="E8" s="8" t="s">
        <v>504</v>
      </c>
      <c r="F8" s="8" t="s">
        <v>489</v>
      </c>
      <c r="G8" s="7" t="s">
        <v>496</v>
      </c>
      <c r="H8" s="8" t="s">
        <v>491</v>
      </c>
      <c r="I8" s="7" t="s">
        <v>492</v>
      </c>
      <c r="J8" s="8">
        <v>7</v>
      </c>
      <c r="K8" s="44"/>
    </row>
    <row r="9" spans="1:11">
      <c r="A9" s="8" t="s">
        <v>19</v>
      </c>
      <c r="B9" s="7" t="s">
        <v>650</v>
      </c>
      <c r="C9" s="7" t="s">
        <v>648</v>
      </c>
      <c r="D9" s="8" t="s">
        <v>494</v>
      </c>
      <c r="E9" s="8" t="s">
        <v>488</v>
      </c>
      <c r="F9" s="8" t="s">
        <v>489</v>
      </c>
      <c r="G9" s="7" t="s">
        <v>496</v>
      </c>
      <c r="H9" s="8" t="s">
        <v>491</v>
      </c>
      <c r="I9" s="7" t="s">
        <v>492</v>
      </c>
      <c r="J9" s="8">
        <v>8</v>
      </c>
      <c r="K9" s="44"/>
    </row>
    <row r="10" spans="1:11">
      <c r="A10" s="8" t="s">
        <v>20</v>
      </c>
      <c r="B10" s="7" t="s">
        <v>651</v>
      </c>
      <c r="C10" s="7" t="s">
        <v>648</v>
      </c>
      <c r="D10" s="8" t="s">
        <v>494</v>
      </c>
      <c r="E10" s="8" t="s">
        <v>488</v>
      </c>
      <c r="F10" s="8" t="s">
        <v>489</v>
      </c>
      <c r="G10" s="7" t="s">
        <v>496</v>
      </c>
      <c r="H10" s="8" t="s">
        <v>491</v>
      </c>
      <c r="I10" s="7" t="s">
        <v>492</v>
      </c>
      <c r="J10" s="8">
        <v>9</v>
      </c>
      <c r="K10" s="44"/>
    </row>
    <row r="11" spans="1:11">
      <c r="A11" s="8" t="s">
        <v>21</v>
      </c>
      <c r="B11" s="7" t="s">
        <v>505</v>
      </c>
      <c r="C11" s="7" t="s">
        <v>652</v>
      </c>
      <c r="D11" s="8" t="s">
        <v>487</v>
      </c>
      <c r="E11" s="8" t="s">
        <v>488</v>
      </c>
      <c r="F11" s="8" t="s">
        <v>489</v>
      </c>
      <c r="G11" s="7" t="s">
        <v>490</v>
      </c>
      <c r="H11" s="8" t="s">
        <v>491</v>
      </c>
      <c r="I11" s="7" t="s">
        <v>492</v>
      </c>
      <c r="J11" s="8">
        <v>10</v>
      </c>
      <c r="K11" s="44"/>
    </row>
    <row r="12" spans="1:11">
      <c r="A12" s="8" t="s">
        <v>22</v>
      </c>
      <c r="B12" s="7" t="s">
        <v>653</v>
      </c>
      <c r="C12" s="7" t="s">
        <v>654</v>
      </c>
      <c r="D12" s="8" t="s">
        <v>487</v>
      </c>
      <c r="E12" s="8" t="s">
        <v>488</v>
      </c>
      <c r="F12" s="8" t="s">
        <v>489</v>
      </c>
      <c r="G12" s="7" t="s">
        <v>490</v>
      </c>
      <c r="H12" s="8" t="s">
        <v>491</v>
      </c>
      <c r="I12" s="7" t="s">
        <v>492</v>
      </c>
      <c r="J12" s="8">
        <v>11</v>
      </c>
      <c r="K12" s="44"/>
    </row>
    <row r="13" spans="1:11">
      <c r="A13" s="8" t="s">
        <v>24</v>
      </c>
      <c r="B13" s="7" t="s">
        <v>655</v>
      </c>
      <c r="C13" s="7" t="s">
        <v>648</v>
      </c>
      <c r="D13" s="8" t="s">
        <v>494</v>
      </c>
      <c r="E13" s="8" t="s">
        <v>488</v>
      </c>
      <c r="F13" s="8" t="s">
        <v>489</v>
      </c>
      <c r="G13" s="7" t="s">
        <v>496</v>
      </c>
      <c r="H13" s="8" t="s">
        <v>491</v>
      </c>
      <c r="I13" s="7" t="s">
        <v>492</v>
      </c>
      <c r="J13" s="8">
        <v>12</v>
      </c>
      <c r="K13" s="44"/>
    </row>
    <row r="14" spans="1:11">
      <c r="A14" s="8" t="s">
        <v>25</v>
      </c>
      <c r="B14" s="7" t="s">
        <v>656</v>
      </c>
      <c r="C14" s="7" t="s">
        <v>657</v>
      </c>
      <c r="D14" s="8" t="s">
        <v>487</v>
      </c>
      <c r="E14" s="8" t="s">
        <v>488</v>
      </c>
      <c r="F14" s="8" t="s">
        <v>489</v>
      </c>
      <c r="G14" s="7" t="s">
        <v>490</v>
      </c>
      <c r="H14" s="8" t="s">
        <v>491</v>
      </c>
      <c r="I14" s="7" t="s">
        <v>492</v>
      </c>
      <c r="J14" s="8">
        <v>13</v>
      </c>
      <c r="K14" s="44"/>
    </row>
    <row r="15" spans="1:11">
      <c r="A15" s="8" t="s">
        <v>26</v>
      </c>
      <c r="B15" s="7" t="s">
        <v>506</v>
      </c>
      <c r="C15" s="7" t="s">
        <v>649</v>
      </c>
      <c r="D15" s="8" t="s">
        <v>487</v>
      </c>
      <c r="E15" s="8" t="s">
        <v>488</v>
      </c>
      <c r="F15" s="8" t="s">
        <v>489</v>
      </c>
      <c r="G15" s="7" t="s">
        <v>490</v>
      </c>
      <c r="H15" s="8" t="s">
        <v>491</v>
      </c>
      <c r="I15" s="7" t="s">
        <v>492</v>
      </c>
      <c r="J15" s="8">
        <v>14</v>
      </c>
      <c r="K15" s="44"/>
    </row>
    <row r="16" spans="1:11">
      <c r="A16" s="8" t="s">
        <v>27</v>
      </c>
      <c r="B16" s="7" t="s">
        <v>507</v>
      </c>
      <c r="C16" s="7" t="s">
        <v>648</v>
      </c>
      <c r="D16" s="8" t="s">
        <v>494</v>
      </c>
      <c r="E16" s="8" t="s">
        <v>488</v>
      </c>
      <c r="F16" s="8" t="s">
        <v>489</v>
      </c>
      <c r="G16" s="7" t="s">
        <v>496</v>
      </c>
      <c r="H16" s="8" t="s">
        <v>491</v>
      </c>
      <c r="I16" s="7" t="s">
        <v>492</v>
      </c>
      <c r="J16" s="8">
        <v>15</v>
      </c>
      <c r="K16" s="44"/>
    </row>
    <row r="17" spans="1:11">
      <c r="A17" s="8" t="s">
        <v>658</v>
      </c>
      <c r="B17" s="7" t="s">
        <v>659</v>
      </c>
      <c r="C17" s="7" t="s">
        <v>648</v>
      </c>
      <c r="D17" s="8" t="s">
        <v>494</v>
      </c>
      <c r="E17" s="8" t="s">
        <v>488</v>
      </c>
      <c r="F17" s="8" t="s">
        <v>489</v>
      </c>
      <c r="G17" s="7" t="s">
        <v>496</v>
      </c>
      <c r="H17" s="8" t="s">
        <v>491</v>
      </c>
      <c r="I17" s="7" t="s">
        <v>492</v>
      </c>
      <c r="J17" s="8">
        <v>16</v>
      </c>
      <c r="K17" s="44"/>
    </row>
    <row r="18" spans="1:11">
      <c r="A18" s="8" t="s">
        <v>28</v>
      </c>
      <c r="B18" s="7" t="s">
        <v>508</v>
      </c>
      <c r="C18" s="7" t="s">
        <v>649</v>
      </c>
      <c r="D18" s="8" t="s">
        <v>487</v>
      </c>
      <c r="E18" s="8" t="s">
        <v>488</v>
      </c>
      <c r="F18" s="8" t="s">
        <v>489</v>
      </c>
      <c r="G18" s="7" t="s">
        <v>490</v>
      </c>
      <c r="H18" s="8" t="s">
        <v>491</v>
      </c>
      <c r="I18" s="7" t="s">
        <v>492</v>
      </c>
      <c r="J18" s="8">
        <v>17</v>
      </c>
      <c r="K18" s="44"/>
    </row>
    <row r="19" spans="1:11">
      <c r="A19" s="8" t="s">
        <v>660</v>
      </c>
      <c r="B19" s="7" t="s">
        <v>661</v>
      </c>
      <c r="C19" s="7" t="s">
        <v>648</v>
      </c>
      <c r="D19" s="8" t="s">
        <v>494</v>
      </c>
      <c r="E19" s="8" t="s">
        <v>488</v>
      </c>
      <c r="F19" s="8" t="s">
        <v>489</v>
      </c>
      <c r="G19" s="7" t="s">
        <v>496</v>
      </c>
      <c r="H19" s="8" t="s">
        <v>491</v>
      </c>
      <c r="I19" s="7" t="s">
        <v>492</v>
      </c>
      <c r="J19" s="8">
        <v>18</v>
      </c>
      <c r="K19" s="44"/>
    </row>
    <row r="20" spans="1:11">
      <c r="A20" s="8" t="s">
        <v>662</v>
      </c>
      <c r="B20" s="7" t="s">
        <v>663</v>
      </c>
      <c r="C20" s="7" t="s">
        <v>648</v>
      </c>
      <c r="D20" s="8" t="s">
        <v>494</v>
      </c>
      <c r="E20" s="8" t="s">
        <v>488</v>
      </c>
      <c r="F20" s="8" t="s">
        <v>489</v>
      </c>
      <c r="G20" s="7" t="s">
        <v>496</v>
      </c>
      <c r="H20" s="8" t="s">
        <v>491</v>
      </c>
      <c r="I20" s="7" t="s">
        <v>492</v>
      </c>
      <c r="J20" s="8">
        <v>19</v>
      </c>
      <c r="K20" s="44"/>
    </row>
    <row r="21" spans="1:11">
      <c r="A21" s="8" t="s">
        <v>664</v>
      </c>
      <c r="B21" s="7" t="s">
        <v>665</v>
      </c>
      <c r="C21" s="7" t="s">
        <v>648</v>
      </c>
      <c r="D21" s="8" t="s">
        <v>494</v>
      </c>
      <c r="E21" s="8" t="s">
        <v>488</v>
      </c>
      <c r="F21" s="8" t="s">
        <v>489</v>
      </c>
      <c r="G21" s="7" t="s">
        <v>496</v>
      </c>
      <c r="H21" s="8" t="s">
        <v>491</v>
      </c>
      <c r="I21" s="7" t="s">
        <v>492</v>
      </c>
      <c r="J21" s="8">
        <v>20</v>
      </c>
      <c r="K21" s="44"/>
    </row>
    <row r="22" spans="1:11">
      <c r="A22" s="8" t="s">
        <v>666</v>
      </c>
      <c r="B22" s="7" t="s">
        <v>667</v>
      </c>
      <c r="C22" s="7" t="s">
        <v>648</v>
      </c>
      <c r="D22" s="8" t="s">
        <v>494</v>
      </c>
      <c r="E22" s="8" t="s">
        <v>488</v>
      </c>
      <c r="F22" s="8" t="s">
        <v>489</v>
      </c>
      <c r="G22" s="7" t="s">
        <v>496</v>
      </c>
      <c r="H22" s="8" t="s">
        <v>491</v>
      </c>
      <c r="I22" s="7" t="s">
        <v>492</v>
      </c>
      <c r="J22" s="8">
        <v>21</v>
      </c>
      <c r="K22" s="44"/>
    </row>
    <row r="23" spans="1:11">
      <c r="A23" s="8" t="s">
        <v>668</v>
      </c>
      <c r="B23" s="7" t="s">
        <v>669</v>
      </c>
      <c r="C23" s="7" t="s">
        <v>648</v>
      </c>
      <c r="D23" s="8" t="s">
        <v>494</v>
      </c>
      <c r="E23" s="8" t="s">
        <v>488</v>
      </c>
      <c r="F23" s="8" t="s">
        <v>489</v>
      </c>
      <c r="G23" s="7" t="s">
        <v>496</v>
      </c>
      <c r="H23" s="8" t="s">
        <v>491</v>
      </c>
      <c r="I23" s="7" t="s">
        <v>492</v>
      </c>
      <c r="J23" s="8">
        <v>22</v>
      </c>
      <c r="K23" s="44"/>
    </row>
    <row r="24" spans="1:11">
      <c r="A24" s="8" t="s">
        <v>29</v>
      </c>
      <c r="B24" s="7" t="s">
        <v>670</v>
      </c>
      <c r="C24" s="7" t="s">
        <v>648</v>
      </c>
      <c r="D24" s="8" t="s">
        <v>494</v>
      </c>
      <c r="E24" s="8" t="s">
        <v>488</v>
      </c>
      <c r="F24" s="8" t="s">
        <v>489</v>
      </c>
      <c r="G24" s="7" t="s">
        <v>496</v>
      </c>
      <c r="H24" s="8" t="s">
        <v>491</v>
      </c>
      <c r="I24" s="7" t="s">
        <v>492</v>
      </c>
      <c r="J24" s="8">
        <v>23</v>
      </c>
      <c r="K24" s="44"/>
    </row>
    <row r="25" spans="1:11">
      <c r="A25" s="8" t="s">
        <v>30</v>
      </c>
      <c r="B25" s="7" t="s">
        <v>671</v>
      </c>
      <c r="C25" s="7" t="s">
        <v>648</v>
      </c>
      <c r="D25" s="8" t="s">
        <v>494</v>
      </c>
      <c r="E25" s="8" t="s">
        <v>488</v>
      </c>
      <c r="F25" s="8" t="s">
        <v>489</v>
      </c>
      <c r="G25" s="7" t="s">
        <v>496</v>
      </c>
      <c r="H25" s="8" t="s">
        <v>491</v>
      </c>
      <c r="I25" s="7" t="s">
        <v>492</v>
      </c>
      <c r="J25" s="8">
        <v>24</v>
      </c>
      <c r="K25" s="44"/>
    </row>
    <row r="26" spans="1:11">
      <c r="A26" s="8" t="s">
        <v>31</v>
      </c>
      <c r="B26" s="7" t="s">
        <v>672</v>
      </c>
      <c r="C26" s="7" t="s">
        <v>673</v>
      </c>
      <c r="D26" s="8" t="s">
        <v>487</v>
      </c>
      <c r="E26" s="8" t="s">
        <v>504</v>
      </c>
      <c r="F26" s="8" t="s">
        <v>489</v>
      </c>
      <c r="G26" s="7" t="s">
        <v>490</v>
      </c>
      <c r="H26" s="8" t="s">
        <v>491</v>
      </c>
      <c r="I26" s="7" t="s">
        <v>492</v>
      </c>
      <c r="J26" s="8">
        <v>25</v>
      </c>
      <c r="K26" s="44"/>
    </row>
    <row r="27" spans="1:11">
      <c r="A27" s="8" t="s">
        <v>32</v>
      </c>
      <c r="B27" s="7" t="s">
        <v>674</v>
      </c>
      <c r="C27" s="7" t="s">
        <v>673</v>
      </c>
      <c r="D27" s="8" t="s">
        <v>487</v>
      </c>
      <c r="E27" s="8" t="s">
        <v>504</v>
      </c>
      <c r="F27" s="8" t="s">
        <v>489</v>
      </c>
      <c r="G27" s="7" t="s">
        <v>490</v>
      </c>
      <c r="H27" s="8" t="s">
        <v>491</v>
      </c>
      <c r="I27" s="7" t="s">
        <v>492</v>
      </c>
      <c r="J27" s="8">
        <v>26</v>
      </c>
      <c r="K27" s="44"/>
    </row>
    <row r="28" spans="1:11">
      <c r="A28" s="8" t="s">
        <v>33</v>
      </c>
      <c r="B28" s="7" t="s">
        <v>675</v>
      </c>
      <c r="C28" s="7" t="s">
        <v>673</v>
      </c>
      <c r="D28" s="8" t="s">
        <v>487</v>
      </c>
      <c r="E28" s="8" t="s">
        <v>504</v>
      </c>
      <c r="F28" s="8" t="s">
        <v>489</v>
      </c>
      <c r="G28" s="7" t="s">
        <v>490</v>
      </c>
      <c r="H28" s="8" t="s">
        <v>491</v>
      </c>
      <c r="I28" s="7" t="s">
        <v>492</v>
      </c>
      <c r="J28" s="8">
        <v>27</v>
      </c>
      <c r="K28" s="44"/>
    </row>
    <row r="29" spans="1:11">
      <c r="A29" s="8" t="s">
        <v>34</v>
      </c>
      <c r="B29" s="7" t="s">
        <v>676</v>
      </c>
      <c r="C29" s="7" t="s">
        <v>673</v>
      </c>
      <c r="D29" s="8" t="s">
        <v>487</v>
      </c>
      <c r="E29" s="8" t="s">
        <v>504</v>
      </c>
      <c r="F29" s="8" t="s">
        <v>489</v>
      </c>
      <c r="G29" s="7" t="s">
        <v>490</v>
      </c>
      <c r="H29" s="8" t="s">
        <v>491</v>
      </c>
      <c r="I29" s="7" t="s">
        <v>492</v>
      </c>
      <c r="J29" s="8">
        <v>28</v>
      </c>
      <c r="K29" s="44"/>
    </row>
    <row r="30" spans="1:11">
      <c r="A30" s="8" t="s">
        <v>35</v>
      </c>
      <c r="B30" s="7" t="s">
        <v>677</v>
      </c>
      <c r="C30" s="7" t="s">
        <v>678</v>
      </c>
      <c r="D30" s="8" t="s">
        <v>487</v>
      </c>
      <c r="E30" s="8" t="s">
        <v>504</v>
      </c>
      <c r="F30" s="8" t="s">
        <v>489</v>
      </c>
      <c r="G30" s="7" t="s">
        <v>490</v>
      </c>
      <c r="H30" s="8" t="s">
        <v>491</v>
      </c>
      <c r="I30" s="7" t="s">
        <v>492</v>
      </c>
      <c r="J30" s="8">
        <v>29</v>
      </c>
      <c r="K30" s="44"/>
    </row>
    <row r="31" spans="1:11">
      <c r="A31" s="8" t="s">
        <v>36</v>
      </c>
      <c r="B31" s="7" t="s">
        <v>509</v>
      </c>
      <c r="C31" s="7" t="s">
        <v>679</v>
      </c>
      <c r="D31" s="8" t="s">
        <v>487</v>
      </c>
      <c r="E31" s="8" t="s">
        <v>504</v>
      </c>
      <c r="F31" s="8" t="s">
        <v>489</v>
      </c>
      <c r="G31" s="7" t="s">
        <v>490</v>
      </c>
      <c r="H31" s="8" t="s">
        <v>491</v>
      </c>
      <c r="I31" s="7" t="s">
        <v>492</v>
      </c>
      <c r="J31" s="8">
        <v>30</v>
      </c>
      <c r="K31" s="44"/>
    </row>
    <row r="32" spans="1:11">
      <c r="A32" s="8" t="s">
        <v>37</v>
      </c>
      <c r="B32" s="7" t="s">
        <v>510</v>
      </c>
      <c r="C32" s="7" t="s">
        <v>648</v>
      </c>
      <c r="D32" s="8" t="s">
        <v>494</v>
      </c>
      <c r="E32" s="8" t="s">
        <v>488</v>
      </c>
      <c r="F32" s="8" t="s">
        <v>489</v>
      </c>
      <c r="G32" s="7" t="s">
        <v>496</v>
      </c>
      <c r="H32" s="8" t="s">
        <v>491</v>
      </c>
      <c r="I32" s="7" t="s">
        <v>492</v>
      </c>
      <c r="J32" s="8">
        <v>31</v>
      </c>
      <c r="K32" s="44"/>
    </row>
    <row r="33" spans="1:11">
      <c r="A33" s="8" t="s">
        <v>38</v>
      </c>
      <c r="B33" s="7" t="s">
        <v>511</v>
      </c>
      <c r="C33" s="7" t="s">
        <v>680</v>
      </c>
      <c r="D33" s="8" t="s">
        <v>487</v>
      </c>
      <c r="E33" s="8" t="s">
        <v>499</v>
      </c>
      <c r="F33" s="8" t="s">
        <v>489</v>
      </c>
      <c r="G33" s="7" t="s">
        <v>490</v>
      </c>
      <c r="H33" s="8" t="s">
        <v>491</v>
      </c>
      <c r="I33" s="7" t="s">
        <v>492</v>
      </c>
      <c r="J33" s="8">
        <v>32</v>
      </c>
      <c r="K33" s="44"/>
    </row>
    <row r="34" spans="1:11">
      <c r="A34" s="8" t="s">
        <v>39</v>
      </c>
      <c r="B34" s="7" t="s">
        <v>512</v>
      </c>
      <c r="C34" s="7" t="s">
        <v>649</v>
      </c>
      <c r="D34" s="8" t="s">
        <v>487</v>
      </c>
      <c r="E34" s="8" t="s">
        <v>495</v>
      </c>
      <c r="F34" s="8" t="s">
        <v>501</v>
      </c>
      <c r="G34" s="7" t="s">
        <v>490</v>
      </c>
      <c r="H34" s="8" t="s">
        <v>502</v>
      </c>
      <c r="I34" s="7" t="s">
        <v>492</v>
      </c>
      <c r="J34" s="8">
        <v>33</v>
      </c>
      <c r="K34" s="44"/>
    </row>
    <row r="35" spans="1:11">
      <c r="A35" s="8" t="s">
        <v>681</v>
      </c>
      <c r="B35" s="7" t="s">
        <v>669</v>
      </c>
      <c r="C35" s="7" t="s">
        <v>648</v>
      </c>
      <c r="D35" s="8" t="s">
        <v>494</v>
      </c>
      <c r="E35" s="8" t="s">
        <v>495</v>
      </c>
      <c r="F35" s="8" t="s">
        <v>501</v>
      </c>
      <c r="G35" s="7" t="s">
        <v>496</v>
      </c>
      <c r="H35" s="8" t="s">
        <v>502</v>
      </c>
      <c r="I35" s="7" t="s">
        <v>492</v>
      </c>
      <c r="J35" s="8">
        <v>34</v>
      </c>
      <c r="K35" s="44"/>
    </row>
    <row r="36" spans="1:11">
      <c r="A36" s="8" t="s">
        <v>40</v>
      </c>
      <c r="B36" s="7" t="s">
        <v>513</v>
      </c>
      <c r="C36" s="7" t="s">
        <v>648</v>
      </c>
      <c r="D36" s="8" t="s">
        <v>494</v>
      </c>
      <c r="E36" s="8" t="s">
        <v>488</v>
      </c>
      <c r="F36" s="8" t="s">
        <v>489</v>
      </c>
      <c r="G36" s="7" t="s">
        <v>496</v>
      </c>
      <c r="H36" s="8" t="s">
        <v>491</v>
      </c>
      <c r="I36" s="7" t="s">
        <v>492</v>
      </c>
      <c r="J36" s="8">
        <v>35</v>
      </c>
      <c r="K36" s="44"/>
    </row>
    <row r="37" spans="1:11">
      <c r="A37" s="8" t="s">
        <v>682</v>
      </c>
      <c r="B37" s="7" t="s">
        <v>683</v>
      </c>
      <c r="C37" s="7" t="s">
        <v>648</v>
      </c>
      <c r="D37" s="8" t="s">
        <v>494</v>
      </c>
      <c r="E37" s="8" t="s">
        <v>495</v>
      </c>
      <c r="F37" s="8" t="s">
        <v>501</v>
      </c>
      <c r="G37" s="7" t="s">
        <v>496</v>
      </c>
      <c r="H37" s="8" t="s">
        <v>502</v>
      </c>
      <c r="I37" s="7" t="s">
        <v>492</v>
      </c>
      <c r="J37" s="8">
        <v>36</v>
      </c>
      <c r="K37" s="44"/>
    </row>
    <row r="38" spans="1:11">
      <c r="A38" s="8" t="s">
        <v>684</v>
      </c>
      <c r="B38" s="7" t="s">
        <v>685</v>
      </c>
      <c r="C38" s="7" t="s">
        <v>648</v>
      </c>
      <c r="D38" s="8" t="s">
        <v>494</v>
      </c>
      <c r="E38" s="8" t="s">
        <v>495</v>
      </c>
      <c r="F38" s="8" t="s">
        <v>501</v>
      </c>
      <c r="G38" s="7" t="s">
        <v>496</v>
      </c>
      <c r="H38" s="8" t="s">
        <v>502</v>
      </c>
      <c r="I38" s="7" t="s">
        <v>492</v>
      </c>
      <c r="J38" s="8">
        <v>37</v>
      </c>
      <c r="K38" s="44"/>
    </row>
    <row r="39" spans="1:11">
      <c r="A39" s="8" t="s">
        <v>42</v>
      </c>
      <c r="B39" s="7" t="s">
        <v>514</v>
      </c>
      <c r="C39" s="7" t="s">
        <v>648</v>
      </c>
      <c r="D39" s="8" t="s">
        <v>494</v>
      </c>
      <c r="E39" s="8" t="s">
        <v>488</v>
      </c>
      <c r="F39" s="8" t="s">
        <v>489</v>
      </c>
      <c r="G39" s="7" t="s">
        <v>496</v>
      </c>
      <c r="H39" s="8" t="s">
        <v>491</v>
      </c>
      <c r="I39" s="7" t="s">
        <v>492</v>
      </c>
      <c r="J39" s="8">
        <v>38</v>
      </c>
      <c r="K39" s="44"/>
    </row>
    <row r="40" spans="1:11">
      <c r="A40" s="8" t="s">
        <v>43</v>
      </c>
      <c r="B40" s="7" t="s">
        <v>515</v>
      </c>
      <c r="C40" s="7" t="s">
        <v>648</v>
      </c>
      <c r="D40" s="8" t="s">
        <v>494</v>
      </c>
      <c r="E40" s="8" t="s">
        <v>488</v>
      </c>
      <c r="F40" s="8" t="s">
        <v>489</v>
      </c>
      <c r="G40" s="7" t="s">
        <v>496</v>
      </c>
      <c r="H40" s="8" t="s">
        <v>491</v>
      </c>
      <c r="I40" s="7" t="s">
        <v>492</v>
      </c>
      <c r="J40" s="8">
        <v>39</v>
      </c>
      <c r="K40" s="44"/>
    </row>
    <row r="41" spans="1:11">
      <c r="A41" s="8" t="s">
        <v>45</v>
      </c>
      <c r="B41" s="7" t="s">
        <v>686</v>
      </c>
      <c r="C41" s="7" t="s">
        <v>648</v>
      </c>
      <c r="D41" s="8" t="s">
        <v>494</v>
      </c>
      <c r="E41" s="8" t="s">
        <v>488</v>
      </c>
      <c r="F41" s="8" t="s">
        <v>489</v>
      </c>
      <c r="G41" s="7" t="s">
        <v>496</v>
      </c>
      <c r="H41" s="8" t="s">
        <v>491</v>
      </c>
      <c r="I41" s="7" t="s">
        <v>492</v>
      </c>
      <c r="J41" s="8">
        <v>40</v>
      </c>
      <c r="K41" s="44"/>
    </row>
    <row r="42" spans="1:11">
      <c r="A42" s="8" t="s">
        <v>46</v>
      </c>
      <c r="B42" s="7" t="s">
        <v>516</v>
      </c>
      <c r="C42" s="7" t="s">
        <v>687</v>
      </c>
      <c r="D42" s="8" t="s">
        <v>487</v>
      </c>
      <c r="E42" s="8" t="s">
        <v>488</v>
      </c>
      <c r="F42" s="8" t="s">
        <v>489</v>
      </c>
      <c r="G42" s="7" t="s">
        <v>490</v>
      </c>
      <c r="H42" s="8" t="s">
        <v>491</v>
      </c>
      <c r="I42" s="7" t="s">
        <v>492</v>
      </c>
      <c r="J42" s="8">
        <v>41</v>
      </c>
      <c r="K42" s="44"/>
    </row>
    <row r="43" spans="1:11">
      <c r="A43" s="8" t="s">
        <v>47</v>
      </c>
      <c r="B43" s="7" t="s">
        <v>517</v>
      </c>
      <c r="C43" s="7" t="s">
        <v>688</v>
      </c>
      <c r="D43" s="8" t="s">
        <v>487</v>
      </c>
      <c r="E43" s="8" t="s">
        <v>488</v>
      </c>
      <c r="F43" s="8" t="s">
        <v>489</v>
      </c>
      <c r="G43" s="7" t="s">
        <v>490</v>
      </c>
      <c r="H43" s="8" t="s">
        <v>491</v>
      </c>
      <c r="I43" s="7" t="s">
        <v>492</v>
      </c>
      <c r="J43" s="8">
        <v>42</v>
      </c>
      <c r="K43" s="44"/>
    </row>
    <row r="44" spans="1:11">
      <c r="A44" s="8" t="s">
        <v>48</v>
      </c>
      <c r="B44" s="7" t="s">
        <v>689</v>
      </c>
      <c r="C44" s="7" t="s">
        <v>648</v>
      </c>
      <c r="D44" s="8" t="s">
        <v>494</v>
      </c>
      <c r="E44" s="8" t="s">
        <v>488</v>
      </c>
      <c r="F44" s="8" t="s">
        <v>489</v>
      </c>
      <c r="G44" s="7" t="s">
        <v>496</v>
      </c>
      <c r="H44" s="8" t="s">
        <v>491</v>
      </c>
      <c r="I44" s="7" t="s">
        <v>492</v>
      </c>
      <c r="J44" s="8">
        <v>43</v>
      </c>
      <c r="K44" s="44"/>
    </row>
    <row r="45" spans="1:11">
      <c r="A45" s="8" t="s">
        <v>50</v>
      </c>
      <c r="B45" s="7" t="s">
        <v>518</v>
      </c>
      <c r="C45" s="7" t="s">
        <v>648</v>
      </c>
      <c r="D45" s="8" t="s">
        <v>494</v>
      </c>
      <c r="E45" s="8" t="s">
        <v>488</v>
      </c>
      <c r="F45" s="8" t="s">
        <v>489</v>
      </c>
      <c r="G45" s="7" t="s">
        <v>496</v>
      </c>
      <c r="H45" s="8" t="s">
        <v>491</v>
      </c>
      <c r="I45" s="7" t="s">
        <v>492</v>
      </c>
      <c r="J45" s="8">
        <v>44</v>
      </c>
      <c r="K45" s="44"/>
    </row>
    <row r="46" spans="1:11">
      <c r="A46" s="8" t="s">
        <v>51</v>
      </c>
      <c r="B46" s="7" t="s">
        <v>690</v>
      </c>
      <c r="C46" s="7" t="s">
        <v>648</v>
      </c>
      <c r="D46" s="8" t="s">
        <v>494</v>
      </c>
      <c r="E46" s="8" t="s">
        <v>488</v>
      </c>
      <c r="F46" s="8" t="s">
        <v>489</v>
      </c>
      <c r="G46" s="7" t="s">
        <v>496</v>
      </c>
      <c r="H46" s="8" t="s">
        <v>491</v>
      </c>
      <c r="I46" s="7" t="s">
        <v>492</v>
      </c>
      <c r="J46" s="8">
        <v>45</v>
      </c>
      <c r="K46" s="44"/>
    </row>
    <row r="47" spans="1:11">
      <c r="A47" s="8" t="s">
        <v>52</v>
      </c>
      <c r="B47" s="7" t="s">
        <v>691</v>
      </c>
      <c r="C47" s="7" t="s">
        <v>648</v>
      </c>
      <c r="D47" s="8" t="s">
        <v>494</v>
      </c>
      <c r="E47" s="8" t="s">
        <v>488</v>
      </c>
      <c r="F47" s="8" t="s">
        <v>489</v>
      </c>
      <c r="G47" s="7" t="s">
        <v>496</v>
      </c>
      <c r="H47" s="8" t="s">
        <v>491</v>
      </c>
      <c r="I47" s="7" t="s">
        <v>492</v>
      </c>
      <c r="J47" s="8">
        <v>46</v>
      </c>
      <c r="K47" s="44"/>
    </row>
    <row r="48" spans="1:11">
      <c r="A48" s="8" t="s">
        <v>53</v>
      </c>
      <c r="B48" s="7" t="s">
        <v>692</v>
      </c>
      <c r="C48" s="7" t="s">
        <v>648</v>
      </c>
      <c r="D48" s="8" t="s">
        <v>494</v>
      </c>
      <c r="E48" s="8" t="s">
        <v>488</v>
      </c>
      <c r="F48" s="8" t="s">
        <v>489</v>
      </c>
      <c r="G48" s="7" t="s">
        <v>496</v>
      </c>
      <c r="H48" s="8" t="s">
        <v>491</v>
      </c>
      <c r="I48" s="7" t="s">
        <v>492</v>
      </c>
      <c r="J48" s="8">
        <v>47</v>
      </c>
      <c r="K48" s="44"/>
    </row>
    <row r="49" spans="1:11">
      <c r="A49" s="8" t="s">
        <v>55</v>
      </c>
      <c r="B49" s="7" t="s">
        <v>693</v>
      </c>
      <c r="C49" s="7" t="s">
        <v>649</v>
      </c>
      <c r="D49" s="8" t="s">
        <v>487</v>
      </c>
      <c r="E49" s="8" t="s">
        <v>495</v>
      </c>
      <c r="F49" s="8" t="s">
        <v>501</v>
      </c>
      <c r="G49" s="7" t="s">
        <v>490</v>
      </c>
      <c r="H49" s="8" t="s">
        <v>502</v>
      </c>
      <c r="I49" s="7" t="s">
        <v>492</v>
      </c>
      <c r="J49" s="8">
        <v>48</v>
      </c>
      <c r="K49" s="44"/>
    </row>
    <row r="50" spans="1:11">
      <c r="A50" s="8" t="s">
        <v>56</v>
      </c>
      <c r="B50" s="7" t="s">
        <v>519</v>
      </c>
      <c r="C50" s="7" t="s">
        <v>649</v>
      </c>
      <c r="D50" s="8" t="s">
        <v>487</v>
      </c>
      <c r="E50" s="8" t="s">
        <v>488</v>
      </c>
      <c r="F50" s="8" t="s">
        <v>489</v>
      </c>
      <c r="G50" s="7" t="s">
        <v>490</v>
      </c>
      <c r="H50" s="8" t="s">
        <v>491</v>
      </c>
      <c r="I50" s="7" t="s">
        <v>492</v>
      </c>
      <c r="J50" s="8">
        <v>49</v>
      </c>
      <c r="K50" s="44"/>
    </row>
    <row r="51" spans="1:11">
      <c r="A51" s="8" t="s">
        <v>57</v>
      </c>
      <c r="B51" s="7" t="s">
        <v>694</v>
      </c>
      <c r="C51" s="7" t="s">
        <v>649</v>
      </c>
      <c r="D51" s="8" t="s">
        <v>487</v>
      </c>
      <c r="E51" s="8" t="s">
        <v>488</v>
      </c>
      <c r="F51" s="8" t="s">
        <v>489</v>
      </c>
      <c r="G51" s="7" t="s">
        <v>490</v>
      </c>
      <c r="H51" s="8" t="s">
        <v>491</v>
      </c>
      <c r="I51" s="7" t="s">
        <v>492</v>
      </c>
      <c r="J51" s="8">
        <v>50</v>
      </c>
      <c r="K51" s="44"/>
    </row>
    <row r="52" spans="1:11">
      <c r="A52" s="8" t="s">
        <v>58</v>
      </c>
      <c r="B52" s="7" t="s">
        <v>695</v>
      </c>
      <c r="C52" s="7" t="s">
        <v>649</v>
      </c>
      <c r="D52" s="8" t="s">
        <v>487</v>
      </c>
      <c r="E52" s="8" t="s">
        <v>488</v>
      </c>
      <c r="F52" s="8" t="s">
        <v>489</v>
      </c>
      <c r="G52" s="7" t="s">
        <v>490</v>
      </c>
      <c r="H52" s="8" t="s">
        <v>491</v>
      </c>
      <c r="I52" s="7" t="s">
        <v>492</v>
      </c>
      <c r="J52" s="8">
        <v>51</v>
      </c>
      <c r="K52" s="44"/>
    </row>
    <row r="53" spans="1:11">
      <c r="A53" s="8" t="s">
        <v>59</v>
      </c>
      <c r="B53" s="7" t="s">
        <v>696</v>
      </c>
      <c r="C53" s="7" t="s">
        <v>649</v>
      </c>
      <c r="D53" s="8" t="s">
        <v>487</v>
      </c>
      <c r="E53" s="8" t="s">
        <v>488</v>
      </c>
      <c r="F53" s="8" t="s">
        <v>489</v>
      </c>
      <c r="G53" s="7" t="s">
        <v>490</v>
      </c>
      <c r="H53" s="8" t="s">
        <v>491</v>
      </c>
      <c r="I53" s="7" t="s">
        <v>492</v>
      </c>
      <c r="J53" s="8">
        <v>52</v>
      </c>
      <c r="K53" s="44"/>
    </row>
    <row r="54" spans="1:11">
      <c r="A54" s="8" t="s">
        <v>60</v>
      </c>
      <c r="B54" s="7" t="s">
        <v>520</v>
      </c>
      <c r="C54" s="7" t="s">
        <v>648</v>
      </c>
      <c r="D54" s="8" t="s">
        <v>494</v>
      </c>
      <c r="E54" s="8" t="s">
        <v>488</v>
      </c>
      <c r="F54" s="8" t="s">
        <v>489</v>
      </c>
      <c r="G54" s="7" t="s">
        <v>496</v>
      </c>
      <c r="H54" s="8" t="s">
        <v>491</v>
      </c>
      <c r="I54" s="7" t="s">
        <v>492</v>
      </c>
      <c r="J54" s="8">
        <v>53</v>
      </c>
      <c r="K54" s="44"/>
    </row>
    <row r="55" spans="1:11">
      <c r="A55" s="8" t="s">
        <v>61</v>
      </c>
      <c r="B55" s="7" t="s">
        <v>697</v>
      </c>
      <c r="C55" s="7" t="s">
        <v>648</v>
      </c>
      <c r="D55" s="8" t="s">
        <v>494</v>
      </c>
      <c r="E55" s="8" t="s">
        <v>488</v>
      </c>
      <c r="F55" s="8" t="s">
        <v>489</v>
      </c>
      <c r="G55" s="7" t="s">
        <v>496</v>
      </c>
      <c r="H55" s="8" t="s">
        <v>491</v>
      </c>
      <c r="I55" s="7" t="s">
        <v>492</v>
      </c>
      <c r="J55" s="8">
        <v>54</v>
      </c>
      <c r="K55" s="44"/>
    </row>
    <row r="56" spans="1:11">
      <c r="A56" s="8" t="s">
        <v>62</v>
      </c>
      <c r="B56" s="7" t="s">
        <v>698</v>
      </c>
      <c r="C56" s="7" t="s">
        <v>649</v>
      </c>
      <c r="D56" s="8" t="s">
        <v>487</v>
      </c>
      <c r="E56" s="8" t="s">
        <v>504</v>
      </c>
      <c r="F56" s="8" t="s">
        <v>489</v>
      </c>
      <c r="G56" s="7" t="s">
        <v>490</v>
      </c>
      <c r="H56" s="8" t="s">
        <v>491</v>
      </c>
      <c r="I56" s="7" t="s">
        <v>492</v>
      </c>
      <c r="J56" s="8">
        <v>55</v>
      </c>
      <c r="K56" s="44"/>
    </row>
    <row r="57" spans="1:11">
      <c r="A57" s="8" t="s">
        <v>63</v>
      </c>
      <c r="B57" s="7" t="s">
        <v>699</v>
      </c>
      <c r="C57" s="7" t="s">
        <v>649</v>
      </c>
      <c r="D57" s="8" t="s">
        <v>487</v>
      </c>
      <c r="E57" s="8" t="s">
        <v>488</v>
      </c>
      <c r="F57" s="8" t="s">
        <v>489</v>
      </c>
      <c r="G57" s="7" t="s">
        <v>490</v>
      </c>
      <c r="H57" s="8" t="s">
        <v>491</v>
      </c>
      <c r="I57" s="7" t="s">
        <v>492</v>
      </c>
      <c r="J57" s="8">
        <v>56</v>
      </c>
      <c r="K57" s="44"/>
    </row>
    <row r="58" spans="1:11">
      <c r="A58" s="8" t="s">
        <v>64</v>
      </c>
      <c r="B58" s="7" t="s">
        <v>700</v>
      </c>
      <c r="C58" s="7" t="s">
        <v>649</v>
      </c>
      <c r="D58" s="8" t="s">
        <v>487</v>
      </c>
      <c r="E58" s="8" t="s">
        <v>488</v>
      </c>
      <c r="F58" s="8" t="s">
        <v>489</v>
      </c>
      <c r="G58" s="7" t="s">
        <v>490</v>
      </c>
      <c r="H58" s="8" t="s">
        <v>491</v>
      </c>
      <c r="I58" s="7" t="s">
        <v>492</v>
      </c>
      <c r="J58" s="8">
        <v>57</v>
      </c>
      <c r="K58" s="44"/>
    </row>
    <row r="59" spans="1:11">
      <c r="A59" s="8" t="s">
        <v>65</v>
      </c>
      <c r="B59" s="7" t="s">
        <v>701</v>
      </c>
      <c r="C59" s="7" t="s">
        <v>649</v>
      </c>
      <c r="D59" s="8" t="s">
        <v>487</v>
      </c>
      <c r="E59" s="8" t="s">
        <v>504</v>
      </c>
      <c r="F59" s="8" t="s">
        <v>489</v>
      </c>
      <c r="G59" s="7" t="s">
        <v>490</v>
      </c>
      <c r="H59" s="8" t="s">
        <v>491</v>
      </c>
      <c r="I59" s="7" t="s">
        <v>492</v>
      </c>
      <c r="J59" s="8">
        <v>58</v>
      </c>
      <c r="K59" s="44"/>
    </row>
    <row r="60" spans="1:11">
      <c r="A60" s="8" t="s">
        <v>66</v>
      </c>
      <c r="B60" s="7" t="s">
        <v>702</v>
      </c>
      <c r="C60" s="7" t="s">
        <v>649</v>
      </c>
      <c r="D60" s="8" t="s">
        <v>487</v>
      </c>
      <c r="E60" s="8" t="s">
        <v>504</v>
      </c>
      <c r="F60" s="8" t="s">
        <v>489</v>
      </c>
      <c r="G60" s="7" t="s">
        <v>490</v>
      </c>
      <c r="H60" s="8" t="s">
        <v>491</v>
      </c>
      <c r="I60" s="7" t="s">
        <v>492</v>
      </c>
      <c r="J60" s="8">
        <v>59</v>
      </c>
      <c r="K60" s="44"/>
    </row>
    <row r="61" spans="1:11">
      <c r="A61" s="8" t="s">
        <v>703</v>
      </c>
      <c r="B61" s="7" t="s">
        <v>704</v>
      </c>
      <c r="C61" s="7" t="s">
        <v>649</v>
      </c>
      <c r="D61" s="8" t="s">
        <v>487</v>
      </c>
      <c r="E61" s="8" t="s">
        <v>504</v>
      </c>
      <c r="F61" s="8" t="s">
        <v>489</v>
      </c>
      <c r="G61" s="7" t="s">
        <v>490</v>
      </c>
      <c r="H61" s="8" t="s">
        <v>491</v>
      </c>
      <c r="I61" s="7" t="s">
        <v>492</v>
      </c>
      <c r="J61" s="8">
        <v>60</v>
      </c>
      <c r="K61" s="44"/>
    </row>
    <row r="62" spans="1:11">
      <c r="A62" s="8" t="s">
        <v>67</v>
      </c>
      <c r="B62" s="7" t="s">
        <v>705</v>
      </c>
      <c r="C62" s="7" t="s">
        <v>706</v>
      </c>
      <c r="D62" s="8" t="s">
        <v>487</v>
      </c>
      <c r="E62" s="8" t="s">
        <v>504</v>
      </c>
      <c r="F62" s="8" t="s">
        <v>489</v>
      </c>
      <c r="G62" s="7" t="s">
        <v>490</v>
      </c>
      <c r="H62" s="8" t="s">
        <v>491</v>
      </c>
      <c r="I62" s="7" t="s">
        <v>492</v>
      </c>
      <c r="J62" s="8">
        <v>61</v>
      </c>
      <c r="K62" s="44"/>
    </row>
    <row r="63" spans="1:11">
      <c r="A63" s="8" t="s">
        <v>68</v>
      </c>
      <c r="B63" s="7" t="s">
        <v>707</v>
      </c>
      <c r="C63" s="7" t="s">
        <v>648</v>
      </c>
      <c r="D63" s="8" t="s">
        <v>494</v>
      </c>
      <c r="E63" s="8" t="s">
        <v>488</v>
      </c>
      <c r="F63" s="8" t="s">
        <v>489</v>
      </c>
      <c r="G63" s="7" t="s">
        <v>496</v>
      </c>
      <c r="H63" s="8" t="s">
        <v>491</v>
      </c>
      <c r="I63" s="7" t="s">
        <v>492</v>
      </c>
      <c r="J63" s="8">
        <v>62</v>
      </c>
      <c r="K63" s="44"/>
    </row>
    <row r="64" spans="1:11">
      <c r="A64" s="8" t="s">
        <v>69</v>
      </c>
      <c r="B64" s="7" t="s">
        <v>708</v>
      </c>
      <c r="C64" s="7" t="s">
        <v>648</v>
      </c>
      <c r="D64" s="8" t="s">
        <v>494</v>
      </c>
      <c r="E64" s="8" t="s">
        <v>488</v>
      </c>
      <c r="F64" s="8" t="s">
        <v>489</v>
      </c>
      <c r="G64" s="7" t="s">
        <v>496</v>
      </c>
      <c r="H64" s="8" t="s">
        <v>491</v>
      </c>
      <c r="I64" s="7" t="s">
        <v>492</v>
      </c>
      <c r="J64" s="8">
        <v>63</v>
      </c>
      <c r="K64" s="44"/>
    </row>
    <row r="65" spans="1:11">
      <c r="A65" s="8" t="s">
        <v>70</v>
      </c>
      <c r="B65" s="7" t="s">
        <v>709</v>
      </c>
      <c r="C65" s="7" t="s">
        <v>648</v>
      </c>
      <c r="D65" s="8" t="s">
        <v>494</v>
      </c>
      <c r="E65" s="8" t="s">
        <v>488</v>
      </c>
      <c r="F65" s="8" t="s">
        <v>489</v>
      </c>
      <c r="G65" s="7" t="s">
        <v>496</v>
      </c>
      <c r="H65" s="8" t="s">
        <v>491</v>
      </c>
      <c r="I65" s="7" t="s">
        <v>492</v>
      </c>
      <c r="J65" s="8">
        <v>64</v>
      </c>
      <c r="K65" s="44"/>
    </row>
    <row r="66" spans="1:11">
      <c r="A66" s="8" t="s">
        <v>71</v>
      </c>
      <c r="B66" s="7" t="s">
        <v>710</v>
      </c>
      <c r="C66" s="7" t="s">
        <v>648</v>
      </c>
      <c r="D66" s="8" t="s">
        <v>494</v>
      </c>
      <c r="E66" s="8" t="s">
        <v>488</v>
      </c>
      <c r="F66" s="8" t="s">
        <v>489</v>
      </c>
      <c r="G66" s="7" t="s">
        <v>496</v>
      </c>
      <c r="H66" s="8" t="s">
        <v>491</v>
      </c>
      <c r="I66" s="7" t="s">
        <v>492</v>
      </c>
      <c r="J66" s="8">
        <v>65</v>
      </c>
      <c r="K66" s="44"/>
    </row>
    <row r="67" spans="1:11">
      <c r="A67" s="8" t="s">
        <v>72</v>
      </c>
      <c r="B67" s="7" t="s">
        <v>711</v>
      </c>
      <c r="C67" s="7" t="s">
        <v>648</v>
      </c>
      <c r="D67" s="8" t="s">
        <v>494</v>
      </c>
      <c r="E67" s="8" t="s">
        <v>488</v>
      </c>
      <c r="F67" s="8" t="s">
        <v>489</v>
      </c>
      <c r="G67" s="7" t="s">
        <v>496</v>
      </c>
      <c r="H67" s="8" t="s">
        <v>491</v>
      </c>
      <c r="I67" s="7" t="s">
        <v>492</v>
      </c>
      <c r="J67" s="8">
        <v>66</v>
      </c>
      <c r="K67" s="44"/>
    </row>
    <row r="68" spans="1:11">
      <c r="A68" s="8" t="s">
        <v>73</v>
      </c>
      <c r="B68" s="7" t="s">
        <v>712</v>
      </c>
      <c r="C68" s="7" t="s">
        <v>648</v>
      </c>
      <c r="D68" s="8" t="s">
        <v>494</v>
      </c>
      <c r="E68" s="8" t="s">
        <v>488</v>
      </c>
      <c r="F68" s="8" t="s">
        <v>489</v>
      </c>
      <c r="G68" s="7" t="s">
        <v>496</v>
      </c>
      <c r="H68" s="8" t="s">
        <v>491</v>
      </c>
      <c r="I68" s="7" t="s">
        <v>492</v>
      </c>
      <c r="J68" s="8">
        <v>67</v>
      </c>
      <c r="K68" s="44"/>
    </row>
    <row r="69" spans="1:11">
      <c r="A69" s="8" t="s">
        <v>74</v>
      </c>
      <c r="B69" s="7" t="s">
        <v>713</v>
      </c>
      <c r="C69" s="7" t="s">
        <v>648</v>
      </c>
      <c r="D69" s="8" t="s">
        <v>494</v>
      </c>
      <c r="E69" s="8" t="s">
        <v>488</v>
      </c>
      <c r="F69" s="8" t="s">
        <v>489</v>
      </c>
      <c r="G69" s="7" t="s">
        <v>496</v>
      </c>
      <c r="H69" s="8" t="s">
        <v>491</v>
      </c>
      <c r="I69" s="7" t="s">
        <v>492</v>
      </c>
      <c r="J69" s="8">
        <v>68</v>
      </c>
      <c r="K69" s="44"/>
    </row>
    <row r="70" spans="1:11">
      <c r="A70" s="8" t="s">
        <v>75</v>
      </c>
      <c r="B70" s="7" t="s">
        <v>714</v>
      </c>
      <c r="C70" s="7" t="s">
        <v>648</v>
      </c>
      <c r="D70" s="8" t="s">
        <v>494</v>
      </c>
      <c r="E70" s="8" t="s">
        <v>488</v>
      </c>
      <c r="F70" s="8" t="s">
        <v>489</v>
      </c>
      <c r="G70" s="7" t="s">
        <v>496</v>
      </c>
      <c r="H70" s="8" t="s">
        <v>491</v>
      </c>
      <c r="I70" s="7" t="s">
        <v>492</v>
      </c>
      <c r="J70" s="8">
        <v>69</v>
      </c>
      <c r="K70" s="44"/>
    </row>
    <row r="71" spans="1:11">
      <c r="A71" s="8" t="s">
        <v>76</v>
      </c>
      <c r="B71" s="7" t="s">
        <v>715</v>
      </c>
      <c r="C71" s="7" t="s">
        <v>648</v>
      </c>
      <c r="D71" s="8" t="s">
        <v>494</v>
      </c>
      <c r="E71" s="8" t="s">
        <v>488</v>
      </c>
      <c r="F71" s="8" t="s">
        <v>489</v>
      </c>
      <c r="G71" s="7" t="s">
        <v>496</v>
      </c>
      <c r="H71" s="8" t="s">
        <v>491</v>
      </c>
      <c r="I71" s="7" t="s">
        <v>492</v>
      </c>
      <c r="J71" s="8">
        <v>70</v>
      </c>
      <c r="K71" s="44"/>
    </row>
    <row r="72" spans="1:11">
      <c r="A72" s="8" t="s">
        <v>77</v>
      </c>
      <c r="B72" s="7" t="s">
        <v>716</v>
      </c>
      <c r="C72" s="7" t="s">
        <v>648</v>
      </c>
      <c r="D72" s="8" t="s">
        <v>494</v>
      </c>
      <c r="E72" s="8" t="s">
        <v>488</v>
      </c>
      <c r="F72" s="8" t="s">
        <v>489</v>
      </c>
      <c r="G72" s="7" t="s">
        <v>496</v>
      </c>
      <c r="H72" s="8" t="s">
        <v>491</v>
      </c>
      <c r="I72" s="7" t="s">
        <v>492</v>
      </c>
      <c r="J72" s="8">
        <v>71</v>
      </c>
      <c r="K72" s="44"/>
    </row>
    <row r="73" spans="1:11">
      <c r="A73" s="8" t="s">
        <v>78</v>
      </c>
      <c r="B73" s="7" t="s">
        <v>717</v>
      </c>
      <c r="C73" s="7" t="s">
        <v>648</v>
      </c>
      <c r="D73" s="8" t="s">
        <v>494</v>
      </c>
      <c r="E73" s="8" t="s">
        <v>488</v>
      </c>
      <c r="F73" s="8" t="s">
        <v>489</v>
      </c>
      <c r="G73" s="7" t="s">
        <v>496</v>
      </c>
      <c r="H73" s="8" t="s">
        <v>491</v>
      </c>
      <c r="I73" s="7" t="s">
        <v>492</v>
      </c>
      <c r="J73" s="8">
        <v>72</v>
      </c>
      <c r="K73" s="44"/>
    </row>
    <row r="74" spans="1:11">
      <c r="A74" s="8" t="s">
        <v>79</v>
      </c>
      <c r="B74" s="7" t="s">
        <v>718</v>
      </c>
      <c r="C74" s="7" t="s">
        <v>648</v>
      </c>
      <c r="D74" s="8" t="s">
        <v>494</v>
      </c>
      <c r="E74" s="8" t="s">
        <v>488</v>
      </c>
      <c r="F74" s="8" t="s">
        <v>489</v>
      </c>
      <c r="G74" s="7" t="s">
        <v>496</v>
      </c>
      <c r="H74" s="8" t="s">
        <v>491</v>
      </c>
      <c r="I74" s="7" t="s">
        <v>492</v>
      </c>
      <c r="J74" s="8">
        <v>73</v>
      </c>
      <c r="K74" s="44"/>
    </row>
    <row r="75" spans="1:11">
      <c r="A75" s="8" t="s">
        <v>80</v>
      </c>
      <c r="B75" s="7" t="s">
        <v>719</v>
      </c>
      <c r="C75" s="7" t="s">
        <v>648</v>
      </c>
      <c r="D75" s="8" t="s">
        <v>494</v>
      </c>
      <c r="E75" s="8" t="s">
        <v>488</v>
      </c>
      <c r="F75" s="8" t="s">
        <v>489</v>
      </c>
      <c r="G75" s="7" t="s">
        <v>496</v>
      </c>
      <c r="H75" s="8" t="s">
        <v>491</v>
      </c>
      <c r="I75" s="7" t="s">
        <v>492</v>
      </c>
      <c r="J75" s="8">
        <v>74</v>
      </c>
      <c r="K75" s="44"/>
    </row>
    <row r="76" spans="1:11">
      <c r="A76" s="8" t="s">
        <v>81</v>
      </c>
      <c r="B76" s="7" t="s">
        <v>720</v>
      </c>
      <c r="C76" s="7" t="s">
        <v>648</v>
      </c>
      <c r="D76" s="8" t="s">
        <v>494</v>
      </c>
      <c r="E76" s="8" t="s">
        <v>488</v>
      </c>
      <c r="F76" s="8" t="s">
        <v>489</v>
      </c>
      <c r="G76" s="7" t="s">
        <v>496</v>
      </c>
      <c r="H76" s="8" t="s">
        <v>491</v>
      </c>
      <c r="I76" s="7" t="s">
        <v>492</v>
      </c>
      <c r="J76" s="8">
        <v>75</v>
      </c>
      <c r="K76" s="44"/>
    </row>
    <row r="77" spans="1:11">
      <c r="A77" s="8" t="s">
        <v>82</v>
      </c>
      <c r="B77" s="7" t="s">
        <v>721</v>
      </c>
      <c r="C77" s="7" t="s">
        <v>648</v>
      </c>
      <c r="D77" s="8" t="s">
        <v>494</v>
      </c>
      <c r="E77" s="8" t="s">
        <v>488</v>
      </c>
      <c r="F77" s="8" t="s">
        <v>489</v>
      </c>
      <c r="G77" s="7" t="s">
        <v>496</v>
      </c>
      <c r="H77" s="8" t="s">
        <v>491</v>
      </c>
      <c r="I77" s="7" t="s">
        <v>492</v>
      </c>
      <c r="J77" s="8">
        <v>76</v>
      </c>
      <c r="K77" s="44"/>
    </row>
    <row r="78" spans="1:11">
      <c r="A78" s="8" t="s">
        <v>83</v>
      </c>
      <c r="B78" s="7" t="s">
        <v>722</v>
      </c>
      <c r="C78" s="7" t="s">
        <v>648</v>
      </c>
      <c r="D78" s="8" t="s">
        <v>494</v>
      </c>
      <c r="E78" s="8" t="s">
        <v>488</v>
      </c>
      <c r="F78" s="8" t="s">
        <v>489</v>
      </c>
      <c r="G78" s="7" t="s">
        <v>496</v>
      </c>
      <c r="H78" s="8" t="s">
        <v>491</v>
      </c>
      <c r="I78" s="7" t="s">
        <v>492</v>
      </c>
      <c r="J78" s="8">
        <v>77</v>
      </c>
      <c r="K78" s="44"/>
    </row>
    <row r="79" spans="1:11">
      <c r="A79" s="8" t="s">
        <v>84</v>
      </c>
      <c r="B79" s="7" t="s">
        <v>723</v>
      </c>
      <c r="C79" s="7" t="s">
        <v>648</v>
      </c>
      <c r="D79" s="8" t="s">
        <v>494</v>
      </c>
      <c r="E79" s="8" t="s">
        <v>488</v>
      </c>
      <c r="F79" s="8" t="s">
        <v>489</v>
      </c>
      <c r="G79" s="7" t="s">
        <v>496</v>
      </c>
      <c r="H79" s="8" t="s">
        <v>491</v>
      </c>
      <c r="I79" s="7" t="s">
        <v>492</v>
      </c>
      <c r="J79" s="8">
        <v>78</v>
      </c>
      <c r="K79" s="44"/>
    </row>
    <row r="80" spans="1:11">
      <c r="A80" s="8" t="s">
        <v>85</v>
      </c>
      <c r="B80" s="7" t="s">
        <v>724</v>
      </c>
      <c r="C80" s="7" t="s">
        <v>648</v>
      </c>
      <c r="D80" s="8" t="s">
        <v>494</v>
      </c>
      <c r="E80" s="8" t="s">
        <v>488</v>
      </c>
      <c r="F80" s="8" t="s">
        <v>489</v>
      </c>
      <c r="G80" s="7" t="s">
        <v>496</v>
      </c>
      <c r="H80" s="8" t="s">
        <v>491</v>
      </c>
      <c r="I80" s="7" t="s">
        <v>492</v>
      </c>
      <c r="J80" s="8">
        <v>79</v>
      </c>
      <c r="K80" s="44"/>
    </row>
    <row r="81" spans="1:11">
      <c r="A81" s="8" t="s">
        <v>86</v>
      </c>
      <c r="B81" s="7" t="s">
        <v>725</v>
      </c>
      <c r="C81" s="7" t="s">
        <v>648</v>
      </c>
      <c r="D81" s="8" t="s">
        <v>494</v>
      </c>
      <c r="E81" s="8" t="s">
        <v>488</v>
      </c>
      <c r="F81" s="8" t="s">
        <v>489</v>
      </c>
      <c r="G81" s="7" t="s">
        <v>496</v>
      </c>
      <c r="H81" s="8" t="s">
        <v>491</v>
      </c>
      <c r="I81" s="7" t="s">
        <v>492</v>
      </c>
      <c r="J81" s="8">
        <v>80</v>
      </c>
      <c r="K81" s="44"/>
    </row>
    <row r="82" spans="1:11">
      <c r="A82" s="8" t="s">
        <v>726</v>
      </c>
      <c r="B82" s="7" t="s">
        <v>727</v>
      </c>
      <c r="C82" s="7" t="s">
        <v>648</v>
      </c>
      <c r="D82" s="8" t="s">
        <v>494</v>
      </c>
      <c r="E82" s="8" t="s">
        <v>488</v>
      </c>
      <c r="F82" s="8" t="s">
        <v>489</v>
      </c>
      <c r="G82" s="7" t="s">
        <v>496</v>
      </c>
      <c r="H82" s="8" t="s">
        <v>491</v>
      </c>
      <c r="I82" s="7" t="s">
        <v>492</v>
      </c>
      <c r="J82" s="8">
        <v>81</v>
      </c>
      <c r="K82" s="44"/>
    </row>
    <row r="83" spans="1:11">
      <c r="A83" s="8" t="s">
        <v>87</v>
      </c>
      <c r="B83" s="7" t="s">
        <v>728</v>
      </c>
      <c r="C83" s="7" t="s">
        <v>648</v>
      </c>
      <c r="D83" s="8" t="s">
        <v>494</v>
      </c>
      <c r="E83" s="8" t="s">
        <v>488</v>
      </c>
      <c r="F83" s="8" t="s">
        <v>489</v>
      </c>
      <c r="G83" s="7" t="s">
        <v>496</v>
      </c>
      <c r="H83" s="8" t="s">
        <v>491</v>
      </c>
      <c r="I83" s="7" t="s">
        <v>492</v>
      </c>
      <c r="J83" s="8">
        <v>82</v>
      </c>
      <c r="K83" s="44"/>
    </row>
    <row r="84" spans="1:11">
      <c r="A84" s="8" t="s">
        <v>88</v>
      </c>
      <c r="B84" s="7" t="s">
        <v>729</v>
      </c>
      <c r="C84" s="7" t="s">
        <v>648</v>
      </c>
      <c r="D84" s="8" t="s">
        <v>494</v>
      </c>
      <c r="E84" s="8" t="s">
        <v>488</v>
      </c>
      <c r="F84" s="8" t="s">
        <v>489</v>
      </c>
      <c r="G84" s="7" t="s">
        <v>496</v>
      </c>
      <c r="H84" s="8" t="s">
        <v>491</v>
      </c>
      <c r="I84" s="7" t="s">
        <v>492</v>
      </c>
      <c r="J84" s="8">
        <v>83</v>
      </c>
      <c r="K84" s="44"/>
    </row>
    <row r="85" spans="1:11">
      <c r="A85" s="8" t="s">
        <v>730</v>
      </c>
      <c r="B85" s="7" t="s">
        <v>731</v>
      </c>
      <c r="C85" s="7" t="s">
        <v>648</v>
      </c>
      <c r="D85" s="8" t="s">
        <v>494</v>
      </c>
      <c r="E85" s="8" t="s">
        <v>488</v>
      </c>
      <c r="F85" s="8" t="s">
        <v>489</v>
      </c>
      <c r="G85" s="7" t="s">
        <v>496</v>
      </c>
      <c r="H85" s="8" t="s">
        <v>491</v>
      </c>
      <c r="I85" s="7" t="s">
        <v>492</v>
      </c>
      <c r="J85" s="8">
        <v>84</v>
      </c>
      <c r="K85" s="44"/>
    </row>
    <row r="86" spans="1:11">
      <c r="A86" s="8" t="s">
        <v>89</v>
      </c>
      <c r="B86" s="7" t="s">
        <v>732</v>
      </c>
      <c r="C86" s="7" t="s">
        <v>648</v>
      </c>
      <c r="D86" s="8" t="s">
        <v>494</v>
      </c>
      <c r="E86" s="8" t="s">
        <v>488</v>
      </c>
      <c r="F86" s="8" t="s">
        <v>489</v>
      </c>
      <c r="G86" s="7" t="s">
        <v>496</v>
      </c>
      <c r="H86" s="8" t="s">
        <v>491</v>
      </c>
      <c r="I86" s="7" t="s">
        <v>492</v>
      </c>
      <c r="J86" s="8">
        <v>85</v>
      </c>
      <c r="K86" s="44"/>
    </row>
    <row r="87" spans="1:11">
      <c r="A87" s="8" t="s">
        <v>90</v>
      </c>
      <c r="B87" s="7" t="s">
        <v>733</v>
      </c>
      <c r="C87" s="7" t="s">
        <v>648</v>
      </c>
      <c r="D87" s="8" t="s">
        <v>494</v>
      </c>
      <c r="E87" s="8" t="s">
        <v>488</v>
      </c>
      <c r="F87" s="8" t="s">
        <v>489</v>
      </c>
      <c r="G87" s="7" t="s">
        <v>496</v>
      </c>
      <c r="H87" s="8" t="s">
        <v>491</v>
      </c>
      <c r="I87" s="7" t="s">
        <v>492</v>
      </c>
      <c r="J87" s="8">
        <v>86</v>
      </c>
      <c r="K87" s="44"/>
    </row>
    <row r="88" spans="1:11">
      <c r="A88" s="8" t="s">
        <v>91</v>
      </c>
      <c r="B88" s="7" t="s">
        <v>734</v>
      </c>
      <c r="C88" s="7" t="s">
        <v>648</v>
      </c>
      <c r="D88" s="8" t="s">
        <v>494</v>
      </c>
      <c r="E88" s="8" t="s">
        <v>488</v>
      </c>
      <c r="F88" s="8" t="s">
        <v>489</v>
      </c>
      <c r="G88" s="7" t="s">
        <v>496</v>
      </c>
      <c r="H88" s="8" t="s">
        <v>491</v>
      </c>
      <c r="I88" s="7" t="s">
        <v>492</v>
      </c>
      <c r="J88" s="8">
        <v>87</v>
      </c>
      <c r="K88" s="44"/>
    </row>
    <row r="89" spans="1:11">
      <c r="A89" s="8" t="s">
        <v>92</v>
      </c>
      <c r="B89" s="7" t="s">
        <v>735</v>
      </c>
      <c r="C89" s="7" t="s">
        <v>648</v>
      </c>
      <c r="D89" s="8" t="s">
        <v>494</v>
      </c>
      <c r="E89" s="8" t="s">
        <v>488</v>
      </c>
      <c r="F89" s="8" t="s">
        <v>489</v>
      </c>
      <c r="G89" s="7" t="s">
        <v>496</v>
      </c>
      <c r="H89" s="8" t="s">
        <v>491</v>
      </c>
      <c r="I89" s="7" t="s">
        <v>492</v>
      </c>
      <c r="J89" s="8">
        <v>88</v>
      </c>
      <c r="K89" s="44"/>
    </row>
    <row r="90" spans="1:11">
      <c r="A90" s="8" t="s">
        <v>93</v>
      </c>
      <c r="B90" s="7" t="s">
        <v>736</v>
      </c>
      <c r="C90" s="7" t="s">
        <v>648</v>
      </c>
      <c r="D90" s="8" t="s">
        <v>494</v>
      </c>
      <c r="E90" s="8" t="s">
        <v>488</v>
      </c>
      <c r="F90" s="8" t="s">
        <v>489</v>
      </c>
      <c r="G90" s="7" t="s">
        <v>496</v>
      </c>
      <c r="H90" s="8" t="s">
        <v>491</v>
      </c>
      <c r="I90" s="7" t="s">
        <v>492</v>
      </c>
      <c r="J90" s="8">
        <v>89</v>
      </c>
      <c r="K90" s="44"/>
    </row>
    <row r="91" spans="1:11">
      <c r="A91" s="8" t="s">
        <v>94</v>
      </c>
      <c r="B91" s="7" t="s">
        <v>737</v>
      </c>
      <c r="C91" s="7" t="s">
        <v>648</v>
      </c>
      <c r="D91" s="8" t="s">
        <v>494</v>
      </c>
      <c r="E91" s="8" t="s">
        <v>488</v>
      </c>
      <c r="F91" s="8" t="s">
        <v>489</v>
      </c>
      <c r="G91" s="7" t="s">
        <v>496</v>
      </c>
      <c r="H91" s="8" t="s">
        <v>491</v>
      </c>
      <c r="I91" s="7" t="s">
        <v>492</v>
      </c>
      <c r="J91" s="8">
        <v>90</v>
      </c>
      <c r="K91" s="44"/>
    </row>
    <row r="92" spans="1:11">
      <c r="A92" s="8" t="s">
        <v>95</v>
      </c>
      <c r="B92" s="7" t="s">
        <v>738</v>
      </c>
      <c r="C92" s="7" t="s">
        <v>648</v>
      </c>
      <c r="D92" s="8" t="s">
        <v>494</v>
      </c>
      <c r="E92" s="8" t="s">
        <v>488</v>
      </c>
      <c r="F92" s="8" t="s">
        <v>489</v>
      </c>
      <c r="G92" s="7" t="s">
        <v>496</v>
      </c>
      <c r="H92" s="8" t="s">
        <v>491</v>
      </c>
      <c r="I92" s="7" t="s">
        <v>492</v>
      </c>
      <c r="J92" s="8">
        <v>91</v>
      </c>
      <c r="K92" s="44"/>
    </row>
    <row r="93" spans="1:11">
      <c r="A93" s="8" t="s">
        <v>96</v>
      </c>
      <c r="B93" s="7" t="s">
        <v>739</v>
      </c>
      <c r="C93" s="7" t="s">
        <v>648</v>
      </c>
      <c r="D93" s="8" t="s">
        <v>494</v>
      </c>
      <c r="E93" s="8" t="s">
        <v>488</v>
      </c>
      <c r="F93" s="8" t="s">
        <v>489</v>
      </c>
      <c r="G93" s="7" t="s">
        <v>496</v>
      </c>
      <c r="H93" s="8" t="s">
        <v>491</v>
      </c>
      <c r="I93" s="7" t="s">
        <v>492</v>
      </c>
      <c r="J93" s="8">
        <v>92</v>
      </c>
      <c r="K93" s="44"/>
    </row>
    <row r="94" spans="1:11">
      <c r="A94" s="8" t="s">
        <v>97</v>
      </c>
      <c r="B94" s="7" t="s">
        <v>740</v>
      </c>
      <c r="C94" s="7" t="s">
        <v>648</v>
      </c>
      <c r="D94" s="8" t="s">
        <v>494</v>
      </c>
      <c r="E94" s="8" t="s">
        <v>488</v>
      </c>
      <c r="F94" s="8" t="s">
        <v>489</v>
      </c>
      <c r="G94" s="7" t="s">
        <v>496</v>
      </c>
      <c r="H94" s="8" t="s">
        <v>491</v>
      </c>
      <c r="I94" s="7" t="s">
        <v>492</v>
      </c>
      <c r="J94" s="8">
        <v>93</v>
      </c>
      <c r="K94" s="44"/>
    </row>
    <row r="95" spans="1:11">
      <c r="A95" s="8" t="s">
        <v>98</v>
      </c>
      <c r="B95" s="7" t="s">
        <v>741</v>
      </c>
      <c r="C95" s="7" t="s">
        <v>648</v>
      </c>
      <c r="D95" s="8" t="s">
        <v>494</v>
      </c>
      <c r="E95" s="8" t="s">
        <v>488</v>
      </c>
      <c r="F95" s="8" t="s">
        <v>489</v>
      </c>
      <c r="G95" s="7" t="s">
        <v>496</v>
      </c>
      <c r="H95" s="8" t="s">
        <v>491</v>
      </c>
      <c r="I95" s="7" t="s">
        <v>492</v>
      </c>
      <c r="J95" s="8">
        <v>94</v>
      </c>
      <c r="K95" s="44"/>
    </row>
    <row r="96" spans="1:11">
      <c r="A96" s="8" t="s">
        <v>99</v>
      </c>
      <c r="B96" s="7" t="s">
        <v>742</v>
      </c>
      <c r="C96" s="7" t="s">
        <v>648</v>
      </c>
      <c r="D96" s="8" t="s">
        <v>494</v>
      </c>
      <c r="E96" s="8" t="s">
        <v>488</v>
      </c>
      <c r="F96" s="8" t="s">
        <v>489</v>
      </c>
      <c r="G96" s="7" t="s">
        <v>496</v>
      </c>
      <c r="H96" s="8" t="s">
        <v>491</v>
      </c>
      <c r="I96" s="7" t="s">
        <v>492</v>
      </c>
      <c r="J96" s="8">
        <v>95</v>
      </c>
      <c r="K96" s="44"/>
    </row>
    <row r="97" spans="1:11">
      <c r="A97" s="8" t="s">
        <v>100</v>
      </c>
      <c r="B97" s="7" t="s">
        <v>743</v>
      </c>
      <c r="C97" s="7" t="s">
        <v>649</v>
      </c>
      <c r="D97" s="8" t="s">
        <v>487</v>
      </c>
      <c r="E97" s="8" t="s">
        <v>499</v>
      </c>
      <c r="F97" s="8" t="s">
        <v>489</v>
      </c>
      <c r="G97" s="7" t="s">
        <v>490</v>
      </c>
      <c r="H97" s="8" t="s">
        <v>491</v>
      </c>
      <c r="I97" s="7" t="s">
        <v>492</v>
      </c>
      <c r="J97" s="8">
        <v>96</v>
      </c>
      <c r="K97" s="44"/>
    </row>
    <row r="98" spans="1:11">
      <c r="A98" s="8" t="s">
        <v>101</v>
      </c>
      <c r="B98" s="7" t="s">
        <v>744</v>
      </c>
      <c r="C98" s="7" t="s">
        <v>649</v>
      </c>
      <c r="D98" s="8" t="s">
        <v>487</v>
      </c>
      <c r="E98" s="8" t="s">
        <v>499</v>
      </c>
      <c r="F98" s="8" t="s">
        <v>489</v>
      </c>
      <c r="G98" s="7" t="s">
        <v>490</v>
      </c>
      <c r="H98" s="8" t="s">
        <v>491</v>
      </c>
      <c r="I98" s="7" t="s">
        <v>492</v>
      </c>
      <c r="J98" s="8">
        <v>97</v>
      </c>
      <c r="K98" s="44"/>
    </row>
    <row r="99" spans="1:11">
      <c r="A99" s="8" t="s">
        <v>745</v>
      </c>
      <c r="B99" s="7" t="s">
        <v>746</v>
      </c>
      <c r="C99" s="7" t="s">
        <v>649</v>
      </c>
      <c r="D99" s="8" t="s">
        <v>487</v>
      </c>
      <c r="E99" s="8" t="s">
        <v>495</v>
      </c>
      <c r="F99" s="8" t="s">
        <v>501</v>
      </c>
      <c r="G99" s="7" t="s">
        <v>490</v>
      </c>
      <c r="H99" s="8" t="s">
        <v>502</v>
      </c>
      <c r="I99" s="7" t="s">
        <v>492</v>
      </c>
      <c r="J99" s="8">
        <v>98</v>
      </c>
      <c r="K99" s="44"/>
    </row>
    <row r="100" spans="1:11">
      <c r="A100" s="8" t="s">
        <v>747</v>
      </c>
      <c r="B100" s="7" t="s">
        <v>748</v>
      </c>
      <c r="C100" s="7" t="s">
        <v>648</v>
      </c>
      <c r="D100" s="8" t="s">
        <v>494</v>
      </c>
      <c r="E100" s="8" t="s">
        <v>495</v>
      </c>
      <c r="F100" s="8" t="s">
        <v>501</v>
      </c>
      <c r="G100" s="7" t="s">
        <v>496</v>
      </c>
      <c r="H100" s="8" t="s">
        <v>502</v>
      </c>
      <c r="I100" s="7" t="s">
        <v>492</v>
      </c>
      <c r="J100" s="8">
        <v>99</v>
      </c>
      <c r="K100" s="44"/>
    </row>
    <row r="101" spans="1:11">
      <c r="A101" s="8" t="s">
        <v>749</v>
      </c>
      <c r="B101" s="7" t="s">
        <v>750</v>
      </c>
      <c r="C101" s="7" t="s">
        <v>648</v>
      </c>
      <c r="D101" s="8" t="s">
        <v>494</v>
      </c>
      <c r="E101" s="8" t="s">
        <v>495</v>
      </c>
      <c r="F101" s="8" t="s">
        <v>501</v>
      </c>
      <c r="G101" s="7" t="s">
        <v>496</v>
      </c>
      <c r="H101" s="8" t="s">
        <v>502</v>
      </c>
      <c r="I101" s="7" t="s">
        <v>492</v>
      </c>
      <c r="J101" s="8">
        <v>100</v>
      </c>
      <c r="K101" s="44"/>
    </row>
    <row r="102" spans="1:11">
      <c r="A102" s="8" t="s">
        <v>102</v>
      </c>
      <c r="B102" s="7" t="s">
        <v>751</v>
      </c>
      <c r="C102" s="7" t="s">
        <v>648</v>
      </c>
      <c r="D102" s="8" t="s">
        <v>494</v>
      </c>
      <c r="E102" s="8" t="s">
        <v>488</v>
      </c>
      <c r="F102" s="8" t="s">
        <v>489</v>
      </c>
      <c r="G102" s="7" t="s">
        <v>496</v>
      </c>
      <c r="H102" s="8" t="s">
        <v>491</v>
      </c>
      <c r="I102" s="7" t="s">
        <v>492</v>
      </c>
      <c r="J102" s="8">
        <v>101</v>
      </c>
      <c r="K102" s="44"/>
    </row>
    <row r="103" spans="1:11">
      <c r="A103" s="8" t="s">
        <v>103</v>
      </c>
      <c r="B103" s="7" t="s">
        <v>752</v>
      </c>
      <c r="C103" s="7" t="s">
        <v>649</v>
      </c>
      <c r="D103" s="8" t="s">
        <v>487</v>
      </c>
      <c r="E103" s="8" t="s">
        <v>495</v>
      </c>
      <c r="F103" s="8" t="s">
        <v>501</v>
      </c>
      <c r="G103" s="7" t="s">
        <v>490</v>
      </c>
      <c r="H103" s="8" t="s">
        <v>502</v>
      </c>
      <c r="I103" s="7" t="s">
        <v>492</v>
      </c>
      <c r="J103" s="8">
        <v>102</v>
      </c>
      <c r="K103" s="44"/>
    </row>
    <row r="104" spans="1:11">
      <c r="A104" s="8" t="s">
        <v>104</v>
      </c>
      <c r="B104" s="7" t="s">
        <v>753</v>
      </c>
      <c r="C104" s="7" t="s">
        <v>649</v>
      </c>
      <c r="D104" s="8" t="s">
        <v>487</v>
      </c>
      <c r="E104" s="8" t="s">
        <v>504</v>
      </c>
      <c r="F104" s="8" t="s">
        <v>489</v>
      </c>
      <c r="G104" s="7" t="s">
        <v>490</v>
      </c>
      <c r="H104" s="8" t="s">
        <v>491</v>
      </c>
      <c r="I104" s="7" t="s">
        <v>492</v>
      </c>
      <c r="J104" s="8">
        <v>103</v>
      </c>
      <c r="K104" s="44"/>
    </row>
    <row r="105" spans="1:11">
      <c r="A105" s="8" t="s">
        <v>105</v>
      </c>
      <c r="B105" s="7" t="s">
        <v>754</v>
      </c>
      <c r="C105" s="7" t="s">
        <v>648</v>
      </c>
      <c r="D105" s="8" t="s">
        <v>494</v>
      </c>
      <c r="E105" s="8" t="s">
        <v>488</v>
      </c>
      <c r="F105" s="8" t="s">
        <v>489</v>
      </c>
      <c r="G105" s="7" t="s">
        <v>496</v>
      </c>
      <c r="H105" s="8" t="s">
        <v>491</v>
      </c>
      <c r="I105" s="7" t="s">
        <v>492</v>
      </c>
      <c r="J105" s="8">
        <v>104</v>
      </c>
      <c r="K105" s="44"/>
    </row>
    <row r="106" spans="1:11">
      <c r="A106" s="8" t="s">
        <v>106</v>
      </c>
      <c r="B106" s="7" t="s">
        <v>755</v>
      </c>
      <c r="C106" s="7" t="s">
        <v>648</v>
      </c>
      <c r="D106" s="8" t="s">
        <v>494</v>
      </c>
      <c r="E106" s="8" t="s">
        <v>488</v>
      </c>
      <c r="F106" s="8" t="s">
        <v>489</v>
      </c>
      <c r="G106" s="7" t="s">
        <v>496</v>
      </c>
      <c r="H106" s="8" t="s">
        <v>491</v>
      </c>
      <c r="I106" s="7" t="s">
        <v>492</v>
      </c>
      <c r="J106" s="8">
        <v>105</v>
      </c>
      <c r="K106" s="44"/>
    </row>
    <row r="107" spans="1:11">
      <c r="A107" s="8" t="s">
        <v>107</v>
      </c>
      <c r="B107" s="7" t="s">
        <v>756</v>
      </c>
      <c r="C107" s="7" t="s">
        <v>648</v>
      </c>
      <c r="D107" s="8" t="s">
        <v>494</v>
      </c>
      <c r="E107" s="8" t="s">
        <v>488</v>
      </c>
      <c r="F107" s="8" t="s">
        <v>489</v>
      </c>
      <c r="G107" s="7" t="s">
        <v>496</v>
      </c>
      <c r="H107" s="8" t="s">
        <v>491</v>
      </c>
      <c r="I107" s="7" t="s">
        <v>492</v>
      </c>
      <c r="J107" s="8">
        <v>106</v>
      </c>
      <c r="K107" s="44"/>
    </row>
    <row r="108" spans="1:11">
      <c r="A108" s="8" t="s">
        <v>757</v>
      </c>
      <c r="B108" s="7" t="s">
        <v>758</v>
      </c>
      <c r="C108" s="7" t="s">
        <v>648</v>
      </c>
      <c r="D108" s="8" t="s">
        <v>494</v>
      </c>
      <c r="E108" s="8" t="s">
        <v>488</v>
      </c>
      <c r="F108" s="8" t="s">
        <v>489</v>
      </c>
      <c r="G108" s="7" t="s">
        <v>496</v>
      </c>
      <c r="H108" s="8" t="s">
        <v>491</v>
      </c>
      <c r="I108" s="7" t="s">
        <v>492</v>
      </c>
      <c r="J108" s="8">
        <v>107</v>
      </c>
      <c r="K108" s="44"/>
    </row>
    <row r="109" spans="1:11">
      <c r="A109" s="8" t="s">
        <v>108</v>
      </c>
      <c r="B109" s="7" t="s">
        <v>759</v>
      </c>
      <c r="C109" s="7" t="s">
        <v>649</v>
      </c>
      <c r="D109" s="8" t="s">
        <v>487</v>
      </c>
      <c r="E109" s="8" t="s">
        <v>504</v>
      </c>
      <c r="F109" s="8" t="s">
        <v>489</v>
      </c>
      <c r="G109" s="7" t="s">
        <v>490</v>
      </c>
      <c r="H109" s="8" t="s">
        <v>491</v>
      </c>
      <c r="I109" s="7" t="s">
        <v>492</v>
      </c>
      <c r="J109" s="8">
        <v>108</v>
      </c>
      <c r="K109" s="44"/>
    </row>
    <row r="110" spans="1:11">
      <c r="A110" s="8" t="s">
        <v>109</v>
      </c>
      <c r="B110" s="7" t="s">
        <v>760</v>
      </c>
      <c r="C110" s="7" t="s">
        <v>648</v>
      </c>
      <c r="D110" s="8" t="s">
        <v>494</v>
      </c>
      <c r="E110" s="8" t="s">
        <v>488</v>
      </c>
      <c r="F110" s="8" t="s">
        <v>489</v>
      </c>
      <c r="G110" s="7" t="s">
        <v>496</v>
      </c>
      <c r="H110" s="8" t="s">
        <v>491</v>
      </c>
      <c r="I110" s="7" t="s">
        <v>492</v>
      </c>
      <c r="J110" s="8">
        <v>109</v>
      </c>
      <c r="K110" s="44"/>
    </row>
    <row r="111" spans="1:11">
      <c r="A111" s="8" t="s">
        <v>110</v>
      </c>
      <c r="B111" s="7" t="s">
        <v>761</v>
      </c>
      <c r="C111" s="7" t="s">
        <v>648</v>
      </c>
      <c r="D111" s="8" t="s">
        <v>494</v>
      </c>
      <c r="E111" s="8" t="s">
        <v>488</v>
      </c>
      <c r="F111" s="8" t="s">
        <v>489</v>
      </c>
      <c r="G111" s="7" t="s">
        <v>496</v>
      </c>
      <c r="H111" s="8" t="s">
        <v>491</v>
      </c>
      <c r="I111" s="7" t="s">
        <v>492</v>
      </c>
      <c r="J111" s="8">
        <v>110</v>
      </c>
      <c r="K111" s="44"/>
    </row>
    <row r="112" spans="1:11">
      <c r="A112" s="8" t="s">
        <v>762</v>
      </c>
      <c r="B112" s="7" t="s">
        <v>763</v>
      </c>
      <c r="C112" s="7" t="s">
        <v>648</v>
      </c>
      <c r="D112" s="8" t="s">
        <v>494</v>
      </c>
      <c r="E112" s="8" t="s">
        <v>488</v>
      </c>
      <c r="F112" s="8" t="s">
        <v>489</v>
      </c>
      <c r="G112" s="7" t="s">
        <v>496</v>
      </c>
      <c r="H112" s="8" t="s">
        <v>491</v>
      </c>
      <c r="I112" s="7" t="s">
        <v>492</v>
      </c>
      <c r="J112" s="8">
        <v>111</v>
      </c>
      <c r="K112" s="44"/>
    </row>
    <row r="113" spans="1:11">
      <c r="A113" s="8" t="s">
        <v>111</v>
      </c>
      <c r="B113" s="7" t="s">
        <v>764</v>
      </c>
      <c r="C113" s="7" t="s">
        <v>648</v>
      </c>
      <c r="D113" s="8" t="s">
        <v>494</v>
      </c>
      <c r="E113" s="8" t="s">
        <v>488</v>
      </c>
      <c r="F113" s="8" t="s">
        <v>489</v>
      </c>
      <c r="G113" s="7" t="s">
        <v>496</v>
      </c>
      <c r="H113" s="8" t="s">
        <v>491</v>
      </c>
      <c r="I113" s="7" t="s">
        <v>492</v>
      </c>
      <c r="J113" s="8">
        <v>112</v>
      </c>
      <c r="K113" s="44"/>
    </row>
    <row r="114" spans="1:11">
      <c r="A114" s="8" t="s">
        <v>112</v>
      </c>
      <c r="B114" s="7" t="s">
        <v>765</v>
      </c>
      <c r="C114" s="7" t="s">
        <v>648</v>
      </c>
      <c r="D114" s="8" t="s">
        <v>494</v>
      </c>
      <c r="E114" s="8" t="s">
        <v>488</v>
      </c>
      <c r="F114" s="8" t="s">
        <v>489</v>
      </c>
      <c r="G114" s="7" t="s">
        <v>496</v>
      </c>
      <c r="H114" s="8" t="s">
        <v>491</v>
      </c>
      <c r="I114" s="7" t="s">
        <v>492</v>
      </c>
      <c r="J114" s="8">
        <v>113</v>
      </c>
      <c r="K114" s="44"/>
    </row>
    <row r="115" spans="1:11">
      <c r="A115" s="8" t="s">
        <v>113</v>
      </c>
      <c r="B115" s="7" t="s">
        <v>766</v>
      </c>
      <c r="C115" s="7" t="s">
        <v>649</v>
      </c>
      <c r="D115" s="8" t="s">
        <v>487</v>
      </c>
      <c r="E115" s="8" t="s">
        <v>504</v>
      </c>
      <c r="F115" s="8" t="s">
        <v>489</v>
      </c>
      <c r="G115" s="7" t="s">
        <v>490</v>
      </c>
      <c r="H115" s="8" t="s">
        <v>491</v>
      </c>
      <c r="I115" s="7" t="s">
        <v>492</v>
      </c>
      <c r="J115" s="8">
        <v>114</v>
      </c>
      <c r="K115" s="44"/>
    </row>
    <row r="116" spans="1:11">
      <c r="A116" s="8" t="s">
        <v>767</v>
      </c>
      <c r="B116" s="7" t="s">
        <v>768</v>
      </c>
      <c r="C116" s="7" t="s">
        <v>648</v>
      </c>
      <c r="D116" s="8" t="s">
        <v>494</v>
      </c>
      <c r="E116" s="8" t="s">
        <v>488</v>
      </c>
      <c r="F116" s="8" t="s">
        <v>489</v>
      </c>
      <c r="G116" s="7" t="s">
        <v>496</v>
      </c>
      <c r="H116" s="8" t="s">
        <v>491</v>
      </c>
      <c r="I116" s="7" t="s">
        <v>492</v>
      </c>
      <c r="J116" s="8">
        <v>115</v>
      </c>
      <c r="K116" s="44"/>
    </row>
    <row r="117" spans="1:11">
      <c r="A117" s="8" t="s">
        <v>114</v>
      </c>
      <c r="B117" s="7" t="s">
        <v>769</v>
      </c>
      <c r="C117" s="7" t="s">
        <v>648</v>
      </c>
      <c r="D117" s="8" t="s">
        <v>494</v>
      </c>
      <c r="E117" s="8" t="s">
        <v>488</v>
      </c>
      <c r="F117" s="8" t="s">
        <v>489</v>
      </c>
      <c r="G117" s="7" t="s">
        <v>496</v>
      </c>
      <c r="H117" s="8" t="s">
        <v>491</v>
      </c>
      <c r="I117" s="7" t="s">
        <v>492</v>
      </c>
      <c r="J117" s="8">
        <v>116</v>
      </c>
      <c r="K117" s="44"/>
    </row>
    <row r="118" spans="1:11">
      <c r="A118" s="8" t="s">
        <v>115</v>
      </c>
      <c r="B118" s="7" t="s">
        <v>770</v>
      </c>
      <c r="C118" s="7" t="s">
        <v>648</v>
      </c>
      <c r="D118" s="8" t="s">
        <v>494</v>
      </c>
      <c r="E118" s="8" t="s">
        <v>488</v>
      </c>
      <c r="F118" s="8" t="s">
        <v>489</v>
      </c>
      <c r="G118" s="7" t="s">
        <v>496</v>
      </c>
      <c r="H118" s="8" t="s">
        <v>491</v>
      </c>
      <c r="I118" s="7" t="s">
        <v>492</v>
      </c>
      <c r="J118" s="8">
        <v>117</v>
      </c>
      <c r="K118" s="44"/>
    </row>
    <row r="119" spans="1:11">
      <c r="A119" s="8" t="s">
        <v>116</v>
      </c>
      <c r="B119" s="7" t="s">
        <v>771</v>
      </c>
      <c r="C119" s="7" t="s">
        <v>649</v>
      </c>
      <c r="D119" s="8" t="s">
        <v>487</v>
      </c>
      <c r="E119" s="8" t="s">
        <v>504</v>
      </c>
      <c r="F119" s="8" t="s">
        <v>489</v>
      </c>
      <c r="G119" s="7" t="s">
        <v>490</v>
      </c>
      <c r="H119" s="8" t="s">
        <v>491</v>
      </c>
      <c r="I119" s="7" t="s">
        <v>492</v>
      </c>
      <c r="J119" s="8">
        <v>118</v>
      </c>
      <c r="K119" s="44"/>
    </row>
    <row r="120" spans="1:11">
      <c r="A120" s="8" t="s">
        <v>772</v>
      </c>
      <c r="B120" s="7" t="s">
        <v>773</v>
      </c>
      <c r="C120" s="7" t="s">
        <v>648</v>
      </c>
      <c r="D120" s="8" t="s">
        <v>494</v>
      </c>
      <c r="E120" s="8" t="s">
        <v>504</v>
      </c>
      <c r="F120" s="8" t="s">
        <v>489</v>
      </c>
      <c r="G120" s="7" t="s">
        <v>496</v>
      </c>
      <c r="H120" s="8" t="s">
        <v>491</v>
      </c>
      <c r="I120" s="7" t="s">
        <v>492</v>
      </c>
      <c r="J120" s="8">
        <v>119</v>
      </c>
      <c r="K120" s="44"/>
    </row>
    <row r="121" spans="1:11">
      <c r="A121" s="8" t="s">
        <v>774</v>
      </c>
      <c r="B121" s="7" t="s">
        <v>775</v>
      </c>
      <c r="C121" s="7" t="s">
        <v>648</v>
      </c>
      <c r="D121" s="8" t="s">
        <v>494</v>
      </c>
      <c r="E121" s="8" t="s">
        <v>504</v>
      </c>
      <c r="F121" s="8" t="s">
        <v>489</v>
      </c>
      <c r="G121" s="7" t="s">
        <v>496</v>
      </c>
      <c r="H121" s="8" t="s">
        <v>491</v>
      </c>
      <c r="I121" s="7" t="s">
        <v>492</v>
      </c>
      <c r="J121" s="8">
        <v>120</v>
      </c>
      <c r="K121" s="44"/>
    </row>
    <row r="122" spans="1:11">
      <c r="A122" s="8" t="s">
        <v>117</v>
      </c>
      <c r="B122" s="7" t="s">
        <v>776</v>
      </c>
      <c r="C122" s="7" t="s">
        <v>648</v>
      </c>
      <c r="D122" s="8" t="s">
        <v>494</v>
      </c>
      <c r="E122" s="8" t="s">
        <v>488</v>
      </c>
      <c r="F122" s="8" t="s">
        <v>489</v>
      </c>
      <c r="G122" s="7" t="s">
        <v>496</v>
      </c>
      <c r="H122" s="8" t="s">
        <v>491</v>
      </c>
      <c r="I122" s="7" t="s">
        <v>492</v>
      </c>
      <c r="J122" s="8">
        <v>121</v>
      </c>
      <c r="K122" s="44"/>
    </row>
    <row r="123" spans="1:11">
      <c r="A123" s="8" t="s">
        <v>118</v>
      </c>
      <c r="B123" s="7" t="s">
        <v>777</v>
      </c>
      <c r="C123" s="7" t="s">
        <v>648</v>
      </c>
      <c r="D123" s="8" t="s">
        <v>494</v>
      </c>
      <c r="E123" s="8" t="s">
        <v>488</v>
      </c>
      <c r="F123" s="8" t="s">
        <v>489</v>
      </c>
      <c r="G123" s="7" t="s">
        <v>496</v>
      </c>
      <c r="H123" s="8" t="s">
        <v>491</v>
      </c>
      <c r="I123" s="7" t="s">
        <v>492</v>
      </c>
      <c r="J123" s="8">
        <v>122</v>
      </c>
      <c r="K123" s="44"/>
    </row>
    <row r="124" spans="1:11">
      <c r="A124" s="8" t="s">
        <v>119</v>
      </c>
      <c r="B124" s="7" t="s">
        <v>778</v>
      </c>
      <c r="C124" s="7" t="s">
        <v>649</v>
      </c>
      <c r="D124" s="8" t="s">
        <v>487</v>
      </c>
      <c r="E124" s="8" t="s">
        <v>495</v>
      </c>
      <c r="F124" s="8" t="s">
        <v>501</v>
      </c>
      <c r="G124" s="7" t="s">
        <v>490</v>
      </c>
      <c r="H124" s="8" t="s">
        <v>502</v>
      </c>
      <c r="I124" s="7" t="s">
        <v>492</v>
      </c>
      <c r="J124" s="8">
        <v>123</v>
      </c>
      <c r="K124" s="44"/>
    </row>
    <row r="125" spans="1:11">
      <c r="A125" s="8" t="s">
        <v>120</v>
      </c>
      <c r="B125" s="7" t="s">
        <v>779</v>
      </c>
      <c r="C125" s="7" t="s">
        <v>648</v>
      </c>
      <c r="D125" s="8" t="s">
        <v>494</v>
      </c>
      <c r="E125" s="8" t="s">
        <v>488</v>
      </c>
      <c r="F125" s="8" t="s">
        <v>489</v>
      </c>
      <c r="G125" s="7" t="s">
        <v>496</v>
      </c>
      <c r="H125" s="8" t="s">
        <v>491</v>
      </c>
      <c r="I125" s="7" t="s">
        <v>492</v>
      </c>
      <c r="J125" s="8">
        <v>124</v>
      </c>
      <c r="K125" s="44"/>
    </row>
    <row r="126" spans="1:11">
      <c r="A126" s="8" t="s">
        <v>121</v>
      </c>
      <c r="B126" s="7" t="s">
        <v>780</v>
      </c>
      <c r="C126" s="7" t="s">
        <v>781</v>
      </c>
      <c r="D126" s="8" t="s">
        <v>487</v>
      </c>
      <c r="E126" s="8" t="s">
        <v>615</v>
      </c>
      <c r="F126" s="8" t="s">
        <v>489</v>
      </c>
      <c r="G126" s="7" t="s">
        <v>490</v>
      </c>
      <c r="H126" s="8" t="s">
        <v>491</v>
      </c>
      <c r="I126" s="7" t="s">
        <v>492</v>
      </c>
      <c r="J126" s="8">
        <v>125</v>
      </c>
      <c r="K126" s="44"/>
    </row>
    <row r="127" spans="1:11">
      <c r="A127" s="8" t="s">
        <v>782</v>
      </c>
      <c r="B127" s="7" t="s">
        <v>783</v>
      </c>
      <c r="C127" s="7" t="s">
        <v>784</v>
      </c>
      <c r="D127" s="8" t="s">
        <v>487</v>
      </c>
      <c r="E127" s="8" t="s">
        <v>495</v>
      </c>
      <c r="F127" s="8" t="s">
        <v>501</v>
      </c>
      <c r="G127" s="7" t="s">
        <v>490</v>
      </c>
      <c r="H127" s="8" t="s">
        <v>785</v>
      </c>
      <c r="I127" s="7" t="s">
        <v>492</v>
      </c>
      <c r="J127" s="8">
        <v>126</v>
      </c>
      <c r="K127" s="44"/>
    </row>
    <row r="128" spans="1:11">
      <c r="A128" s="8" t="s">
        <v>786</v>
      </c>
      <c r="B128" s="7" t="s">
        <v>787</v>
      </c>
      <c r="C128" s="7" t="s">
        <v>784</v>
      </c>
      <c r="D128" s="8" t="s">
        <v>487</v>
      </c>
      <c r="E128" s="8" t="s">
        <v>495</v>
      </c>
      <c r="F128" s="8" t="s">
        <v>501</v>
      </c>
      <c r="G128" s="7" t="s">
        <v>490</v>
      </c>
      <c r="H128" s="8" t="s">
        <v>785</v>
      </c>
      <c r="I128" s="7" t="s">
        <v>492</v>
      </c>
      <c r="J128" s="8">
        <v>127</v>
      </c>
      <c r="K128" s="44"/>
    </row>
    <row r="129" spans="1:11">
      <c r="A129" s="8" t="s">
        <v>788</v>
      </c>
      <c r="B129" s="7" t="s">
        <v>789</v>
      </c>
      <c r="C129" s="7" t="s">
        <v>648</v>
      </c>
      <c r="D129" s="8" t="s">
        <v>494</v>
      </c>
      <c r="E129" s="8" t="s">
        <v>495</v>
      </c>
      <c r="F129" s="8" t="s">
        <v>489</v>
      </c>
      <c r="G129" s="7" t="s">
        <v>496</v>
      </c>
      <c r="H129" s="8" t="s">
        <v>491</v>
      </c>
      <c r="I129" s="7" t="s">
        <v>492</v>
      </c>
      <c r="J129" s="8">
        <v>128</v>
      </c>
      <c r="K129" s="44"/>
    </row>
    <row r="130" spans="1:11">
      <c r="A130" s="8" t="s">
        <v>122</v>
      </c>
      <c r="B130" s="7" t="s">
        <v>790</v>
      </c>
      <c r="C130" s="7" t="s">
        <v>648</v>
      </c>
      <c r="D130" s="8" t="s">
        <v>494</v>
      </c>
      <c r="E130" s="8" t="s">
        <v>488</v>
      </c>
      <c r="F130" s="8" t="s">
        <v>489</v>
      </c>
      <c r="G130" s="7" t="s">
        <v>496</v>
      </c>
      <c r="H130" s="8" t="s">
        <v>491</v>
      </c>
      <c r="I130" s="7" t="s">
        <v>492</v>
      </c>
      <c r="J130" s="8">
        <v>129</v>
      </c>
      <c r="K130" s="44"/>
    </row>
    <row r="131" spans="1:11">
      <c r="A131" s="8" t="s">
        <v>123</v>
      </c>
      <c r="B131" s="7" t="s">
        <v>791</v>
      </c>
      <c r="C131" s="7" t="s">
        <v>648</v>
      </c>
      <c r="D131" s="8" t="s">
        <v>494</v>
      </c>
      <c r="E131" s="8" t="s">
        <v>488</v>
      </c>
      <c r="F131" s="8" t="s">
        <v>489</v>
      </c>
      <c r="G131" s="7" t="s">
        <v>496</v>
      </c>
      <c r="H131" s="8" t="s">
        <v>491</v>
      </c>
      <c r="I131" s="7" t="s">
        <v>492</v>
      </c>
      <c r="J131" s="8">
        <v>130</v>
      </c>
      <c r="K131" s="44"/>
    </row>
    <row r="132" spans="1:11">
      <c r="A132" s="8" t="s">
        <v>124</v>
      </c>
      <c r="B132" s="7" t="s">
        <v>792</v>
      </c>
      <c r="C132" s="7" t="s">
        <v>648</v>
      </c>
      <c r="D132" s="8" t="s">
        <v>494</v>
      </c>
      <c r="E132" s="8" t="s">
        <v>488</v>
      </c>
      <c r="F132" s="8" t="s">
        <v>489</v>
      </c>
      <c r="G132" s="7" t="s">
        <v>496</v>
      </c>
      <c r="H132" s="8" t="s">
        <v>491</v>
      </c>
      <c r="I132" s="7" t="s">
        <v>492</v>
      </c>
      <c r="J132" s="8">
        <v>131</v>
      </c>
      <c r="K132" s="44"/>
    </row>
    <row r="133" spans="1:11">
      <c r="A133" s="8" t="s">
        <v>125</v>
      </c>
      <c r="B133" s="7" t="s">
        <v>793</v>
      </c>
      <c r="C133" s="7" t="s">
        <v>648</v>
      </c>
      <c r="D133" s="8" t="s">
        <v>494</v>
      </c>
      <c r="E133" s="8" t="s">
        <v>488</v>
      </c>
      <c r="F133" s="8" t="s">
        <v>489</v>
      </c>
      <c r="G133" s="7" t="s">
        <v>496</v>
      </c>
      <c r="H133" s="8" t="s">
        <v>491</v>
      </c>
      <c r="I133" s="7" t="s">
        <v>492</v>
      </c>
      <c r="J133" s="8">
        <v>132</v>
      </c>
      <c r="K133" s="44"/>
    </row>
    <row r="134" spans="1:11">
      <c r="A134" s="8" t="s">
        <v>794</v>
      </c>
      <c r="B134" s="7" t="s">
        <v>795</v>
      </c>
      <c r="C134" s="7" t="s">
        <v>648</v>
      </c>
      <c r="D134" s="8" t="s">
        <v>494</v>
      </c>
      <c r="E134" s="8" t="s">
        <v>488</v>
      </c>
      <c r="F134" s="8" t="s">
        <v>489</v>
      </c>
      <c r="G134" s="7" t="s">
        <v>496</v>
      </c>
      <c r="H134" s="8" t="s">
        <v>491</v>
      </c>
      <c r="I134" s="7" t="s">
        <v>492</v>
      </c>
      <c r="J134" s="8">
        <v>133</v>
      </c>
      <c r="K134" s="44"/>
    </row>
    <row r="135" spans="1:11">
      <c r="A135" s="8" t="s">
        <v>796</v>
      </c>
      <c r="B135" s="7" t="s">
        <v>797</v>
      </c>
      <c r="C135" s="7" t="s">
        <v>648</v>
      </c>
      <c r="D135" s="8" t="s">
        <v>494</v>
      </c>
      <c r="E135" s="8" t="s">
        <v>488</v>
      </c>
      <c r="F135" s="8" t="s">
        <v>489</v>
      </c>
      <c r="G135" s="7" t="s">
        <v>496</v>
      </c>
      <c r="H135" s="8" t="s">
        <v>491</v>
      </c>
      <c r="I135" s="7" t="s">
        <v>492</v>
      </c>
      <c r="J135" s="8">
        <v>134</v>
      </c>
      <c r="K135" s="44"/>
    </row>
    <row r="136" spans="1:11">
      <c r="A136" s="8" t="s">
        <v>126</v>
      </c>
      <c r="B136" s="7" t="s">
        <v>798</v>
      </c>
      <c r="C136" s="7" t="s">
        <v>648</v>
      </c>
      <c r="D136" s="8" t="s">
        <v>494</v>
      </c>
      <c r="E136" s="8" t="s">
        <v>488</v>
      </c>
      <c r="F136" s="8" t="s">
        <v>489</v>
      </c>
      <c r="G136" s="7" t="s">
        <v>496</v>
      </c>
      <c r="H136" s="8" t="s">
        <v>491</v>
      </c>
      <c r="I136" s="7" t="s">
        <v>492</v>
      </c>
      <c r="J136" s="8">
        <v>135</v>
      </c>
      <c r="K136" s="44"/>
    </row>
    <row r="137" spans="1:11">
      <c r="A137" s="8" t="s">
        <v>127</v>
      </c>
      <c r="B137" s="7" t="s">
        <v>521</v>
      </c>
      <c r="C137" s="7" t="s">
        <v>648</v>
      </c>
      <c r="D137" s="8" t="s">
        <v>494</v>
      </c>
      <c r="E137" s="8" t="s">
        <v>488</v>
      </c>
      <c r="F137" s="8" t="s">
        <v>489</v>
      </c>
      <c r="G137" s="7" t="s">
        <v>496</v>
      </c>
      <c r="H137" s="8" t="s">
        <v>491</v>
      </c>
      <c r="I137" s="7" t="s">
        <v>492</v>
      </c>
      <c r="J137" s="8">
        <v>136</v>
      </c>
      <c r="K137" s="44"/>
    </row>
    <row r="138" spans="1:11">
      <c r="A138" s="8" t="s">
        <v>128</v>
      </c>
      <c r="B138" s="7" t="s">
        <v>522</v>
      </c>
      <c r="C138" s="7" t="s">
        <v>648</v>
      </c>
      <c r="D138" s="8" t="s">
        <v>494</v>
      </c>
      <c r="E138" s="8" t="s">
        <v>488</v>
      </c>
      <c r="F138" s="8" t="s">
        <v>489</v>
      </c>
      <c r="G138" s="7" t="s">
        <v>496</v>
      </c>
      <c r="H138" s="8" t="s">
        <v>491</v>
      </c>
      <c r="I138" s="7" t="s">
        <v>492</v>
      </c>
      <c r="J138" s="8">
        <v>137</v>
      </c>
      <c r="K138" s="44"/>
    </row>
    <row r="139" spans="1:11">
      <c r="A139" s="8" t="s">
        <v>129</v>
      </c>
      <c r="B139" s="7" t="s">
        <v>523</v>
      </c>
      <c r="C139" s="7" t="s">
        <v>648</v>
      </c>
      <c r="D139" s="8" t="s">
        <v>494</v>
      </c>
      <c r="E139" s="8" t="s">
        <v>488</v>
      </c>
      <c r="F139" s="8" t="s">
        <v>489</v>
      </c>
      <c r="G139" s="7" t="s">
        <v>496</v>
      </c>
      <c r="H139" s="8" t="s">
        <v>491</v>
      </c>
      <c r="I139" s="7" t="s">
        <v>492</v>
      </c>
      <c r="J139" s="8">
        <v>138</v>
      </c>
      <c r="K139" s="44"/>
    </row>
    <row r="140" spans="1:11">
      <c r="A140" s="8" t="s">
        <v>130</v>
      </c>
      <c r="B140" s="7" t="s">
        <v>799</v>
      </c>
      <c r="C140" s="7" t="s">
        <v>649</v>
      </c>
      <c r="D140" s="8" t="s">
        <v>487</v>
      </c>
      <c r="E140" s="8" t="s">
        <v>488</v>
      </c>
      <c r="F140" s="8" t="s">
        <v>489</v>
      </c>
      <c r="G140" s="7" t="s">
        <v>490</v>
      </c>
      <c r="H140" s="8" t="s">
        <v>491</v>
      </c>
      <c r="I140" s="7" t="s">
        <v>492</v>
      </c>
      <c r="J140" s="8">
        <v>139</v>
      </c>
      <c r="K140" s="44"/>
    </row>
    <row r="141" spans="1:11">
      <c r="A141" s="8" t="s">
        <v>131</v>
      </c>
      <c r="B141" s="7" t="s">
        <v>800</v>
      </c>
      <c r="C141" s="7" t="s">
        <v>649</v>
      </c>
      <c r="D141" s="8" t="s">
        <v>487</v>
      </c>
      <c r="E141" s="8" t="s">
        <v>488</v>
      </c>
      <c r="F141" s="8" t="s">
        <v>489</v>
      </c>
      <c r="G141" s="7" t="s">
        <v>490</v>
      </c>
      <c r="H141" s="8" t="s">
        <v>491</v>
      </c>
      <c r="I141" s="7" t="s">
        <v>492</v>
      </c>
      <c r="J141" s="8">
        <v>140</v>
      </c>
      <c r="K141" s="44"/>
    </row>
    <row r="142" spans="1:11">
      <c r="A142" s="8" t="s">
        <v>801</v>
      </c>
      <c r="B142" s="7" t="s">
        <v>802</v>
      </c>
      <c r="C142" s="7" t="s">
        <v>803</v>
      </c>
      <c r="D142" s="8" t="s">
        <v>635</v>
      </c>
      <c r="E142" s="8" t="s">
        <v>504</v>
      </c>
      <c r="F142" s="8" t="s">
        <v>489</v>
      </c>
      <c r="G142" s="7" t="s">
        <v>636</v>
      </c>
      <c r="H142" s="8" t="s">
        <v>491</v>
      </c>
      <c r="I142" s="7" t="s">
        <v>492</v>
      </c>
      <c r="J142" s="8">
        <v>141</v>
      </c>
      <c r="K142" s="44"/>
    </row>
    <row r="143" spans="1:11">
      <c r="A143" s="8" t="s">
        <v>801</v>
      </c>
      <c r="B143" s="7" t="s">
        <v>802</v>
      </c>
      <c r="C143" s="7" t="s">
        <v>649</v>
      </c>
      <c r="D143" s="8" t="s">
        <v>487</v>
      </c>
      <c r="E143" s="8" t="s">
        <v>488</v>
      </c>
      <c r="F143" s="8" t="s">
        <v>489</v>
      </c>
      <c r="G143" s="7" t="s">
        <v>490</v>
      </c>
      <c r="H143" s="8" t="s">
        <v>491</v>
      </c>
      <c r="I143" s="7" t="s">
        <v>492</v>
      </c>
      <c r="J143" s="8">
        <v>142</v>
      </c>
      <c r="K143" s="44"/>
    </row>
    <row r="144" spans="1:11">
      <c r="A144" s="8" t="s">
        <v>132</v>
      </c>
      <c r="B144" s="7" t="s">
        <v>804</v>
      </c>
      <c r="C144" s="7" t="s">
        <v>649</v>
      </c>
      <c r="D144" s="8" t="s">
        <v>487</v>
      </c>
      <c r="E144" s="8" t="s">
        <v>488</v>
      </c>
      <c r="F144" s="8" t="s">
        <v>489</v>
      </c>
      <c r="G144" s="7" t="s">
        <v>490</v>
      </c>
      <c r="H144" s="8" t="s">
        <v>491</v>
      </c>
      <c r="I144" s="7" t="s">
        <v>492</v>
      </c>
      <c r="J144" s="8">
        <v>143</v>
      </c>
      <c r="K144" s="44"/>
    </row>
    <row r="145" spans="1:11">
      <c r="A145" s="8" t="s">
        <v>133</v>
      </c>
      <c r="B145" s="7" t="s">
        <v>805</v>
      </c>
      <c r="C145" s="7" t="s">
        <v>806</v>
      </c>
      <c r="D145" s="8" t="s">
        <v>487</v>
      </c>
      <c r="E145" s="8" t="s">
        <v>488</v>
      </c>
      <c r="F145" s="8" t="s">
        <v>489</v>
      </c>
      <c r="G145" s="7" t="s">
        <v>490</v>
      </c>
      <c r="H145" s="8" t="s">
        <v>491</v>
      </c>
      <c r="I145" s="7" t="s">
        <v>492</v>
      </c>
      <c r="J145" s="8">
        <v>144</v>
      </c>
      <c r="K145" s="44"/>
    </row>
    <row r="146" spans="1:11">
      <c r="A146" s="8" t="s">
        <v>134</v>
      </c>
      <c r="B146" s="7" t="s">
        <v>524</v>
      </c>
      <c r="C146" s="7" t="s">
        <v>648</v>
      </c>
      <c r="D146" s="8" t="s">
        <v>494</v>
      </c>
      <c r="E146" s="8" t="s">
        <v>488</v>
      </c>
      <c r="F146" s="8" t="s">
        <v>489</v>
      </c>
      <c r="G146" s="7" t="s">
        <v>496</v>
      </c>
      <c r="H146" s="8" t="s">
        <v>491</v>
      </c>
      <c r="I146" s="7" t="s">
        <v>492</v>
      </c>
      <c r="J146" s="8">
        <v>145</v>
      </c>
      <c r="K146" s="44"/>
    </row>
    <row r="147" spans="1:11">
      <c r="A147" s="8" t="s">
        <v>135</v>
      </c>
      <c r="B147" s="7" t="s">
        <v>807</v>
      </c>
      <c r="C147" s="7" t="s">
        <v>808</v>
      </c>
      <c r="D147" s="8" t="s">
        <v>487</v>
      </c>
      <c r="E147" s="8" t="s">
        <v>488</v>
      </c>
      <c r="F147" s="8" t="s">
        <v>489</v>
      </c>
      <c r="G147" s="7" t="s">
        <v>490</v>
      </c>
      <c r="H147" s="8" t="s">
        <v>491</v>
      </c>
      <c r="I147" s="7" t="s">
        <v>492</v>
      </c>
      <c r="J147" s="8">
        <v>146</v>
      </c>
      <c r="K147" s="44"/>
    </row>
    <row r="148" spans="1:11">
      <c r="A148" s="8" t="s">
        <v>136</v>
      </c>
      <c r="B148" s="7" t="s">
        <v>809</v>
      </c>
      <c r="C148" s="7" t="s">
        <v>648</v>
      </c>
      <c r="D148" s="8" t="s">
        <v>494</v>
      </c>
      <c r="E148" s="8" t="s">
        <v>488</v>
      </c>
      <c r="F148" s="8" t="s">
        <v>489</v>
      </c>
      <c r="G148" s="7" t="s">
        <v>496</v>
      </c>
      <c r="H148" s="8" t="s">
        <v>491</v>
      </c>
      <c r="I148" s="7" t="s">
        <v>492</v>
      </c>
      <c r="J148" s="8">
        <v>147</v>
      </c>
      <c r="K148" s="44"/>
    </row>
    <row r="149" spans="1:11">
      <c r="A149" s="8" t="s">
        <v>137</v>
      </c>
      <c r="B149" s="7" t="s">
        <v>527</v>
      </c>
      <c r="C149" s="7" t="s">
        <v>648</v>
      </c>
      <c r="D149" s="8" t="s">
        <v>494</v>
      </c>
      <c r="E149" s="8" t="s">
        <v>488</v>
      </c>
      <c r="F149" s="8" t="s">
        <v>489</v>
      </c>
      <c r="G149" s="7" t="s">
        <v>496</v>
      </c>
      <c r="H149" s="8" t="s">
        <v>491</v>
      </c>
      <c r="I149" s="7" t="s">
        <v>492</v>
      </c>
      <c r="J149" s="8">
        <v>148</v>
      </c>
      <c r="K149" s="44"/>
    </row>
    <row r="150" spans="1:11">
      <c r="A150" s="8" t="s">
        <v>528</v>
      </c>
      <c r="B150" s="7" t="s">
        <v>529</v>
      </c>
      <c r="C150" s="7" t="s">
        <v>648</v>
      </c>
      <c r="D150" s="8" t="s">
        <v>494</v>
      </c>
      <c r="E150" s="8" t="s">
        <v>488</v>
      </c>
      <c r="F150" s="8" t="s">
        <v>489</v>
      </c>
      <c r="G150" s="7" t="s">
        <v>496</v>
      </c>
      <c r="H150" s="8" t="s">
        <v>491</v>
      </c>
      <c r="I150" s="7" t="s">
        <v>492</v>
      </c>
      <c r="J150" s="8">
        <v>149</v>
      </c>
      <c r="K150" s="44"/>
    </row>
    <row r="151" spans="1:11">
      <c r="A151" s="8" t="s">
        <v>138</v>
      </c>
      <c r="B151" s="7" t="s">
        <v>530</v>
      </c>
      <c r="C151" s="7" t="s">
        <v>648</v>
      </c>
      <c r="D151" s="8" t="s">
        <v>494</v>
      </c>
      <c r="E151" s="8" t="s">
        <v>488</v>
      </c>
      <c r="F151" s="8" t="s">
        <v>489</v>
      </c>
      <c r="G151" s="7" t="s">
        <v>496</v>
      </c>
      <c r="H151" s="8" t="s">
        <v>491</v>
      </c>
      <c r="I151" s="7" t="s">
        <v>492</v>
      </c>
      <c r="J151" s="8">
        <v>150</v>
      </c>
      <c r="K151" s="44"/>
    </row>
    <row r="152" spans="1:11">
      <c r="A152" s="8" t="s">
        <v>810</v>
      </c>
      <c r="B152" s="7" t="s">
        <v>811</v>
      </c>
      <c r="C152" s="7" t="s">
        <v>648</v>
      </c>
      <c r="D152" s="8" t="s">
        <v>494</v>
      </c>
      <c r="E152" s="8" t="s">
        <v>488</v>
      </c>
      <c r="F152" s="8" t="s">
        <v>489</v>
      </c>
      <c r="G152" s="7" t="s">
        <v>496</v>
      </c>
      <c r="H152" s="8" t="s">
        <v>491</v>
      </c>
      <c r="I152" s="7" t="s">
        <v>492</v>
      </c>
      <c r="J152" s="8">
        <v>151</v>
      </c>
      <c r="K152" s="44"/>
    </row>
    <row r="153" spans="1:11">
      <c r="A153" s="8" t="s">
        <v>139</v>
      </c>
      <c r="B153" s="7" t="s">
        <v>812</v>
      </c>
      <c r="C153" s="7" t="s">
        <v>813</v>
      </c>
      <c r="D153" s="8" t="s">
        <v>487</v>
      </c>
      <c r="E153" s="8" t="s">
        <v>488</v>
      </c>
      <c r="F153" s="8" t="s">
        <v>489</v>
      </c>
      <c r="G153" s="7" t="s">
        <v>490</v>
      </c>
      <c r="H153" s="8" t="s">
        <v>491</v>
      </c>
      <c r="I153" s="7" t="s">
        <v>492</v>
      </c>
      <c r="J153" s="8">
        <v>152</v>
      </c>
      <c r="K153" s="44"/>
    </row>
    <row r="154" spans="1:11">
      <c r="A154" s="8" t="s">
        <v>531</v>
      </c>
      <c r="B154" s="7" t="s">
        <v>532</v>
      </c>
      <c r="C154" s="7" t="s">
        <v>648</v>
      </c>
      <c r="D154" s="8" t="s">
        <v>494</v>
      </c>
      <c r="E154" s="8" t="s">
        <v>499</v>
      </c>
      <c r="F154" s="8" t="s">
        <v>489</v>
      </c>
      <c r="G154" s="7" t="s">
        <v>496</v>
      </c>
      <c r="H154" s="8" t="s">
        <v>491</v>
      </c>
      <c r="I154" s="7" t="s">
        <v>492</v>
      </c>
      <c r="J154" s="8">
        <v>153</v>
      </c>
      <c r="K154" s="44"/>
    </row>
    <row r="155" spans="1:11">
      <c r="A155" s="8" t="s">
        <v>140</v>
      </c>
      <c r="B155" s="7" t="s">
        <v>814</v>
      </c>
      <c r="C155" s="7" t="s">
        <v>648</v>
      </c>
      <c r="D155" s="8" t="s">
        <v>494</v>
      </c>
      <c r="E155" s="8" t="s">
        <v>488</v>
      </c>
      <c r="F155" s="8" t="s">
        <v>489</v>
      </c>
      <c r="G155" s="7" t="s">
        <v>496</v>
      </c>
      <c r="H155" s="8" t="s">
        <v>491</v>
      </c>
      <c r="I155" s="7" t="s">
        <v>492</v>
      </c>
      <c r="J155" s="8">
        <v>154</v>
      </c>
      <c r="K155" s="44"/>
    </row>
    <row r="156" spans="1:11">
      <c r="A156" s="8" t="s">
        <v>141</v>
      </c>
      <c r="B156" s="7" t="s">
        <v>815</v>
      </c>
      <c r="C156" s="7" t="s">
        <v>649</v>
      </c>
      <c r="D156" s="8" t="s">
        <v>487</v>
      </c>
      <c r="E156" s="8" t="s">
        <v>504</v>
      </c>
      <c r="F156" s="8" t="s">
        <v>489</v>
      </c>
      <c r="G156" s="7" t="s">
        <v>490</v>
      </c>
      <c r="H156" s="8" t="s">
        <v>491</v>
      </c>
      <c r="I156" s="7" t="s">
        <v>492</v>
      </c>
      <c r="J156" s="8">
        <v>155</v>
      </c>
      <c r="K156" s="44"/>
    </row>
    <row r="157" spans="1:11">
      <c r="A157" s="8" t="s">
        <v>142</v>
      </c>
      <c r="B157" s="7" t="s">
        <v>816</v>
      </c>
      <c r="C157" s="7" t="s">
        <v>649</v>
      </c>
      <c r="D157" s="8" t="s">
        <v>487</v>
      </c>
      <c r="E157" s="8" t="s">
        <v>504</v>
      </c>
      <c r="F157" s="8" t="s">
        <v>489</v>
      </c>
      <c r="G157" s="7" t="s">
        <v>490</v>
      </c>
      <c r="H157" s="8" t="s">
        <v>491</v>
      </c>
      <c r="I157" s="7" t="s">
        <v>492</v>
      </c>
      <c r="J157" s="8">
        <v>156</v>
      </c>
      <c r="K157" s="44"/>
    </row>
    <row r="158" spans="1:11">
      <c r="A158" s="8" t="s">
        <v>143</v>
      </c>
      <c r="B158" s="7" t="s">
        <v>817</v>
      </c>
      <c r="C158" s="7" t="s">
        <v>818</v>
      </c>
      <c r="D158" s="8" t="s">
        <v>487</v>
      </c>
      <c r="E158" s="8" t="s">
        <v>504</v>
      </c>
      <c r="F158" s="8" t="s">
        <v>489</v>
      </c>
      <c r="G158" s="7" t="s">
        <v>490</v>
      </c>
      <c r="H158" s="8" t="s">
        <v>491</v>
      </c>
      <c r="I158" s="7" t="s">
        <v>492</v>
      </c>
      <c r="J158" s="8">
        <v>157</v>
      </c>
      <c r="K158" s="44"/>
    </row>
    <row r="159" spans="1:11">
      <c r="A159" s="8" t="s">
        <v>144</v>
      </c>
      <c r="B159" s="7" t="s">
        <v>819</v>
      </c>
      <c r="C159" s="7" t="s">
        <v>649</v>
      </c>
      <c r="D159" s="8" t="s">
        <v>487</v>
      </c>
      <c r="E159" s="8" t="s">
        <v>504</v>
      </c>
      <c r="F159" s="8" t="s">
        <v>489</v>
      </c>
      <c r="G159" s="7" t="s">
        <v>490</v>
      </c>
      <c r="H159" s="8" t="s">
        <v>491</v>
      </c>
      <c r="I159" s="7" t="s">
        <v>492</v>
      </c>
      <c r="J159" s="8">
        <v>158</v>
      </c>
      <c r="K159" s="44"/>
    </row>
    <row r="160" spans="1:11">
      <c r="A160" s="8" t="s">
        <v>145</v>
      </c>
      <c r="B160" s="7" t="s">
        <v>820</v>
      </c>
      <c r="C160" s="7" t="s">
        <v>821</v>
      </c>
      <c r="D160" s="8" t="s">
        <v>487</v>
      </c>
      <c r="E160" s="8" t="s">
        <v>504</v>
      </c>
      <c r="F160" s="8" t="s">
        <v>489</v>
      </c>
      <c r="G160" s="7" t="s">
        <v>490</v>
      </c>
      <c r="H160" s="8" t="s">
        <v>491</v>
      </c>
      <c r="I160" s="7" t="s">
        <v>492</v>
      </c>
      <c r="J160" s="8">
        <v>159</v>
      </c>
      <c r="K160" s="44"/>
    </row>
    <row r="161" spans="1:11">
      <c r="A161" s="8" t="s">
        <v>146</v>
      </c>
      <c r="B161" s="7" t="s">
        <v>533</v>
      </c>
      <c r="C161" s="7" t="s">
        <v>649</v>
      </c>
      <c r="D161" s="8" t="s">
        <v>487</v>
      </c>
      <c r="E161" s="8" t="s">
        <v>504</v>
      </c>
      <c r="F161" s="8" t="s">
        <v>489</v>
      </c>
      <c r="G161" s="7" t="s">
        <v>490</v>
      </c>
      <c r="H161" s="8" t="s">
        <v>491</v>
      </c>
      <c r="I161" s="7" t="s">
        <v>492</v>
      </c>
      <c r="J161" s="8">
        <v>160</v>
      </c>
      <c r="K161" s="44"/>
    </row>
    <row r="162" spans="1:11">
      <c r="A162" s="8" t="s">
        <v>147</v>
      </c>
      <c r="B162" s="7" t="s">
        <v>822</v>
      </c>
      <c r="C162" s="7" t="s">
        <v>649</v>
      </c>
      <c r="D162" s="8" t="s">
        <v>487</v>
      </c>
      <c r="E162" s="8" t="s">
        <v>504</v>
      </c>
      <c r="F162" s="8" t="s">
        <v>489</v>
      </c>
      <c r="G162" s="7" t="s">
        <v>490</v>
      </c>
      <c r="H162" s="8" t="s">
        <v>491</v>
      </c>
      <c r="I162" s="7" t="s">
        <v>492</v>
      </c>
      <c r="J162" s="8">
        <v>161</v>
      </c>
      <c r="K162" s="44"/>
    </row>
    <row r="163" spans="1:11">
      <c r="A163" s="8" t="s">
        <v>148</v>
      </c>
      <c r="B163" s="7" t="s">
        <v>823</v>
      </c>
      <c r="C163" s="7" t="s">
        <v>649</v>
      </c>
      <c r="D163" s="8" t="s">
        <v>487</v>
      </c>
      <c r="E163" s="8" t="s">
        <v>504</v>
      </c>
      <c r="F163" s="8" t="s">
        <v>489</v>
      </c>
      <c r="G163" s="7" t="s">
        <v>490</v>
      </c>
      <c r="H163" s="8" t="s">
        <v>491</v>
      </c>
      <c r="I163" s="7" t="s">
        <v>492</v>
      </c>
      <c r="J163" s="8">
        <v>162</v>
      </c>
      <c r="K163" s="44"/>
    </row>
    <row r="164" spans="1:11">
      <c r="A164" s="8" t="s">
        <v>149</v>
      </c>
      <c r="B164" s="7" t="s">
        <v>534</v>
      </c>
      <c r="C164" s="7" t="s">
        <v>649</v>
      </c>
      <c r="D164" s="8" t="s">
        <v>487</v>
      </c>
      <c r="E164" s="8" t="s">
        <v>504</v>
      </c>
      <c r="F164" s="8" t="s">
        <v>489</v>
      </c>
      <c r="G164" s="7" t="s">
        <v>490</v>
      </c>
      <c r="H164" s="8" t="s">
        <v>491</v>
      </c>
      <c r="I164" s="7" t="s">
        <v>492</v>
      </c>
      <c r="J164" s="8">
        <v>163</v>
      </c>
      <c r="K164" s="44"/>
    </row>
    <row r="165" spans="1:11">
      <c r="A165" s="8" t="s">
        <v>150</v>
      </c>
      <c r="B165" s="7" t="s">
        <v>535</v>
      </c>
      <c r="C165" s="7" t="s">
        <v>824</v>
      </c>
      <c r="D165" s="8" t="s">
        <v>487</v>
      </c>
      <c r="E165" s="8" t="s">
        <v>504</v>
      </c>
      <c r="F165" s="8" t="s">
        <v>489</v>
      </c>
      <c r="G165" s="7" t="s">
        <v>490</v>
      </c>
      <c r="H165" s="8" t="s">
        <v>491</v>
      </c>
      <c r="I165" s="7" t="s">
        <v>492</v>
      </c>
      <c r="J165" s="8">
        <v>164</v>
      </c>
      <c r="K165" s="44"/>
    </row>
    <row r="166" spans="1:11">
      <c r="A166" s="8" t="s">
        <v>151</v>
      </c>
      <c r="B166" s="7" t="s">
        <v>825</v>
      </c>
      <c r="C166" s="7" t="s">
        <v>826</v>
      </c>
      <c r="D166" s="8" t="s">
        <v>487</v>
      </c>
      <c r="E166" s="8" t="s">
        <v>504</v>
      </c>
      <c r="F166" s="8" t="s">
        <v>489</v>
      </c>
      <c r="G166" s="7" t="s">
        <v>490</v>
      </c>
      <c r="H166" s="8" t="s">
        <v>491</v>
      </c>
      <c r="I166" s="7" t="s">
        <v>492</v>
      </c>
      <c r="J166" s="8">
        <v>165</v>
      </c>
      <c r="K166" s="44"/>
    </row>
    <row r="167" spans="1:11">
      <c r="A167" s="8" t="s">
        <v>152</v>
      </c>
      <c r="B167" s="7" t="s">
        <v>827</v>
      </c>
      <c r="C167" s="7" t="s">
        <v>648</v>
      </c>
      <c r="D167" s="8" t="s">
        <v>494</v>
      </c>
      <c r="E167" s="8" t="s">
        <v>488</v>
      </c>
      <c r="F167" s="8" t="s">
        <v>489</v>
      </c>
      <c r="G167" s="7" t="s">
        <v>496</v>
      </c>
      <c r="H167" s="8" t="s">
        <v>491</v>
      </c>
      <c r="I167" s="7" t="s">
        <v>492</v>
      </c>
      <c r="J167" s="8">
        <v>166</v>
      </c>
      <c r="K167" s="44"/>
    </row>
    <row r="168" spans="1:11">
      <c r="A168" s="8" t="s">
        <v>153</v>
      </c>
      <c r="B168" s="7" t="s">
        <v>828</v>
      </c>
      <c r="C168" s="7" t="s">
        <v>829</v>
      </c>
      <c r="D168" s="8" t="s">
        <v>487</v>
      </c>
      <c r="E168" s="8" t="s">
        <v>495</v>
      </c>
      <c r="F168" s="8" t="s">
        <v>489</v>
      </c>
      <c r="G168" s="7" t="s">
        <v>490</v>
      </c>
      <c r="H168" s="8" t="s">
        <v>491</v>
      </c>
      <c r="I168" s="7" t="s">
        <v>492</v>
      </c>
      <c r="J168" s="8">
        <v>167</v>
      </c>
      <c r="K168" s="44"/>
    </row>
    <row r="169" spans="1:11">
      <c r="A169" s="8" t="s">
        <v>830</v>
      </c>
      <c r="B169" s="7" t="s">
        <v>831</v>
      </c>
      <c r="C169" s="7" t="s">
        <v>648</v>
      </c>
      <c r="D169" s="8" t="s">
        <v>494</v>
      </c>
      <c r="E169" s="8" t="s">
        <v>488</v>
      </c>
      <c r="F169" s="8" t="s">
        <v>489</v>
      </c>
      <c r="G169" s="7" t="s">
        <v>496</v>
      </c>
      <c r="H169" s="8" t="s">
        <v>491</v>
      </c>
      <c r="I169" s="7" t="s">
        <v>492</v>
      </c>
      <c r="J169" s="8">
        <v>168</v>
      </c>
      <c r="K169" s="44"/>
    </row>
    <row r="170" spans="1:11">
      <c r="A170" s="8" t="s">
        <v>154</v>
      </c>
      <c r="B170" s="7" t="s">
        <v>832</v>
      </c>
      <c r="C170" s="7" t="s">
        <v>649</v>
      </c>
      <c r="D170" s="8" t="s">
        <v>487</v>
      </c>
      <c r="E170" s="8" t="s">
        <v>504</v>
      </c>
      <c r="F170" s="8" t="s">
        <v>489</v>
      </c>
      <c r="G170" s="7" t="s">
        <v>490</v>
      </c>
      <c r="H170" s="8" t="s">
        <v>491</v>
      </c>
      <c r="I170" s="7" t="s">
        <v>492</v>
      </c>
      <c r="J170" s="8">
        <v>169</v>
      </c>
      <c r="K170" s="44"/>
    </row>
    <row r="171" spans="1:11">
      <c r="A171" s="8" t="s">
        <v>155</v>
      </c>
      <c r="B171" s="7" t="s">
        <v>536</v>
      </c>
      <c r="C171" s="7" t="s">
        <v>833</v>
      </c>
      <c r="D171" s="8" t="s">
        <v>487</v>
      </c>
      <c r="E171" s="8" t="s">
        <v>504</v>
      </c>
      <c r="F171" s="8" t="s">
        <v>489</v>
      </c>
      <c r="G171" s="7" t="s">
        <v>490</v>
      </c>
      <c r="H171" s="8" t="s">
        <v>491</v>
      </c>
      <c r="I171" s="7" t="s">
        <v>492</v>
      </c>
      <c r="J171" s="8">
        <v>170</v>
      </c>
      <c r="K171" s="44"/>
    </row>
    <row r="172" spans="1:11">
      <c r="A172" s="8" t="s">
        <v>156</v>
      </c>
      <c r="B172" s="7" t="s">
        <v>834</v>
      </c>
      <c r="C172" s="7" t="s">
        <v>649</v>
      </c>
      <c r="D172" s="8" t="s">
        <v>487</v>
      </c>
      <c r="E172" s="8" t="s">
        <v>495</v>
      </c>
      <c r="F172" s="8" t="s">
        <v>489</v>
      </c>
      <c r="G172" s="7" t="s">
        <v>490</v>
      </c>
      <c r="H172" s="8" t="s">
        <v>491</v>
      </c>
      <c r="I172" s="7" t="s">
        <v>492</v>
      </c>
      <c r="J172" s="8">
        <v>171</v>
      </c>
      <c r="K172" s="44"/>
    </row>
    <row r="173" spans="1:11">
      <c r="A173" s="8" t="s">
        <v>157</v>
      </c>
      <c r="B173" s="7" t="s">
        <v>537</v>
      </c>
      <c r="C173" s="7" t="s">
        <v>649</v>
      </c>
      <c r="D173" s="8" t="s">
        <v>487</v>
      </c>
      <c r="E173" s="8" t="s">
        <v>495</v>
      </c>
      <c r="F173" s="8" t="s">
        <v>489</v>
      </c>
      <c r="G173" s="7" t="s">
        <v>490</v>
      </c>
      <c r="H173" s="8" t="s">
        <v>491</v>
      </c>
      <c r="I173" s="7" t="s">
        <v>492</v>
      </c>
      <c r="J173" s="8">
        <v>172</v>
      </c>
      <c r="K173" s="44"/>
    </row>
    <row r="174" spans="1:11">
      <c r="A174" s="8" t="s">
        <v>158</v>
      </c>
      <c r="B174" s="7" t="s">
        <v>835</v>
      </c>
      <c r="C174" s="7" t="s">
        <v>649</v>
      </c>
      <c r="D174" s="8" t="s">
        <v>487</v>
      </c>
      <c r="E174" s="8" t="s">
        <v>504</v>
      </c>
      <c r="F174" s="8" t="s">
        <v>489</v>
      </c>
      <c r="G174" s="7" t="s">
        <v>490</v>
      </c>
      <c r="H174" s="8" t="s">
        <v>491</v>
      </c>
      <c r="I174" s="7" t="s">
        <v>492</v>
      </c>
      <c r="J174" s="8">
        <v>173</v>
      </c>
      <c r="K174" s="44"/>
    </row>
    <row r="175" spans="1:11">
      <c r="A175" s="8" t="s">
        <v>159</v>
      </c>
      <c r="B175" s="7" t="s">
        <v>538</v>
      </c>
      <c r="C175" s="7" t="s">
        <v>649</v>
      </c>
      <c r="D175" s="8" t="s">
        <v>487</v>
      </c>
      <c r="E175" s="8" t="s">
        <v>504</v>
      </c>
      <c r="F175" s="8" t="s">
        <v>489</v>
      </c>
      <c r="G175" s="7" t="s">
        <v>490</v>
      </c>
      <c r="H175" s="8" t="s">
        <v>491</v>
      </c>
      <c r="I175" s="7" t="s">
        <v>492</v>
      </c>
      <c r="J175" s="8">
        <v>174</v>
      </c>
      <c r="K175" s="44"/>
    </row>
    <row r="176" spans="1:11">
      <c r="A176" s="8" t="s">
        <v>160</v>
      </c>
      <c r="B176" s="7" t="s">
        <v>539</v>
      </c>
      <c r="C176" s="7" t="s">
        <v>649</v>
      </c>
      <c r="D176" s="8" t="s">
        <v>487</v>
      </c>
      <c r="E176" s="8" t="s">
        <v>499</v>
      </c>
      <c r="F176" s="8" t="s">
        <v>501</v>
      </c>
      <c r="G176" s="7" t="s">
        <v>490</v>
      </c>
      <c r="H176" s="8" t="s">
        <v>540</v>
      </c>
      <c r="I176" s="7" t="s">
        <v>492</v>
      </c>
      <c r="J176" s="8">
        <v>175</v>
      </c>
      <c r="K176" s="44"/>
    </row>
    <row r="177" spans="1:11">
      <c r="A177" s="8" t="s">
        <v>161</v>
      </c>
      <c r="B177" s="7" t="s">
        <v>836</v>
      </c>
      <c r="C177" s="7" t="s">
        <v>649</v>
      </c>
      <c r="D177" s="8" t="s">
        <v>487</v>
      </c>
      <c r="E177" s="8" t="s">
        <v>504</v>
      </c>
      <c r="F177" s="8" t="s">
        <v>489</v>
      </c>
      <c r="G177" s="7" t="s">
        <v>490</v>
      </c>
      <c r="H177" s="8" t="s">
        <v>491</v>
      </c>
      <c r="I177" s="7" t="s">
        <v>492</v>
      </c>
      <c r="J177" s="8">
        <v>176</v>
      </c>
      <c r="K177" s="44"/>
    </row>
    <row r="178" spans="1:11">
      <c r="A178" s="8" t="s">
        <v>162</v>
      </c>
      <c r="B178" s="7" t="s">
        <v>837</v>
      </c>
      <c r="C178" s="7" t="s">
        <v>649</v>
      </c>
      <c r="D178" s="8" t="s">
        <v>487</v>
      </c>
      <c r="E178" s="8" t="s">
        <v>495</v>
      </c>
      <c r="F178" s="8" t="s">
        <v>489</v>
      </c>
      <c r="G178" s="7" t="s">
        <v>490</v>
      </c>
      <c r="H178" s="8" t="s">
        <v>491</v>
      </c>
      <c r="I178" s="7" t="s">
        <v>492</v>
      </c>
      <c r="J178" s="8">
        <v>177</v>
      </c>
      <c r="K178" s="44"/>
    </row>
    <row r="179" spans="1:11">
      <c r="A179" s="8" t="s">
        <v>163</v>
      </c>
      <c r="B179" s="7" t="s">
        <v>541</v>
      </c>
      <c r="C179" s="7" t="s">
        <v>649</v>
      </c>
      <c r="D179" s="8" t="s">
        <v>487</v>
      </c>
      <c r="E179" s="8" t="s">
        <v>504</v>
      </c>
      <c r="F179" s="8" t="s">
        <v>489</v>
      </c>
      <c r="G179" s="7" t="s">
        <v>490</v>
      </c>
      <c r="H179" s="8" t="s">
        <v>491</v>
      </c>
      <c r="I179" s="7" t="s">
        <v>492</v>
      </c>
      <c r="J179" s="8">
        <v>178</v>
      </c>
      <c r="K179" s="44"/>
    </row>
    <row r="180" spans="1:11">
      <c r="A180" s="8" t="s">
        <v>164</v>
      </c>
      <c r="B180" s="7" t="s">
        <v>542</v>
      </c>
      <c r="C180" s="7" t="s">
        <v>649</v>
      </c>
      <c r="D180" s="8" t="s">
        <v>487</v>
      </c>
      <c r="E180" s="8" t="s">
        <v>499</v>
      </c>
      <c r="F180" s="8" t="s">
        <v>501</v>
      </c>
      <c r="G180" s="7" t="s">
        <v>490</v>
      </c>
      <c r="H180" s="8" t="s">
        <v>543</v>
      </c>
      <c r="I180" s="7" t="s">
        <v>492</v>
      </c>
      <c r="J180" s="8">
        <v>179</v>
      </c>
      <c r="K180" s="44"/>
    </row>
    <row r="181" spans="1:11">
      <c r="A181" s="8" t="s">
        <v>165</v>
      </c>
      <c r="B181" s="7" t="s">
        <v>544</v>
      </c>
      <c r="C181" s="7" t="s">
        <v>649</v>
      </c>
      <c r="D181" s="8" t="s">
        <v>487</v>
      </c>
      <c r="E181" s="8" t="s">
        <v>504</v>
      </c>
      <c r="F181" s="8" t="s">
        <v>489</v>
      </c>
      <c r="G181" s="7" t="s">
        <v>490</v>
      </c>
      <c r="H181" s="8" t="s">
        <v>491</v>
      </c>
      <c r="I181" s="7" t="s">
        <v>492</v>
      </c>
      <c r="J181" s="8">
        <v>180</v>
      </c>
      <c r="K181" s="44"/>
    </row>
    <row r="182" spans="1:11">
      <c r="A182" s="8" t="s">
        <v>166</v>
      </c>
      <c r="B182" s="7" t="s">
        <v>545</v>
      </c>
      <c r="C182" s="7" t="s">
        <v>648</v>
      </c>
      <c r="D182" s="8" t="s">
        <v>494</v>
      </c>
      <c r="E182" s="8" t="s">
        <v>488</v>
      </c>
      <c r="F182" s="8" t="s">
        <v>489</v>
      </c>
      <c r="G182" s="7" t="s">
        <v>496</v>
      </c>
      <c r="H182" s="8" t="s">
        <v>491</v>
      </c>
      <c r="I182" s="7" t="s">
        <v>492</v>
      </c>
      <c r="J182" s="8">
        <v>181</v>
      </c>
      <c r="K182" s="44"/>
    </row>
    <row r="183" spans="1:11">
      <c r="A183" s="8" t="s">
        <v>838</v>
      </c>
      <c r="B183" s="7" t="s">
        <v>839</v>
      </c>
      <c r="C183" s="7" t="s">
        <v>648</v>
      </c>
      <c r="D183" s="8" t="s">
        <v>494</v>
      </c>
      <c r="E183" s="8" t="s">
        <v>488</v>
      </c>
      <c r="F183" s="8" t="s">
        <v>489</v>
      </c>
      <c r="G183" s="7" t="s">
        <v>496</v>
      </c>
      <c r="H183" s="8" t="s">
        <v>491</v>
      </c>
      <c r="I183" s="7" t="s">
        <v>492</v>
      </c>
      <c r="J183" s="8">
        <v>182</v>
      </c>
      <c r="K183" s="44"/>
    </row>
    <row r="184" spans="1:11">
      <c r="A184" s="8" t="s">
        <v>167</v>
      </c>
      <c r="B184" s="7" t="s">
        <v>546</v>
      </c>
      <c r="C184" s="7" t="s">
        <v>840</v>
      </c>
      <c r="D184" s="8" t="s">
        <v>487</v>
      </c>
      <c r="E184" s="8" t="s">
        <v>504</v>
      </c>
      <c r="F184" s="8" t="s">
        <v>489</v>
      </c>
      <c r="G184" s="7" t="s">
        <v>490</v>
      </c>
      <c r="H184" s="8" t="s">
        <v>491</v>
      </c>
      <c r="I184" s="7" t="s">
        <v>492</v>
      </c>
      <c r="J184" s="8">
        <v>183</v>
      </c>
      <c r="K184" s="44"/>
    </row>
    <row r="185" spans="1:11">
      <c r="A185" s="8" t="s">
        <v>168</v>
      </c>
      <c r="B185" s="7" t="s">
        <v>547</v>
      </c>
      <c r="C185" s="7" t="s">
        <v>649</v>
      </c>
      <c r="D185" s="8" t="s">
        <v>487</v>
      </c>
      <c r="E185" s="8" t="s">
        <v>488</v>
      </c>
      <c r="F185" s="8" t="s">
        <v>489</v>
      </c>
      <c r="G185" s="7" t="s">
        <v>490</v>
      </c>
      <c r="H185" s="8" t="s">
        <v>491</v>
      </c>
      <c r="I185" s="7" t="s">
        <v>492</v>
      </c>
      <c r="J185" s="8">
        <v>184</v>
      </c>
      <c r="K185" s="44"/>
    </row>
    <row r="186" spans="1:11">
      <c r="A186" s="8" t="s">
        <v>169</v>
      </c>
      <c r="B186" s="7" t="s">
        <v>548</v>
      </c>
      <c r="C186" s="7" t="s">
        <v>649</v>
      </c>
      <c r="D186" s="8" t="s">
        <v>487</v>
      </c>
      <c r="E186" s="8" t="s">
        <v>495</v>
      </c>
      <c r="F186" s="8" t="s">
        <v>489</v>
      </c>
      <c r="G186" s="7" t="s">
        <v>490</v>
      </c>
      <c r="H186" s="8" t="s">
        <v>491</v>
      </c>
      <c r="I186" s="7" t="s">
        <v>492</v>
      </c>
      <c r="J186" s="8">
        <v>185</v>
      </c>
      <c r="K186" s="44"/>
    </row>
    <row r="187" spans="1:11">
      <c r="A187" s="8" t="s">
        <v>170</v>
      </c>
      <c r="B187" s="7" t="s">
        <v>549</v>
      </c>
      <c r="C187" s="7" t="s">
        <v>648</v>
      </c>
      <c r="D187" s="8" t="s">
        <v>494</v>
      </c>
      <c r="E187" s="8" t="s">
        <v>488</v>
      </c>
      <c r="F187" s="8" t="s">
        <v>489</v>
      </c>
      <c r="G187" s="7" t="s">
        <v>496</v>
      </c>
      <c r="H187" s="8" t="s">
        <v>491</v>
      </c>
      <c r="I187" s="7" t="s">
        <v>492</v>
      </c>
      <c r="J187" s="8">
        <v>186</v>
      </c>
      <c r="K187" s="44"/>
    </row>
    <row r="188" spans="1:11">
      <c r="A188" s="8" t="s">
        <v>171</v>
      </c>
      <c r="B188" s="7" t="s">
        <v>841</v>
      </c>
      <c r="C188" s="7" t="s">
        <v>649</v>
      </c>
      <c r="D188" s="8" t="s">
        <v>487</v>
      </c>
      <c r="E188" s="8" t="s">
        <v>504</v>
      </c>
      <c r="F188" s="8" t="s">
        <v>489</v>
      </c>
      <c r="G188" s="7" t="s">
        <v>490</v>
      </c>
      <c r="H188" s="8" t="s">
        <v>491</v>
      </c>
      <c r="I188" s="7" t="s">
        <v>492</v>
      </c>
      <c r="J188" s="8">
        <v>187</v>
      </c>
      <c r="K188" s="44"/>
    </row>
    <row r="189" spans="1:11">
      <c r="A189" s="8" t="s">
        <v>172</v>
      </c>
      <c r="B189" s="7" t="s">
        <v>550</v>
      </c>
      <c r="C189" s="7" t="s">
        <v>648</v>
      </c>
      <c r="D189" s="8" t="s">
        <v>494</v>
      </c>
      <c r="E189" s="8" t="s">
        <v>488</v>
      </c>
      <c r="F189" s="8" t="s">
        <v>489</v>
      </c>
      <c r="G189" s="7" t="s">
        <v>496</v>
      </c>
      <c r="H189" s="8" t="s">
        <v>491</v>
      </c>
      <c r="I189" s="7" t="s">
        <v>492</v>
      </c>
      <c r="J189" s="8">
        <v>188</v>
      </c>
      <c r="K189" s="44"/>
    </row>
    <row r="190" spans="1:11">
      <c r="A190" s="8" t="s">
        <v>173</v>
      </c>
      <c r="B190" s="7" t="s">
        <v>551</v>
      </c>
      <c r="C190" s="7" t="s">
        <v>648</v>
      </c>
      <c r="D190" s="8" t="s">
        <v>494</v>
      </c>
      <c r="E190" s="8" t="s">
        <v>488</v>
      </c>
      <c r="F190" s="8" t="s">
        <v>489</v>
      </c>
      <c r="G190" s="7" t="s">
        <v>496</v>
      </c>
      <c r="H190" s="8" t="s">
        <v>491</v>
      </c>
      <c r="I190" s="7" t="s">
        <v>492</v>
      </c>
      <c r="J190" s="8">
        <v>189</v>
      </c>
      <c r="K190" s="44"/>
    </row>
    <row r="191" spans="1:11">
      <c r="A191" s="8" t="s">
        <v>174</v>
      </c>
      <c r="B191" s="7" t="s">
        <v>552</v>
      </c>
      <c r="C191" s="7" t="s">
        <v>649</v>
      </c>
      <c r="D191" s="8" t="s">
        <v>487</v>
      </c>
      <c r="E191" s="8" t="s">
        <v>488</v>
      </c>
      <c r="F191" s="8" t="s">
        <v>489</v>
      </c>
      <c r="G191" s="7" t="s">
        <v>490</v>
      </c>
      <c r="H191" s="8" t="s">
        <v>491</v>
      </c>
      <c r="I191" s="7" t="s">
        <v>492</v>
      </c>
      <c r="J191" s="8">
        <v>190</v>
      </c>
      <c r="K191" s="44"/>
    </row>
    <row r="192" spans="1:11">
      <c r="A192" s="8" t="s">
        <v>175</v>
      </c>
      <c r="B192" s="7" t="s">
        <v>842</v>
      </c>
      <c r="C192" s="7" t="s">
        <v>843</v>
      </c>
      <c r="D192" s="8" t="s">
        <v>487</v>
      </c>
      <c r="E192" s="8" t="s">
        <v>488</v>
      </c>
      <c r="F192" s="8" t="s">
        <v>489</v>
      </c>
      <c r="G192" s="7" t="s">
        <v>490</v>
      </c>
      <c r="H192" s="8" t="s">
        <v>491</v>
      </c>
      <c r="I192" s="7" t="s">
        <v>492</v>
      </c>
      <c r="J192" s="8">
        <v>191</v>
      </c>
      <c r="K192" s="44"/>
    </row>
    <row r="193" spans="1:11">
      <c r="A193" s="8" t="s">
        <v>176</v>
      </c>
      <c r="B193" s="7" t="s">
        <v>553</v>
      </c>
      <c r="C193" s="7" t="s">
        <v>648</v>
      </c>
      <c r="D193" s="8" t="s">
        <v>494</v>
      </c>
      <c r="E193" s="8" t="s">
        <v>488</v>
      </c>
      <c r="F193" s="8" t="s">
        <v>489</v>
      </c>
      <c r="G193" s="7" t="s">
        <v>496</v>
      </c>
      <c r="H193" s="8" t="s">
        <v>491</v>
      </c>
      <c r="I193" s="7" t="s">
        <v>492</v>
      </c>
      <c r="J193" s="8">
        <v>192</v>
      </c>
      <c r="K193" s="44"/>
    </row>
    <row r="194" spans="1:11">
      <c r="A194" s="8" t="s">
        <v>177</v>
      </c>
      <c r="B194" s="7" t="s">
        <v>554</v>
      </c>
      <c r="C194" s="7" t="s">
        <v>844</v>
      </c>
      <c r="D194" s="8" t="s">
        <v>487</v>
      </c>
      <c r="E194" s="8" t="s">
        <v>504</v>
      </c>
      <c r="F194" s="8" t="s">
        <v>501</v>
      </c>
      <c r="G194" s="7" t="s">
        <v>490</v>
      </c>
      <c r="H194" s="8" t="s">
        <v>555</v>
      </c>
      <c r="I194" s="7" t="s">
        <v>492</v>
      </c>
      <c r="J194" s="8">
        <v>193</v>
      </c>
      <c r="K194" s="44"/>
    </row>
    <row r="195" spans="1:11">
      <c r="A195" s="8" t="s">
        <v>178</v>
      </c>
      <c r="B195" s="7" t="s">
        <v>845</v>
      </c>
      <c r="C195" s="7" t="s">
        <v>846</v>
      </c>
      <c r="D195" s="8" t="s">
        <v>487</v>
      </c>
      <c r="E195" s="8" t="s">
        <v>499</v>
      </c>
      <c r="F195" s="8" t="s">
        <v>501</v>
      </c>
      <c r="G195" s="7" t="s">
        <v>490</v>
      </c>
      <c r="H195" s="8" t="s">
        <v>555</v>
      </c>
      <c r="I195" s="7" t="s">
        <v>492</v>
      </c>
      <c r="J195" s="8">
        <v>194</v>
      </c>
      <c r="K195" s="44"/>
    </row>
    <row r="196" spans="1:11">
      <c r="A196" s="8" t="s">
        <v>179</v>
      </c>
      <c r="B196" s="7" t="s">
        <v>556</v>
      </c>
      <c r="C196" s="7" t="s">
        <v>847</v>
      </c>
      <c r="D196" s="8" t="s">
        <v>487</v>
      </c>
      <c r="E196" s="8" t="s">
        <v>495</v>
      </c>
      <c r="F196" s="8" t="s">
        <v>501</v>
      </c>
      <c r="G196" s="7" t="s">
        <v>490</v>
      </c>
      <c r="H196" s="8" t="s">
        <v>557</v>
      </c>
      <c r="I196" s="7" t="s">
        <v>492</v>
      </c>
      <c r="J196" s="8">
        <v>195</v>
      </c>
      <c r="K196" s="44"/>
    </row>
    <row r="197" spans="1:11">
      <c r="A197" s="8" t="s">
        <v>180</v>
      </c>
      <c r="B197" s="7" t="s">
        <v>848</v>
      </c>
      <c r="C197" s="7" t="s">
        <v>648</v>
      </c>
      <c r="D197" s="8" t="s">
        <v>494</v>
      </c>
      <c r="E197" s="8" t="s">
        <v>488</v>
      </c>
      <c r="F197" s="8" t="s">
        <v>489</v>
      </c>
      <c r="G197" s="7" t="s">
        <v>496</v>
      </c>
      <c r="H197" s="8" t="s">
        <v>491</v>
      </c>
      <c r="I197" s="7" t="s">
        <v>492</v>
      </c>
      <c r="J197" s="8">
        <v>196</v>
      </c>
      <c r="K197" s="44"/>
    </row>
    <row r="198" spans="1:11">
      <c r="A198" s="8" t="s">
        <v>181</v>
      </c>
      <c r="B198" s="7" t="s">
        <v>558</v>
      </c>
      <c r="C198" s="7" t="s">
        <v>649</v>
      </c>
      <c r="D198" s="8" t="s">
        <v>487</v>
      </c>
      <c r="E198" s="8" t="s">
        <v>488</v>
      </c>
      <c r="F198" s="8" t="s">
        <v>489</v>
      </c>
      <c r="G198" s="7" t="s">
        <v>490</v>
      </c>
      <c r="H198" s="8" t="s">
        <v>491</v>
      </c>
      <c r="I198" s="7" t="s">
        <v>492</v>
      </c>
      <c r="J198" s="8">
        <v>197</v>
      </c>
      <c r="K198" s="44"/>
    </row>
    <row r="199" spans="1:11">
      <c r="A199" s="8" t="s">
        <v>559</v>
      </c>
      <c r="B199" s="7" t="s">
        <v>560</v>
      </c>
      <c r="C199" s="7" t="s">
        <v>649</v>
      </c>
      <c r="D199" s="8" t="s">
        <v>487</v>
      </c>
      <c r="E199" s="8" t="s">
        <v>488</v>
      </c>
      <c r="F199" s="8" t="s">
        <v>489</v>
      </c>
      <c r="G199" s="7" t="s">
        <v>490</v>
      </c>
      <c r="H199" s="8" t="s">
        <v>491</v>
      </c>
      <c r="I199" s="7" t="s">
        <v>492</v>
      </c>
      <c r="J199" s="8">
        <v>198</v>
      </c>
      <c r="K199" s="44"/>
    </row>
    <row r="200" spans="1:11">
      <c r="A200" s="8" t="s">
        <v>849</v>
      </c>
      <c r="B200" s="7" t="s">
        <v>850</v>
      </c>
      <c r="C200" s="7" t="s">
        <v>649</v>
      </c>
      <c r="D200" s="8" t="s">
        <v>487</v>
      </c>
      <c r="E200" s="8" t="s">
        <v>488</v>
      </c>
      <c r="F200" s="8" t="s">
        <v>489</v>
      </c>
      <c r="G200" s="7" t="s">
        <v>490</v>
      </c>
      <c r="H200" s="8" t="s">
        <v>491</v>
      </c>
      <c r="I200" s="7" t="s">
        <v>492</v>
      </c>
      <c r="J200" s="8">
        <v>199</v>
      </c>
      <c r="K200" s="44"/>
    </row>
    <row r="201" spans="1:11">
      <c r="A201" s="8" t="s">
        <v>561</v>
      </c>
      <c r="B201" s="7" t="s">
        <v>562</v>
      </c>
      <c r="C201" s="7" t="s">
        <v>649</v>
      </c>
      <c r="D201" s="8" t="s">
        <v>487</v>
      </c>
      <c r="E201" s="8" t="s">
        <v>488</v>
      </c>
      <c r="F201" s="8" t="s">
        <v>489</v>
      </c>
      <c r="G201" s="7" t="s">
        <v>490</v>
      </c>
      <c r="H201" s="8" t="s">
        <v>491</v>
      </c>
      <c r="I201" s="7" t="s">
        <v>492</v>
      </c>
      <c r="J201" s="8">
        <v>200</v>
      </c>
      <c r="K201" s="44"/>
    </row>
    <row r="202" spans="1:11">
      <c r="A202" s="8" t="s">
        <v>563</v>
      </c>
      <c r="B202" s="7" t="s">
        <v>564</v>
      </c>
      <c r="C202" s="7" t="s">
        <v>649</v>
      </c>
      <c r="D202" s="8" t="s">
        <v>487</v>
      </c>
      <c r="E202" s="8" t="s">
        <v>488</v>
      </c>
      <c r="F202" s="8" t="s">
        <v>489</v>
      </c>
      <c r="G202" s="7" t="s">
        <v>490</v>
      </c>
      <c r="H202" s="8" t="s">
        <v>491</v>
      </c>
      <c r="I202" s="7" t="s">
        <v>492</v>
      </c>
      <c r="J202" s="8">
        <v>201</v>
      </c>
      <c r="K202" s="44"/>
    </row>
    <row r="203" spans="1:11">
      <c r="A203" s="8" t="s">
        <v>565</v>
      </c>
      <c r="B203" s="7" t="s">
        <v>566</v>
      </c>
      <c r="C203" s="7" t="s">
        <v>649</v>
      </c>
      <c r="D203" s="8" t="s">
        <v>487</v>
      </c>
      <c r="E203" s="8" t="s">
        <v>488</v>
      </c>
      <c r="F203" s="8" t="s">
        <v>489</v>
      </c>
      <c r="G203" s="7" t="s">
        <v>490</v>
      </c>
      <c r="H203" s="8" t="s">
        <v>491</v>
      </c>
      <c r="I203" s="7" t="s">
        <v>492</v>
      </c>
      <c r="J203" s="8">
        <v>202</v>
      </c>
      <c r="K203" s="44"/>
    </row>
    <row r="204" spans="1:11">
      <c r="A204" s="8" t="s">
        <v>567</v>
      </c>
      <c r="B204" s="7" t="s">
        <v>568</v>
      </c>
      <c r="C204" s="7" t="s">
        <v>851</v>
      </c>
      <c r="D204" s="8" t="s">
        <v>487</v>
      </c>
      <c r="E204" s="8" t="s">
        <v>488</v>
      </c>
      <c r="F204" s="8" t="s">
        <v>489</v>
      </c>
      <c r="G204" s="7" t="s">
        <v>490</v>
      </c>
      <c r="H204" s="8" t="s">
        <v>491</v>
      </c>
      <c r="I204" s="7" t="s">
        <v>492</v>
      </c>
      <c r="J204" s="8">
        <v>203</v>
      </c>
      <c r="K204" s="44"/>
    </row>
    <row r="205" spans="1:11">
      <c r="A205" s="8" t="s">
        <v>182</v>
      </c>
      <c r="B205" s="7" t="s">
        <v>852</v>
      </c>
      <c r="C205" s="7" t="s">
        <v>648</v>
      </c>
      <c r="D205" s="8" t="s">
        <v>494</v>
      </c>
      <c r="E205" s="8" t="s">
        <v>488</v>
      </c>
      <c r="F205" s="8" t="s">
        <v>489</v>
      </c>
      <c r="G205" s="7" t="s">
        <v>496</v>
      </c>
      <c r="H205" s="8" t="s">
        <v>491</v>
      </c>
      <c r="I205" s="7" t="s">
        <v>492</v>
      </c>
      <c r="J205" s="8">
        <v>204</v>
      </c>
      <c r="K205" s="44"/>
    </row>
    <row r="206" spans="1:11">
      <c r="A206" s="8" t="s">
        <v>853</v>
      </c>
      <c r="B206" s="7" t="s">
        <v>854</v>
      </c>
      <c r="C206" s="7" t="s">
        <v>648</v>
      </c>
      <c r="D206" s="8" t="s">
        <v>494</v>
      </c>
      <c r="E206" s="8" t="s">
        <v>488</v>
      </c>
      <c r="F206" s="8" t="s">
        <v>489</v>
      </c>
      <c r="G206" s="7" t="s">
        <v>496</v>
      </c>
      <c r="H206" s="8" t="s">
        <v>491</v>
      </c>
      <c r="I206" s="7" t="s">
        <v>492</v>
      </c>
      <c r="J206" s="8">
        <v>205</v>
      </c>
      <c r="K206" s="44"/>
    </row>
    <row r="207" spans="1:11">
      <c r="A207" s="8" t="s">
        <v>183</v>
      </c>
      <c r="B207" s="7" t="s">
        <v>855</v>
      </c>
      <c r="C207" s="7" t="s">
        <v>649</v>
      </c>
      <c r="D207" s="8" t="s">
        <v>487</v>
      </c>
      <c r="E207" s="8" t="s">
        <v>488</v>
      </c>
      <c r="F207" s="8" t="s">
        <v>489</v>
      </c>
      <c r="G207" s="7" t="s">
        <v>490</v>
      </c>
      <c r="H207" s="8" t="s">
        <v>491</v>
      </c>
      <c r="I207" s="7" t="s">
        <v>492</v>
      </c>
      <c r="J207" s="8">
        <v>206</v>
      </c>
      <c r="K207" s="44"/>
    </row>
    <row r="208" spans="1:11">
      <c r="A208" s="8" t="s">
        <v>856</v>
      </c>
      <c r="B208" s="7" t="s">
        <v>857</v>
      </c>
      <c r="C208" s="7" t="s">
        <v>648</v>
      </c>
      <c r="D208" s="8" t="s">
        <v>494</v>
      </c>
      <c r="E208" s="8" t="s">
        <v>488</v>
      </c>
      <c r="F208" s="8" t="s">
        <v>489</v>
      </c>
      <c r="G208" s="7" t="s">
        <v>496</v>
      </c>
      <c r="H208" s="8" t="s">
        <v>491</v>
      </c>
      <c r="I208" s="7" t="s">
        <v>492</v>
      </c>
      <c r="J208" s="8">
        <v>207</v>
      </c>
      <c r="K208" s="44"/>
    </row>
    <row r="209" spans="1:11">
      <c r="A209" s="8" t="s">
        <v>858</v>
      </c>
      <c r="B209" s="7" t="s">
        <v>859</v>
      </c>
      <c r="C209" s="7" t="s">
        <v>648</v>
      </c>
      <c r="D209" s="8" t="s">
        <v>494</v>
      </c>
      <c r="E209" s="8" t="s">
        <v>488</v>
      </c>
      <c r="F209" s="8" t="s">
        <v>489</v>
      </c>
      <c r="G209" s="7" t="s">
        <v>496</v>
      </c>
      <c r="H209" s="8" t="s">
        <v>491</v>
      </c>
      <c r="I209" s="7" t="s">
        <v>492</v>
      </c>
      <c r="J209" s="8">
        <v>208</v>
      </c>
      <c r="K209" s="44"/>
    </row>
    <row r="210" spans="1:11">
      <c r="A210" s="8" t="s">
        <v>860</v>
      </c>
      <c r="B210" s="7" t="s">
        <v>861</v>
      </c>
      <c r="C210" s="7" t="s">
        <v>862</v>
      </c>
      <c r="D210" s="8" t="s">
        <v>487</v>
      </c>
      <c r="E210" s="8" t="s">
        <v>488</v>
      </c>
      <c r="F210" s="8" t="s">
        <v>489</v>
      </c>
      <c r="G210" s="7" t="s">
        <v>490</v>
      </c>
      <c r="H210" s="8" t="s">
        <v>491</v>
      </c>
      <c r="I210" s="7" t="s">
        <v>492</v>
      </c>
      <c r="J210" s="8">
        <v>209</v>
      </c>
      <c r="K210" s="44"/>
    </row>
    <row r="211" spans="1:11">
      <c r="A211" s="8" t="s">
        <v>863</v>
      </c>
      <c r="B211" s="7" t="s">
        <v>864</v>
      </c>
      <c r="C211" s="7" t="s">
        <v>648</v>
      </c>
      <c r="D211" s="8" t="s">
        <v>494</v>
      </c>
      <c r="E211" s="8" t="s">
        <v>488</v>
      </c>
      <c r="F211" s="8" t="s">
        <v>489</v>
      </c>
      <c r="G211" s="7" t="s">
        <v>496</v>
      </c>
      <c r="H211" s="8" t="s">
        <v>491</v>
      </c>
      <c r="I211" s="7" t="s">
        <v>492</v>
      </c>
      <c r="J211" s="8">
        <v>210</v>
      </c>
      <c r="K211" s="44"/>
    </row>
    <row r="212" spans="1:11">
      <c r="A212" s="8" t="s">
        <v>865</v>
      </c>
      <c r="B212" s="7" t="s">
        <v>866</v>
      </c>
      <c r="C212" s="7" t="s">
        <v>648</v>
      </c>
      <c r="D212" s="8" t="s">
        <v>494</v>
      </c>
      <c r="E212" s="8" t="s">
        <v>488</v>
      </c>
      <c r="F212" s="8" t="s">
        <v>489</v>
      </c>
      <c r="G212" s="7" t="s">
        <v>496</v>
      </c>
      <c r="H212" s="8" t="s">
        <v>491</v>
      </c>
      <c r="I212" s="7" t="s">
        <v>492</v>
      </c>
      <c r="J212" s="8">
        <v>211</v>
      </c>
      <c r="K212" s="44"/>
    </row>
    <row r="213" spans="1:11">
      <c r="A213" s="8" t="s">
        <v>867</v>
      </c>
      <c r="B213" s="7" t="s">
        <v>868</v>
      </c>
      <c r="C213" s="7" t="s">
        <v>648</v>
      </c>
      <c r="D213" s="8" t="s">
        <v>494</v>
      </c>
      <c r="E213" s="8" t="s">
        <v>488</v>
      </c>
      <c r="F213" s="8" t="s">
        <v>489</v>
      </c>
      <c r="G213" s="7" t="s">
        <v>496</v>
      </c>
      <c r="H213" s="8" t="s">
        <v>491</v>
      </c>
      <c r="I213" s="7" t="s">
        <v>492</v>
      </c>
      <c r="J213" s="8">
        <v>212</v>
      </c>
      <c r="K213" s="44"/>
    </row>
    <row r="214" spans="1:11">
      <c r="A214" s="8" t="s">
        <v>184</v>
      </c>
      <c r="B214" s="7" t="s">
        <v>869</v>
      </c>
      <c r="C214" s="7" t="s">
        <v>870</v>
      </c>
      <c r="D214" s="8" t="s">
        <v>487</v>
      </c>
      <c r="E214" s="8" t="s">
        <v>488</v>
      </c>
      <c r="F214" s="8" t="s">
        <v>489</v>
      </c>
      <c r="G214" s="7" t="s">
        <v>490</v>
      </c>
      <c r="H214" s="8" t="s">
        <v>491</v>
      </c>
      <c r="I214" s="7" t="s">
        <v>492</v>
      </c>
      <c r="J214" s="8">
        <v>213</v>
      </c>
      <c r="K214" s="44"/>
    </row>
    <row r="215" spans="1:11">
      <c r="A215" s="8" t="s">
        <v>871</v>
      </c>
      <c r="B215" s="7" t="s">
        <v>872</v>
      </c>
      <c r="C215" s="7" t="s">
        <v>648</v>
      </c>
      <c r="D215" s="8" t="s">
        <v>494</v>
      </c>
      <c r="E215" s="8" t="s">
        <v>488</v>
      </c>
      <c r="F215" s="8" t="s">
        <v>489</v>
      </c>
      <c r="G215" s="7" t="s">
        <v>496</v>
      </c>
      <c r="H215" s="8" t="s">
        <v>491</v>
      </c>
      <c r="I215" s="7" t="s">
        <v>492</v>
      </c>
      <c r="J215" s="8">
        <v>214</v>
      </c>
      <c r="K215" s="44"/>
    </row>
    <row r="216" spans="1:11">
      <c r="A216" s="8" t="s">
        <v>873</v>
      </c>
      <c r="B216" s="7" t="s">
        <v>874</v>
      </c>
      <c r="C216" s="7" t="s">
        <v>648</v>
      </c>
      <c r="D216" s="8" t="s">
        <v>494</v>
      </c>
      <c r="E216" s="8" t="s">
        <v>488</v>
      </c>
      <c r="F216" s="8" t="s">
        <v>489</v>
      </c>
      <c r="G216" s="7" t="s">
        <v>496</v>
      </c>
      <c r="H216" s="8" t="s">
        <v>491</v>
      </c>
      <c r="I216" s="7" t="s">
        <v>492</v>
      </c>
      <c r="J216" s="8">
        <v>215</v>
      </c>
      <c r="K216" s="44"/>
    </row>
    <row r="217" spans="1:11">
      <c r="A217" s="8" t="s">
        <v>875</v>
      </c>
      <c r="B217" s="7" t="s">
        <v>876</v>
      </c>
      <c r="C217" s="7" t="s">
        <v>648</v>
      </c>
      <c r="D217" s="8" t="s">
        <v>494</v>
      </c>
      <c r="E217" s="8" t="s">
        <v>488</v>
      </c>
      <c r="F217" s="8" t="s">
        <v>489</v>
      </c>
      <c r="G217" s="7" t="s">
        <v>496</v>
      </c>
      <c r="H217" s="8" t="s">
        <v>491</v>
      </c>
      <c r="I217" s="7" t="s">
        <v>492</v>
      </c>
      <c r="J217" s="8">
        <v>216</v>
      </c>
      <c r="K217" s="44"/>
    </row>
    <row r="218" spans="1:11">
      <c r="A218" s="8" t="s">
        <v>877</v>
      </c>
      <c r="B218" s="7" t="s">
        <v>878</v>
      </c>
      <c r="C218" s="7" t="s">
        <v>648</v>
      </c>
      <c r="D218" s="8" t="s">
        <v>494</v>
      </c>
      <c r="E218" s="8" t="s">
        <v>488</v>
      </c>
      <c r="F218" s="8" t="s">
        <v>489</v>
      </c>
      <c r="G218" s="7" t="s">
        <v>496</v>
      </c>
      <c r="H218" s="8" t="s">
        <v>491</v>
      </c>
      <c r="I218" s="7" t="s">
        <v>492</v>
      </c>
      <c r="J218" s="8">
        <v>217</v>
      </c>
      <c r="K218" s="44"/>
    </row>
    <row r="219" spans="1:11">
      <c r="A219" s="8" t="s">
        <v>879</v>
      </c>
      <c r="B219" s="7" t="s">
        <v>880</v>
      </c>
      <c r="C219" s="7" t="s">
        <v>648</v>
      </c>
      <c r="D219" s="8" t="s">
        <v>494</v>
      </c>
      <c r="E219" s="8" t="s">
        <v>488</v>
      </c>
      <c r="F219" s="8" t="s">
        <v>489</v>
      </c>
      <c r="G219" s="7" t="s">
        <v>496</v>
      </c>
      <c r="H219" s="8" t="s">
        <v>491</v>
      </c>
      <c r="I219" s="7" t="s">
        <v>492</v>
      </c>
      <c r="J219" s="8">
        <v>218</v>
      </c>
      <c r="K219" s="44"/>
    </row>
    <row r="220" spans="1:11">
      <c r="A220" s="8" t="s">
        <v>881</v>
      </c>
      <c r="B220" s="7" t="s">
        <v>882</v>
      </c>
      <c r="C220" s="7" t="s">
        <v>648</v>
      </c>
      <c r="D220" s="8" t="s">
        <v>494</v>
      </c>
      <c r="E220" s="8" t="s">
        <v>488</v>
      </c>
      <c r="F220" s="8" t="s">
        <v>489</v>
      </c>
      <c r="G220" s="7" t="s">
        <v>496</v>
      </c>
      <c r="H220" s="8" t="s">
        <v>491</v>
      </c>
      <c r="I220" s="7" t="s">
        <v>492</v>
      </c>
      <c r="J220" s="8">
        <v>219</v>
      </c>
      <c r="K220" s="44"/>
    </row>
    <row r="221" spans="1:11">
      <c r="A221" s="8" t="s">
        <v>883</v>
      </c>
      <c r="B221" s="7" t="s">
        <v>884</v>
      </c>
      <c r="C221" s="7" t="s">
        <v>648</v>
      </c>
      <c r="D221" s="8" t="s">
        <v>494</v>
      </c>
      <c r="E221" s="8" t="s">
        <v>488</v>
      </c>
      <c r="F221" s="8" t="s">
        <v>489</v>
      </c>
      <c r="G221" s="7" t="s">
        <v>496</v>
      </c>
      <c r="H221" s="8" t="s">
        <v>491</v>
      </c>
      <c r="I221" s="7" t="s">
        <v>492</v>
      </c>
      <c r="J221" s="8">
        <v>220</v>
      </c>
      <c r="K221" s="44"/>
    </row>
    <row r="222" spans="1:11">
      <c r="A222" s="8" t="s">
        <v>885</v>
      </c>
      <c r="B222" s="7" t="s">
        <v>886</v>
      </c>
      <c r="C222" s="7" t="s">
        <v>648</v>
      </c>
      <c r="D222" s="8" t="s">
        <v>494</v>
      </c>
      <c r="E222" s="8" t="s">
        <v>488</v>
      </c>
      <c r="F222" s="8" t="s">
        <v>489</v>
      </c>
      <c r="G222" s="7" t="s">
        <v>496</v>
      </c>
      <c r="H222" s="8" t="s">
        <v>491</v>
      </c>
      <c r="I222" s="7" t="s">
        <v>492</v>
      </c>
      <c r="J222" s="8">
        <v>221</v>
      </c>
      <c r="K222" s="44"/>
    </row>
    <row r="223" spans="1:11">
      <c r="A223" s="8" t="s">
        <v>887</v>
      </c>
      <c r="B223" s="7" t="s">
        <v>888</v>
      </c>
      <c r="C223" s="7" t="s">
        <v>648</v>
      </c>
      <c r="D223" s="8" t="s">
        <v>494</v>
      </c>
      <c r="E223" s="8" t="s">
        <v>488</v>
      </c>
      <c r="F223" s="8" t="s">
        <v>489</v>
      </c>
      <c r="G223" s="7" t="s">
        <v>496</v>
      </c>
      <c r="H223" s="8" t="s">
        <v>491</v>
      </c>
      <c r="I223" s="7" t="s">
        <v>492</v>
      </c>
      <c r="J223" s="8">
        <v>222</v>
      </c>
      <c r="K223" s="44"/>
    </row>
    <row r="224" spans="1:11">
      <c r="A224" s="8" t="s">
        <v>889</v>
      </c>
      <c r="B224" s="7" t="s">
        <v>890</v>
      </c>
      <c r="C224" s="7" t="s">
        <v>648</v>
      </c>
      <c r="D224" s="8" t="s">
        <v>494</v>
      </c>
      <c r="E224" s="8" t="s">
        <v>488</v>
      </c>
      <c r="F224" s="8" t="s">
        <v>489</v>
      </c>
      <c r="G224" s="7" t="s">
        <v>496</v>
      </c>
      <c r="H224" s="8" t="s">
        <v>491</v>
      </c>
      <c r="I224" s="7" t="s">
        <v>492</v>
      </c>
      <c r="J224" s="8">
        <v>223</v>
      </c>
      <c r="K224" s="44"/>
    </row>
    <row r="225" spans="1:11">
      <c r="A225" s="8" t="s">
        <v>185</v>
      </c>
      <c r="B225" s="7" t="s">
        <v>569</v>
      </c>
      <c r="C225" s="7" t="s">
        <v>648</v>
      </c>
      <c r="D225" s="8" t="s">
        <v>494</v>
      </c>
      <c r="E225" s="8" t="s">
        <v>488</v>
      </c>
      <c r="F225" s="8" t="s">
        <v>489</v>
      </c>
      <c r="G225" s="7" t="s">
        <v>496</v>
      </c>
      <c r="H225" s="8" t="s">
        <v>491</v>
      </c>
      <c r="I225" s="7" t="s">
        <v>492</v>
      </c>
      <c r="J225" s="8">
        <v>224</v>
      </c>
      <c r="K225" s="44"/>
    </row>
    <row r="226" spans="1:11">
      <c r="A226" s="8" t="s">
        <v>186</v>
      </c>
      <c r="B226" s="7" t="s">
        <v>891</v>
      </c>
      <c r="C226" s="7" t="s">
        <v>648</v>
      </c>
      <c r="D226" s="8" t="s">
        <v>494</v>
      </c>
      <c r="E226" s="8" t="s">
        <v>488</v>
      </c>
      <c r="F226" s="8" t="s">
        <v>489</v>
      </c>
      <c r="G226" s="7" t="s">
        <v>496</v>
      </c>
      <c r="H226" s="8" t="s">
        <v>491</v>
      </c>
      <c r="I226" s="7" t="s">
        <v>492</v>
      </c>
      <c r="J226" s="8">
        <v>225</v>
      </c>
      <c r="K226" s="44"/>
    </row>
    <row r="227" spans="1:11">
      <c r="A227" s="8" t="s">
        <v>892</v>
      </c>
      <c r="B227" s="7" t="s">
        <v>893</v>
      </c>
      <c r="C227" s="7" t="s">
        <v>648</v>
      </c>
      <c r="D227" s="8" t="s">
        <v>494</v>
      </c>
      <c r="E227" s="8" t="s">
        <v>488</v>
      </c>
      <c r="F227" s="8" t="s">
        <v>489</v>
      </c>
      <c r="G227" s="7" t="s">
        <v>496</v>
      </c>
      <c r="H227" s="8" t="s">
        <v>491</v>
      </c>
      <c r="I227" s="7" t="s">
        <v>492</v>
      </c>
      <c r="J227" s="8">
        <v>226</v>
      </c>
      <c r="K227" s="44"/>
    </row>
    <row r="228" spans="1:11">
      <c r="A228" s="8" t="s">
        <v>894</v>
      </c>
      <c r="B228" s="7" t="s">
        <v>895</v>
      </c>
      <c r="C228" s="7" t="s">
        <v>648</v>
      </c>
      <c r="D228" s="8" t="s">
        <v>494</v>
      </c>
      <c r="E228" s="8" t="s">
        <v>488</v>
      </c>
      <c r="F228" s="8" t="s">
        <v>489</v>
      </c>
      <c r="G228" s="7" t="s">
        <v>496</v>
      </c>
      <c r="H228" s="8" t="s">
        <v>491</v>
      </c>
      <c r="I228" s="7" t="s">
        <v>492</v>
      </c>
      <c r="J228" s="8">
        <v>227</v>
      </c>
      <c r="K228" s="44"/>
    </row>
    <row r="229" spans="1:11">
      <c r="A229" s="8" t="s">
        <v>896</v>
      </c>
      <c r="B229" s="7" t="s">
        <v>897</v>
      </c>
      <c r="C229" s="7" t="s">
        <v>648</v>
      </c>
      <c r="D229" s="8" t="s">
        <v>494</v>
      </c>
      <c r="E229" s="8" t="s">
        <v>488</v>
      </c>
      <c r="F229" s="8" t="s">
        <v>489</v>
      </c>
      <c r="G229" s="7" t="s">
        <v>496</v>
      </c>
      <c r="H229" s="8" t="s">
        <v>491</v>
      </c>
      <c r="I229" s="7" t="s">
        <v>492</v>
      </c>
      <c r="J229" s="8">
        <v>228</v>
      </c>
      <c r="K229" s="44"/>
    </row>
    <row r="230" spans="1:11">
      <c r="A230" s="8" t="s">
        <v>187</v>
      </c>
      <c r="B230" s="7" t="s">
        <v>898</v>
      </c>
      <c r="C230" s="7" t="s">
        <v>648</v>
      </c>
      <c r="D230" s="8" t="s">
        <v>494</v>
      </c>
      <c r="E230" s="8" t="s">
        <v>488</v>
      </c>
      <c r="F230" s="8" t="s">
        <v>489</v>
      </c>
      <c r="G230" s="7" t="s">
        <v>496</v>
      </c>
      <c r="H230" s="8" t="s">
        <v>491</v>
      </c>
      <c r="I230" s="7" t="s">
        <v>492</v>
      </c>
      <c r="J230" s="8">
        <v>229</v>
      </c>
      <c r="K230" s="44"/>
    </row>
    <row r="231" spans="1:11">
      <c r="A231" s="8" t="s">
        <v>188</v>
      </c>
      <c r="B231" s="7" t="s">
        <v>899</v>
      </c>
      <c r="C231" s="7" t="s">
        <v>648</v>
      </c>
      <c r="D231" s="8" t="s">
        <v>494</v>
      </c>
      <c r="E231" s="8" t="s">
        <v>488</v>
      </c>
      <c r="F231" s="8" t="s">
        <v>489</v>
      </c>
      <c r="G231" s="7" t="s">
        <v>496</v>
      </c>
      <c r="H231" s="8" t="s">
        <v>491</v>
      </c>
      <c r="I231" s="7" t="s">
        <v>492</v>
      </c>
      <c r="J231" s="8">
        <v>230</v>
      </c>
      <c r="K231" s="44"/>
    </row>
    <row r="232" spans="1:11">
      <c r="A232" s="8" t="s">
        <v>189</v>
      </c>
      <c r="B232" s="7" t="s">
        <v>900</v>
      </c>
      <c r="C232" s="7" t="s">
        <v>648</v>
      </c>
      <c r="D232" s="8" t="s">
        <v>494</v>
      </c>
      <c r="E232" s="8" t="s">
        <v>488</v>
      </c>
      <c r="F232" s="8" t="s">
        <v>489</v>
      </c>
      <c r="G232" s="7" t="s">
        <v>496</v>
      </c>
      <c r="H232" s="8" t="s">
        <v>491</v>
      </c>
      <c r="I232" s="7" t="s">
        <v>492</v>
      </c>
      <c r="J232" s="8">
        <v>231</v>
      </c>
      <c r="K232" s="44"/>
    </row>
    <row r="233" spans="1:11">
      <c r="A233" s="8" t="s">
        <v>190</v>
      </c>
      <c r="B233" s="7" t="s">
        <v>901</v>
      </c>
      <c r="C233" s="7" t="s">
        <v>648</v>
      </c>
      <c r="D233" s="8" t="s">
        <v>494</v>
      </c>
      <c r="E233" s="8" t="s">
        <v>488</v>
      </c>
      <c r="F233" s="8" t="s">
        <v>489</v>
      </c>
      <c r="G233" s="7" t="s">
        <v>496</v>
      </c>
      <c r="H233" s="8" t="s">
        <v>491</v>
      </c>
      <c r="I233" s="7" t="s">
        <v>492</v>
      </c>
      <c r="J233" s="8">
        <v>232</v>
      </c>
      <c r="K233" s="44"/>
    </row>
    <row r="234" spans="1:11">
      <c r="A234" s="8" t="s">
        <v>902</v>
      </c>
      <c r="B234" s="7" t="s">
        <v>903</v>
      </c>
      <c r="C234" s="7" t="s">
        <v>648</v>
      </c>
      <c r="D234" s="8" t="s">
        <v>494</v>
      </c>
      <c r="E234" s="8" t="s">
        <v>488</v>
      </c>
      <c r="F234" s="8" t="s">
        <v>489</v>
      </c>
      <c r="G234" s="7" t="s">
        <v>496</v>
      </c>
      <c r="H234" s="8" t="s">
        <v>491</v>
      </c>
      <c r="I234" s="7" t="s">
        <v>492</v>
      </c>
      <c r="J234" s="8">
        <v>233</v>
      </c>
      <c r="K234" s="44"/>
    </row>
    <row r="235" spans="1:11">
      <c r="A235" s="8" t="s">
        <v>904</v>
      </c>
      <c r="B235" s="7" t="s">
        <v>905</v>
      </c>
      <c r="C235" s="7" t="s">
        <v>648</v>
      </c>
      <c r="D235" s="8" t="s">
        <v>494</v>
      </c>
      <c r="E235" s="8" t="s">
        <v>488</v>
      </c>
      <c r="F235" s="8" t="s">
        <v>489</v>
      </c>
      <c r="G235" s="7" t="s">
        <v>496</v>
      </c>
      <c r="H235" s="8" t="s">
        <v>491</v>
      </c>
      <c r="I235" s="7" t="s">
        <v>492</v>
      </c>
      <c r="J235" s="8">
        <v>234</v>
      </c>
      <c r="K235" s="44"/>
    </row>
    <row r="236" spans="1:11">
      <c r="A236" s="8" t="s">
        <v>906</v>
      </c>
      <c r="B236" s="7" t="s">
        <v>907</v>
      </c>
      <c r="C236" s="7" t="s">
        <v>648</v>
      </c>
      <c r="D236" s="8" t="s">
        <v>494</v>
      </c>
      <c r="E236" s="8" t="s">
        <v>488</v>
      </c>
      <c r="F236" s="8" t="s">
        <v>489</v>
      </c>
      <c r="G236" s="7" t="s">
        <v>496</v>
      </c>
      <c r="H236" s="8" t="s">
        <v>491</v>
      </c>
      <c r="I236" s="7" t="s">
        <v>492</v>
      </c>
      <c r="J236" s="8">
        <v>235</v>
      </c>
      <c r="K236" s="44"/>
    </row>
    <row r="237" spans="1:11">
      <c r="A237" s="8" t="s">
        <v>908</v>
      </c>
      <c r="B237" s="7" t="s">
        <v>909</v>
      </c>
      <c r="C237" s="7" t="s">
        <v>648</v>
      </c>
      <c r="D237" s="8" t="s">
        <v>494</v>
      </c>
      <c r="E237" s="8" t="s">
        <v>488</v>
      </c>
      <c r="F237" s="8" t="s">
        <v>489</v>
      </c>
      <c r="G237" s="7" t="s">
        <v>496</v>
      </c>
      <c r="H237" s="8" t="s">
        <v>491</v>
      </c>
      <c r="I237" s="7" t="s">
        <v>492</v>
      </c>
      <c r="J237" s="8">
        <v>236</v>
      </c>
      <c r="K237" s="44"/>
    </row>
    <row r="238" spans="1:11">
      <c r="A238" s="8" t="s">
        <v>191</v>
      </c>
      <c r="B238" s="7" t="s">
        <v>910</v>
      </c>
      <c r="C238" s="7" t="s">
        <v>648</v>
      </c>
      <c r="D238" s="8" t="s">
        <v>494</v>
      </c>
      <c r="E238" s="8" t="s">
        <v>488</v>
      </c>
      <c r="F238" s="8" t="s">
        <v>489</v>
      </c>
      <c r="G238" s="7" t="s">
        <v>496</v>
      </c>
      <c r="H238" s="8" t="s">
        <v>491</v>
      </c>
      <c r="I238" s="7" t="s">
        <v>492</v>
      </c>
      <c r="J238" s="8">
        <v>237</v>
      </c>
      <c r="K238" s="44"/>
    </row>
    <row r="239" spans="1:11">
      <c r="A239" s="8" t="s">
        <v>911</v>
      </c>
      <c r="B239" s="7" t="s">
        <v>912</v>
      </c>
      <c r="C239" s="7" t="s">
        <v>648</v>
      </c>
      <c r="D239" s="8" t="s">
        <v>494</v>
      </c>
      <c r="E239" s="8" t="s">
        <v>488</v>
      </c>
      <c r="F239" s="8" t="s">
        <v>489</v>
      </c>
      <c r="G239" s="7" t="s">
        <v>496</v>
      </c>
      <c r="H239" s="8" t="s">
        <v>491</v>
      </c>
      <c r="I239" s="7" t="s">
        <v>492</v>
      </c>
      <c r="J239" s="8">
        <v>238</v>
      </c>
      <c r="K239" s="44"/>
    </row>
    <row r="240" spans="1:11">
      <c r="A240" s="8" t="s">
        <v>192</v>
      </c>
      <c r="B240" s="7" t="s">
        <v>913</v>
      </c>
      <c r="C240" s="7" t="s">
        <v>648</v>
      </c>
      <c r="D240" s="8" t="s">
        <v>494</v>
      </c>
      <c r="E240" s="8" t="s">
        <v>488</v>
      </c>
      <c r="F240" s="8" t="s">
        <v>489</v>
      </c>
      <c r="G240" s="7" t="s">
        <v>496</v>
      </c>
      <c r="H240" s="8" t="s">
        <v>491</v>
      </c>
      <c r="I240" s="7" t="s">
        <v>492</v>
      </c>
      <c r="J240" s="8">
        <v>239</v>
      </c>
      <c r="K240" s="44"/>
    </row>
    <row r="241" spans="1:11">
      <c r="A241" s="8" t="s">
        <v>914</v>
      </c>
      <c r="B241" s="7" t="s">
        <v>915</v>
      </c>
      <c r="C241" s="7" t="s">
        <v>648</v>
      </c>
      <c r="D241" s="8" t="s">
        <v>494</v>
      </c>
      <c r="E241" s="8" t="s">
        <v>488</v>
      </c>
      <c r="F241" s="8" t="s">
        <v>489</v>
      </c>
      <c r="G241" s="7" t="s">
        <v>496</v>
      </c>
      <c r="H241" s="8" t="s">
        <v>491</v>
      </c>
      <c r="I241" s="7" t="s">
        <v>492</v>
      </c>
      <c r="J241" s="8">
        <v>240</v>
      </c>
      <c r="K241" s="44"/>
    </row>
    <row r="242" spans="1:11">
      <c r="A242" s="8" t="s">
        <v>193</v>
      </c>
      <c r="B242" s="7" t="s">
        <v>916</v>
      </c>
      <c r="C242" s="7" t="s">
        <v>648</v>
      </c>
      <c r="D242" s="8" t="s">
        <v>494</v>
      </c>
      <c r="E242" s="8" t="s">
        <v>488</v>
      </c>
      <c r="F242" s="8" t="s">
        <v>489</v>
      </c>
      <c r="G242" s="7" t="s">
        <v>496</v>
      </c>
      <c r="H242" s="8" t="s">
        <v>491</v>
      </c>
      <c r="I242" s="7" t="s">
        <v>492</v>
      </c>
      <c r="J242" s="8">
        <v>241</v>
      </c>
      <c r="K242" s="44"/>
    </row>
    <row r="243" spans="1:11">
      <c r="A243" s="8" t="s">
        <v>917</v>
      </c>
      <c r="B243" s="7" t="s">
        <v>918</v>
      </c>
      <c r="C243" s="7" t="s">
        <v>648</v>
      </c>
      <c r="D243" s="8" t="s">
        <v>494</v>
      </c>
      <c r="E243" s="8" t="s">
        <v>488</v>
      </c>
      <c r="F243" s="8" t="s">
        <v>489</v>
      </c>
      <c r="G243" s="7" t="s">
        <v>496</v>
      </c>
      <c r="H243" s="8" t="s">
        <v>491</v>
      </c>
      <c r="I243" s="7" t="s">
        <v>492</v>
      </c>
      <c r="J243" s="8">
        <v>242</v>
      </c>
      <c r="K243" s="44"/>
    </row>
    <row r="244" spans="1:11">
      <c r="A244" s="8" t="s">
        <v>194</v>
      </c>
      <c r="B244" s="7" t="s">
        <v>919</v>
      </c>
      <c r="C244" s="7" t="s">
        <v>648</v>
      </c>
      <c r="D244" s="8" t="s">
        <v>494</v>
      </c>
      <c r="E244" s="8" t="s">
        <v>488</v>
      </c>
      <c r="F244" s="8" t="s">
        <v>489</v>
      </c>
      <c r="G244" s="7" t="s">
        <v>496</v>
      </c>
      <c r="H244" s="8" t="s">
        <v>491</v>
      </c>
      <c r="I244" s="7" t="s">
        <v>492</v>
      </c>
      <c r="J244" s="8">
        <v>243</v>
      </c>
      <c r="K244" s="44"/>
    </row>
    <row r="245" spans="1:11">
      <c r="A245" s="8" t="s">
        <v>195</v>
      </c>
      <c r="B245" s="7" t="s">
        <v>571</v>
      </c>
      <c r="C245" s="7" t="s">
        <v>649</v>
      </c>
      <c r="D245" s="8" t="s">
        <v>487</v>
      </c>
      <c r="E245" s="8" t="s">
        <v>504</v>
      </c>
      <c r="F245" s="8" t="s">
        <v>489</v>
      </c>
      <c r="G245" s="7" t="s">
        <v>490</v>
      </c>
      <c r="H245" s="8" t="s">
        <v>491</v>
      </c>
      <c r="I245" s="7" t="s">
        <v>492</v>
      </c>
      <c r="J245" s="8">
        <v>244</v>
      </c>
      <c r="K245" s="44"/>
    </row>
    <row r="246" spans="1:11">
      <c r="A246" s="8" t="s">
        <v>196</v>
      </c>
      <c r="B246" s="7" t="s">
        <v>572</v>
      </c>
      <c r="C246" s="7" t="s">
        <v>648</v>
      </c>
      <c r="D246" s="8" t="s">
        <v>494</v>
      </c>
      <c r="E246" s="8" t="s">
        <v>488</v>
      </c>
      <c r="F246" s="8" t="s">
        <v>489</v>
      </c>
      <c r="G246" s="7" t="s">
        <v>496</v>
      </c>
      <c r="H246" s="8" t="s">
        <v>491</v>
      </c>
      <c r="I246" s="7" t="s">
        <v>492</v>
      </c>
      <c r="J246" s="8">
        <v>245</v>
      </c>
      <c r="K246" s="44"/>
    </row>
    <row r="247" spans="1:11">
      <c r="A247" s="8" t="s">
        <v>197</v>
      </c>
      <c r="B247" s="7" t="s">
        <v>573</v>
      </c>
      <c r="C247" s="7" t="s">
        <v>648</v>
      </c>
      <c r="D247" s="8" t="s">
        <v>494</v>
      </c>
      <c r="E247" s="8" t="s">
        <v>488</v>
      </c>
      <c r="F247" s="8" t="s">
        <v>489</v>
      </c>
      <c r="G247" s="7" t="s">
        <v>496</v>
      </c>
      <c r="H247" s="8" t="s">
        <v>491</v>
      </c>
      <c r="I247" s="7" t="s">
        <v>492</v>
      </c>
      <c r="J247" s="8">
        <v>246</v>
      </c>
      <c r="K247" s="44"/>
    </row>
    <row r="248" spans="1:11">
      <c r="A248" s="8" t="s">
        <v>198</v>
      </c>
      <c r="B248" s="7" t="s">
        <v>574</v>
      </c>
      <c r="C248" s="7" t="s">
        <v>648</v>
      </c>
      <c r="D248" s="8" t="s">
        <v>494</v>
      </c>
      <c r="E248" s="8" t="s">
        <v>488</v>
      </c>
      <c r="F248" s="8" t="s">
        <v>489</v>
      </c>
      <c r="G248" s="7" t="s">
        <v>496</v>
      </c>
      <c r="H248" s="8" t="s">
        <v>491</v>
      </c>
      <c r="I248" s="7" t="s">
        <v>492</v>
      </c>
      <c r="J248" s="8">
        <v>247</v>
      </c>
      <c r="K248" s="44"/>
    </row>
    <row r="249" spans="1:11">
      <c r="A249" s="8" t="s">
        <v>199</v>
      </c>
      <c r="B249" s="7" t="s">
        <v>575</v>
      </c>
      <c r="C249" s="7" t="s">
        <v>648</v>
      </c>
      <c r="D249" s="8" t="s">
        <v>494</v>
      </c>
      <c r="E249" s="8" t="s">
        <v>488</v>
      </c>
      <c r="F249" s="8" t="s">
        <v>489</v>
      </c>
      <c r="G249" s="7" t="s">
        <v>496</v>
      </c>
      <c r="H249" s="8" t="s">
        <v>491</v>
      </c>
      <c r="I249" s="7" t="s">
        <v>492</v>
      </c>
      <c r="J249" s="8">
        <v>248</v>
      </c>
      <c r="K249" s="44"/>
    </row>
    <row r="250" spans="1:11">
      <c r="A250" s="8" t="s">
        <v>200</v>
      </c>
      <c r="B250" s="7" t="s">
        <v>576</v>
      </c>
      <c r="C250" s="7" t="s">
        <v>648</v>
      </c>
      <c r="D250" s="8" t="s">
        <v>494</v>
      </c>
      <c r="E250" s="8" t="s">
        <v>488</v>
      </c>
      <c r="F250" s="8" t="s">
        <v>489</v>
      </c>
      <c r="G250" s="7" t="s">
        <v>496</v>
      </c>
      <c r="H250" s="8" t="s">
        <v>491</v>
      </c>
      <c r="I250" s="7" t="s">
        <v>492</v>
      </c>
      <c r="J250" s="8">
        <v>249</v>
      </c>
      <c r="K250" s="44"/>
    </row>
    <row r="251" spans="1:11">
      <c r="A251" s="8" t="s">
        <v>920</v>
      </c>
      <c r="B251" s="7" t="s">
        <v>921</v>
      </c>
      <c r="C251" s="7" t="s">
        <v>648</v>
      </c>
      <c r="D251" s="8" t="s">
        <v>494</v>
      </c>
      <c r="E251" s="8" t="s">
        <v>488</v>
      </c>
      <c r="F251" s="8" t="s">
        <v>489</v>
      </c>
      <c r="G251" s="7" t="s">
        <v>496</v>
      </c>
      <c r="H251" s="8" t="s">
        <v>491</v>
      </c>
      <c r="I251" s="7" t="s">
        <v>492</v>
      </c>
      <c r="J251" s="8">
        <v>250</v>
      </c>
      <c r="K251" s="44"/>
    </row>
    <row r="252" spans="1:11">
      <c r="A252" s="8" t="s">
        <v>922</v>
      </c>
      <c r="B252" s="7" t="s">
        <v>923</v>
      </c>
      <c r="C252" s="7" t="s">
        <v>648</v>
      </c>
      <c r="D252" s="8" t="s">
        <v>494</v>
      </c>
      <c r="E252" s="8" t="s">
        <v>488</v>
      </c>
      <c r="F252" s="8" t="s">
        <v>489</v>
      </c>
      <c r="G252" s="7" t="s">
        <v>496</v>
      </c>
      <c r="H252" s="8" t="s">
        <v>491</v>
      </c>
      <c r="I252" s="7" t="s">
        <v>492</v>
      </c>
      <c r="J252" s="8">
        <v>251</v>
      </c>
      <c r="K252" s="44"/>
    </row>
    <row r="253" spans="1:11">
      <c r="A253" s="8" t="s">
        <v>201</v>
      </c>
      <c r="B253" s="7" t="s">
        <v>577</v>
      </c>
      <c r="C253" s="7" t="s">
        <v>648</v>
      </c>
      <c r="D253" s="8" t="s">
        <v>494</v>
      </c>
      <c r="E253" s="8" t="s">
        <v>488</v>
      </c>
      <c r="F253" s="8" t="s">
        <v>489</v>
      </c>
      <c r="G253" s="7" t="s">
        <v>496</v>
      </c>
      <c r="H253" s="8" t="s">
        <v>491</v>
      </c>
      <c r="I253" s="7" t="s">
        <v>492</v>
      </c>
      <c r="J253" s="8">
        <v>252</v>
      </c>
      <c r="K253" s="44"/>
    </row>
    <row r="254" spans="1:11">
      <c r="A254" s="8" t="s">
        <v>202</v>
      </c>
      <c r="B254" s="7" t="s">
        <v>578</v>
      </c>
      <c r="C254" s="7" t="s">
        <v>648</v>
      </c>
      <c r="D254" s="8" t="s">
        <v>494</v>
      </c>
      <c r="E254" s="8" t="s">
        <v>488</v>
      </c>
      <c r="F254" s="8" t="s">
        <v>489</v>
      </c>
      <c r="G254" s="7" t="s">
        <v>496</v>
      </c>
      <c r="H254" s="8" t="s">
        <v>491</v>
      </c>
      <c r="I254" s="7" t="s">
        <v>492</v>
      </c>
      <c r="J254" s="8">
        <v>253</v>
      </c>
      <c r="K254" s="44"/>
    </row>
    <row r="255" spans="1:11">
      <c r="A255" s="8" t="s">
        <v>203</v>
      </c>
      <c r="B255" s="7" t="s">
        <v>579</v>
      </c>
      <c r="C255" s="7" t="s">
        <v>924</v>
      </c>
      <c r="D255" s="8" t="s">
        <v>487</v>
      </c>
      <c r="E255" s="8" t="s">
        <v>504</v>
      </c>
      <c r="F255" s="8" t="s">
        <v>489</v>
      </c>
      <c r="G255" s="7" t="s">
        <v>490</v>
      </c>
      <c r="H255" s="8" t="s">
        <v>491</v>
      </c>
      <c r="I255" s="7" t="s">
        <v>492</v>
      </c>
      <c r="J255" s="8">
        <v>254</v>
      </c>
      <c r="K255" s="44"/>
    </row>
    <row r="256" spans="1:11">
      <c r="A256" s="8" t="s">
        <v>204</v>
      </c>
      <c r="B256" s="7" t="s">
        <v>580</v>
      </c>
      <c r="C256" s="7" t="s">
        <v>648</v>
      </c>
      <c r="D256" s="8" t="s">
        <v>494</v>
      </c>
      <c r="E256" s="8" t="s">
        <v>488</v>
      </c>
      <c r="F256" s="8" t="s">
        <v>489</v>
      </c>
      <c r="G256" s="7" t="s">
        <v>496</v>
      </c>
      <c r="H256" s="8" t="s">
        <v>491</v>
      </c>
      <c r="I256" s="7" t="s">
        <v>492</v>
      </c>
      <c r="J256" s="8">
        <v>255</v>
      </c>
      <c r="K256" s="44"/>
    </row>
    <row r="257" spans="1:11">
      <c r="A257" s="8" t="s">
        <v>205</v>
      </c>
      <c r="B257" s="7" t="s">
        <v>581</v>
      </c>
      <c r="C257" s="7" t="s">
        <v>649</v>
      </c>
      <c r="D257" s="8" t="s">
        <v>487</v>
      </c>
      <c r="E257" s="8" t="s">
        <v>499</v>
      </c>
      <c r="F257" s="8" t="s">
        <v>489</v>
      </c>
      <c r="G257" s="7" t="s">
        <v>490</v>
      </c>
      <c r="H257" s="8" t="s">
        <v>491</v>
      </c>
      <c r="I257" s="7" t="s">
        <v>492</v>
      </c>
      <c r="J257" s="8">
        <v>256</v>
      </c>
      <c r="K257" s="44"/>
    </row>
    <row r="258" spans="1:11">
      <c r="A258" s="8" t="s">
        <v>206</v>
      </c>
      <c r="B258" s="7" t="s">
        <v>582</v>
      </c>
      <c r="C258" s="7" t="s">
        <v>648</v>
      </c>
      <c r="D258" s="8" t="s">
        <v>494</v>
      </c>
      <c r="E258" s="8" t="s">
        <v>488</v>
      </c>
      <c r="F258" s="8" t="s">
        <v>489</v>
      </c>
      <c r="G258" s="7" t="s">
        <v>496</v>
      </c>
      <c r="H258" s="8" t="s">
        <v>491</v>
      </c>
      <c r="I258" s="7" t="s">
        <v>492</v>
      </c>
      <c r="J258" s="8">
        <v>257</v>
      </c>
      <c r="K258" s="44"/>
    </row>
    <row r="259" spans="1:11">
      <c r="A259" s="8" t="s">
        <v>207</v>
      </c>
      <c r="B259" s="7" t="s">
        <v>583</v>
      </c>
      <c r="C259" s="7" t="s">
        <v>648</v>
      </c>
      <c r="D259" s="8" t="s">
        <v>494</v>
      </c>
      <c r="E259" s="8" t="s">
        <v>488</v>
      </c>
      <c r="F259" s="8" t="s">
        <v>489</v>
      </c>
      <c r="G259" s="7" t="s">
        <v>496</v>
      </c>
      <c r="H259" s="8" t="s">
        <v>491</v>
      </c>
      <c r="I259" s="7" t="s">
        <v>492</v>
      </c>
      <c r="J259" s="8">
        <v>258</v>
      </c>
      <c r="K259" s="44"/>
    </row>
    <row r="260" spans="1:11">
      <c r="A260" s="8" t="s">
        <v>925</v>
      </c>
      <c r="B260" s="7" t="s">
        <v>926</v>
      </c>
      <c r="C260" s="7" t="s">
        <v>648</v>
      </c>
      <c r="D260" s="8" t="s">
        <v>494</v>
      </c>
      <c r="E260" s="8" t="s">
        <v>488</v>
      </c>
      <c r="F260" s="8" t="s">
        <v>489</v>
      </c>
      <c r="G260" s="7" t="s">
        <v>496</v>
      </c>
      <c r="H260" s="8" t="s">
        <v>491</v>
      </c>
      <c r="I260" s="7" t="s">
        <v>492</v>
      </c>
      <c r="J260" s="8">
        <v>259</v>
      </c>
      <c r="K260" s="44"/>
    </row>
    <row r="261" spans="1:11">
      <c r="A261" s="8" t="s">
        <v>208</v>
      </c>
      <c r="B261" s="7" t="s">
        <v>927</v>
      </c>
      <c r="C261" s="7" t="s">
        <v>648</v>
      </c>
      <c r="D261" s="8" t="s">
        <v>494</v>
      </c>
      <c r="E261" s="8" t="s">
        <v>488</v>
      </c>
      <c r="F261" s="8" t="s">
        <v>489</v>
      </c>
      <c r="G261" s="7" t="s">
        <v>496</v>
      </c>
      <c r="H261" s="8" t="s">
        <v>491</v>
      </c>
      <c r="I261" s="7" t="s">
        <v>492</v>
      </c>
      <c r="J261" s="8">
        <v>260</v>
      </c>
      <c r="K261" s="44"/>
    </row>
    <row r="262" spans="1:11">
      <c r="A262" s="8" t="s">
        <v>928</v>
      </c>
      <c r="B262" s="7" t="s">
        <v>929</v>
      </c>
      <c r="C262" s="7" t="s">
        <v>648</v>
      </c>
      <c r="D262" s="8" t="s">
        <v>494</v>
      </c>
      <c r="E262" s="8" t="s">
        <v>488</v>
      </c>
      <c r="F262" s="8" t="s">
        <v>489</v>
      </c>
      <c r="G262" s="7" t="s">
        <v>496</v>
      </c>
      <c r="H262" s="8" t="s">
        <v>491</v>
      </c>
      <c r="I262" s="7" t="s">
        <v>492</v>
      </c>
      <c r="J262" s="8">
        <v>261</v>
      </c>
      <c r="K262" s="44"/>
    </row>
    <row r="263" spans="1:11">
      <c r="A263" s="8" t="s">
        <v>209</v>
      </c>
      <c r="B263" s="7" t="s">
        <v>930</v>
      </c>
      <c r="C263" s="7" t="s">
        <v>931</v>
      </c>
      <c r="D263" s="8" t="s">
        <v>487</v>
      </c>
      <c r="E263" s="8" t="s">
        <v>499</v>
      </c>
      <c r="F263" s="8" t="s">
        <v>489</v>
      </c>
      <c r="G263" s="7" t="s">
        <v>490</v>
      </c>
      <c r="H263" s="8" t="s">
        <v>491</v>
      </c>
      <c r="I263" s="7" t="s">
        <v>492</v>
      </c>
      <c r="J263" s="8">
        <v>262</v>
      </c>
      <c r="K263" s="44"/>
    </row>
    <row r="264" spans="1:11">
      <c r="A264" s="8" t="s">
        <v>210</v>
      </c>
      <c r="B264" s="7" t="s">
        <v>584</v>
      </c>
      <c r="C264" s="7" t="s">
        <v>648</v>
      </c>
      <c r="D264" s="8" t="s">
        <v>494</v>
      </c>
      <c r="E264" s="8" t="s">
        <v>488</v>
      </c>
      <c r="F264" s="8" t="s">
        <v>489</v>
      </c>
      <c r="G264" s="7" t="s">
        <v>496</v>
      </c>
      <c r="H264" s="8" t="s">
        <v>491</v>
      </c>
      <c r="I264" s="7" t="s">
        <v>492</v>
      </c>
      <c r="J264" s="8">
        <v>263</v>
      </c>
      <c r="K264" s="44"/>
    </row>
    <row r="265" spans="1:11">
      <c r="A265" s="8" t="s">
        <v>211</v>
      </c>
      <c r="B265" s="7" t="s">
        <v>585</v>
      </c>
      <c r="C265" s="7" t="s">
        <v>648</v>
      </c>
      <c r="D265" s="8" t="s">
        <v>494</v>
      </c>
      <c r="E265" s="8" t="s">
        <v>488</v>
      </c>
      <c r="F265" s="8" t="s">
        <v>489</v>
      </c>
      <c r="G265" s="7" t="s">
        <v>496</v>
      </c>
      <c r="H265" s="8" t="s">
        <v>491</v>
      </c>
      <c r="I265" s="7" t="s">
        <v>492</v>
      </c>
      <c r="J265" s="8">
        <v>264</v>
      </c>
      <c r="K265" s="44"/>
    </row>
    <row r="266" spans="1:11">
      <c r="A266" s="8" t="s">
        <v>212</v>
      </c>
      <c r="B266" s="7" t="s">
        <v>932</v>
      </c>
      <c r="C266" s="7" t="s">
        <v>648</v>
      </c>
      <c r="D266" s="8" t="s">
        <v>494</v>
      </c>
      <c r="E266" s="8" t="s">
        <v>488</v>
      </c>
      <c r="F266" s="8" t="s">
        <v>489</v>
      </c>
      <c r="G266" s="7" t="s">
        <v>496</v>
      </c>
      <c r="H266" s="8" t="s">
        <v>491</v>
      </c>
      <c r="I266" s="7" t="s">
        <v>492</v>
      </c>
      <c r="J266" s="8">
        <v>265</v>
      </c>
      <c r="K266" s="44"/>
    </row>
    <row r="267" spans="1:11">
      <c r="A267" s="8" t="s">
        <v>213</v>
      </c>
      <c r="B267" s="7" t="s">
        <v>933</v>
      </c>
      <c r="C267" s="7" t="s">
        <v>648</v>
      </c>
      <c r="D267" s="8" t="s">
        <v>494</v>
      </c>
      <c r="E267" s="8" t="s">
        <v>488</v>
      </c>
      <c r="F267" s="8" t="s">
        <v>489</v>
      </c>
      <c r="G267" s="7" t="s">
        <v>496</v>
      </c>
      <c r="H267" s="8" t="s">
        <v>491</v>
      </c>
      <c r="I267" s="7" t="s">
        <v>492</v>
      </c>
      <c r="J267" s="8">
        <v>266</v>
      </c>
      <c r="K267" s="44"/>
    </row>
    <row r="268" spans="1:11">
      <c r="A268" s="8" t="s">
        <v>214</v>
      </c>
      <c r="B268" s="7" t="s">
        <v>586</v>
      </c>
      <c r="C268" s="7" t="s">
        <v>648</v>
      </c>
      <c r="D268" s="8" t="s">
        <v>494</v>
      </c>
      <c r="E268" s="8" t="s">
        <v>488</v>
      </c>
      <c r="F268" s="8" t="s">
        <v>489</v>
      </c>
      <c r="G268" s="7" t="s">
        <v>496</v>
      </c>
      <c r="H268" s="8" t="s">
        <v>491</v>
      </c>
      <c r="I268" s="7" t="s">
        <v>492</v>
      </c>
      <c r="J268" s="8">
        <v>267</v>
      </c>
      <c r="K268" s="44"/>
    </row>
    <row r="269" spans="1:11">
      <c r="A269" s="8" t="s">
        <v>215</v>
      </c>
      <c r="B269" s="7" t="s">
        <v>934</v>
      </c>
      <c r="C269" s="7" t="s">
        <v>648</v>
      </c>
      <c r="D269" s="8" t="s">
        <v>494</v>
      </c>
      <c r="E269" s="8" t="s">
        <v>488</v>
      </c>
      <c r="F269" s="8" t="s">
        <v>489</v>
      </c>
      <c r="G269" s="7" t="s">
        <v>496</v>
      </c>
      <c r="H269" s="8" t="s">
        <v>491</v>
      </c>
      <c r="I269" s="7" t="s">
        <v>492</v>
      </c>
      <c r="J269" s="8">
        <v>268</v>
      </c>
      <c r="K269" s="44"/>
    </row>
    <row r="270" spans="1:11">
      <c r="A270" s="8" t="s">
        <v>935</v>
      </c>
      <c r="B270" s="7" t="s">
        <v>936</v>
      </c>
      <c r="C270" s="7" t="s">
        <v>648</v>
      </c>
      <c r="D270" s="8" t="s">
        <v>494</v>
      </c>
      <c r="E270" s="8" t="s">
        <v>488</v>
      </c>
      <c r="F270" s="8" t="s">
        <v>489</v>
      </c>
      <c r="G270" s="7" t="s">
        <v>496</v>
      </c>
      <c r="H270" s="8" t="s">
        <v>491</v>
      </c>
      <c r="I270" s="7" t="s">
        <v>492</v>
      </c>
      <c r="J270" s="8">
        <v>269</v>
      </c>
      <c r="K270" s="44"/>
    </row>
    <row r="271" spans="1:11">
      <c r="A271" s="8" t="s">
        <v>216</v>
      </c>
      <c r="B271" s="7" t="s">
        <v>937</v>
      </c>
      <c r="C271" s="7" t="s">
        <v>648</v>
      </c>
      <c r="D271" s="8" t="s">
        <v>494</v>
      </c>
      <c r="E271" s="8" t="s">
        <v>488</v>
      </c>
      <c r="F271" s="8" t="s">
        <v>489</v>
      </c>
      <c r="G271" s="7" t="s">
        <v>496</v>
      </c>
      <c r="H271" s="8" t="s">
        <v>491</v>
      </c>
      <c r="I271" s="7" t="s">
        <v>492</v>
      </c>
      <c r="J271" s="8">
        <v>270</v>
      </c>
      <c r="K271" s="44"/>
    </row>
    <row r="272" spans="1:11">
      <c r="A272" s="8" t="s">
        <v>217</v>
      </c>
      <c r="B272" s="7" t="s">
        <v>587</v>
      </c>
      <c r="C272" s="7" t="s">
        <v>648</v>
      </c>
      <c r="D272" s="8" t="s">
        <v>494</v>
      </c>
      <c r="E272" s="8" t="s">
        <v>488</v>
      </c>
      <c r="F272" s="8" t="s">
        <v>489</v>
      </c>
      <c r="G272" s="7" t="s">
        <v>496</v>
      </c>
      <c r="H272" s="8" t="s">
        <v>491</v>
      </c>
      <c r="I272" s="7" t="s">
        <v>492</v>
      </c>
      <c r="J272" s="8">
        <v>271</v>
      </c>
      <c r="K272" s="44"/>
    </row>
    <row r="273" spans="1:11">
      <c r="A273" s="8" t="s">
        <v>218</v>
      </c>
      <c r="B273" s="7" t="s">
        <v>938</v>
      </c>
      <c r="C273" s="7" t="s">
        <v>648</v>
      </c>
      <c r="D273" s="8" t="s">
        <v>494</v>
      </c>
      <c r="E273" s="8" t="s">
        <v>488</v>
      </c>
      <c r="F273" s="8" t="s">
        <v>489</v>
      </c>
      <c r="G273" s="7" t="s">
        <v>496</v>
      </c>
      <c r="H273" s="8" t="s">
        <v>491</v>
      </c>
      <c r="I273" s="7" t="s">
        <v>492</v>
      </c>
      <c r="J273" s="8">
        <v>272</v>
      </c>
      <c r="K273" s="44"/>
    </row>
    <row r="274" spans="1:11">
      <c r="A274" s="8" t="s">
        <v>219</v>
      </c>
      <c r="B274" s="7" t="s">
        <v>588</v>
      </c>
      <c r="C274" s="7" t="s">
        <v>648</v>
      </c>
      <c r="D274" s="8" t="s">
        <v>494</v>
      </c>
      <c r="E274" s="8" t="s">
        <v>488</v>
      </c>
      <c r="F274" s="8" t="s">
        <v>489</v>
      </c>
      <c r="G274" s="7" t="s">
        <v>496</v>
      </c>
      <c r="H274" s="8" t="s">
        <v>491</v>
      </c>
      <c r="I274" s="7" t="s">
        <v>492</v>
      </c>
      <c r="J274" s="8">
        <v>273</v>
      </c>
      <c r="K274" s="44"/>
    </row>
    <row r="275" spans="1:11">
      <c r="A275" s="8" t="s">
        <v>220</v>
      </c>
      <c r="B275" s="7" t="s">
        <v>589</v>
      </c>
      <c r="C275" s="7" t="s">
        <v>649</v>
      </c>
      <c r="D275" s="8" t="s">
        <v>487</v>
      </c>
      <c r="E275" s="8" t="s">
        <v>504</v>
      </c>
      <c r="F275" s="8" t="s">
        <v>489</v>
      </c>
      <c r="G275" s="7" t="s">
        <v>490</v>
      </c>
      <c r="H275" s="8" t="s">
        <v>491</v>
      </c>
      <c r="I275" s="7" t="s">
        <v>492</v>
      </c>
      <c r="J275" s="8">
        <v>274</v>
      </c>
      <c r="K275" s="44"/>
    </row>
    <row r="276" spans="1:11">
      <c r="A276" s="8" t="s">
        <v>221</v>
      </c>
      <c r="B276" s="7" t="s">
        <v>590</v>
      </c>
      <c r="C276" s="7" t="s">
        <v>648</v>
      </c>
      <c r="D276" s="8" t="s">
        <v>494</v>
      </c>
      <c r="E276" s="8" t="s">
        <v>488</v>
      </c>
      <c r="F276" s="8" t="s">
        <v>489</v>
      </c>
      <c r="G276" s="7" t="s">
        <v>496</v>
      </c>
      <c r="H276" s="8" t="s">
        <v>491</v>
      </c>
      <c r="I276" s="7" t="s">
        <v>492</v>
      </c>
      <c r="J276" s="8">
        <v>275</v>
      </c>
      <c r="K276" s="44"/>
    </row>
    <row r="277" spans="1:11">
      <c r="A277" s="8" t="s">
        <v>222</v>
      </c>
      <c r="B277" s="7" t="s">
        <v>591</v>
      </c>
      <c r="C277" s="7" t="s">
        <v>648</v>
      </c>
      <c r="D277" s="8" t="s">
        <v>494</v>
      </c>
      <c r="E277" s="8" t="s">
        <v>488</v>
      </c>
      <c r="F277" s="8" t="s">
        <v>489</v>
      </c>
      <c r="G277" s="7" t="s">
        <v>496</v>
      </c>
      <c r="H277" s="8" t="s">
        <v>491</v>
      </c>
      <c r="I277" s="7" t="s">
        <v>492</v>
      </c>
      <c r="J277" s="8">
        <v>276</v>
      </c>
      <c r="K277" s="44"/>
    </row>
    <row r="278" spans="1:11">
      <c r="A278" s="8" t="s">
        <v>223</v>
      </c>
      <c r="B278" s="7" t="s">
        <v>592</v>
      </c>
      <c r="C278" s="7" t="s">
        <v>648</v>
      </c>
      <c r="D278" s="8" t="s">
        <v>494</v>
      </c>
      <c r="E278" s="8" t="s">
        <v>488</v>
      </c>
      <c r="F278" s="8" t="s">
        <v>489</v>
      </c>
      <c r="G278" s="7" t="s">
        <v>496</v>
      </c>
      <c r="H278" s="8" t="s">
        <v>491</v>
      </c>
      <c r="I278" s="7" t="s">
        <v>492</v>
      </c>
      <c r="J278" s="8">
        <v>277</v>
      </c>
      <c r="K278" s="44"/>
    </row>
    <row r="279" spans="1:11">
      <c r="A279" s="8" t="s">
        <v>224</v>
      </c>
      <c r="B279" s="7" t="s">
        <v>939</v>
      </c>
      <c r="C279" s="7" t="s">
        <v>648</v>
      </c>
      <c r="D279" s="8" t="s">
        <v>494</v>
      </c>
      <c r="E279" s="8" t="s">
        <v>488</v>
      </c>
      <c r="F279" s="8" t="s">
        <v>489</v>
      </c>
      <c r="G279" s="7" t="s">
        <v>496</v>
      </c>
      <c r="H279" s="8" t="s">
        <v>491</v>
      </c>
      <c r="I279" s="7" t="s">
        <v>492</v>
      </c>
      <c r="J279" s="8">
        <v>278</v>
      </c>
      <c r="K279" s="44"/>
    </row>
    <row r="280" spans="1:11">
      <c r="A280" s="8" t="s">
        <v>225</v>
      </c>
      <c r="B280" s="7" t="s">
        <v>593</v>
      </c>
      <c r="C280" s="7" t="s">
        <v>648</v>
      </c>
      <c r="D280" s="8" t="s">
        <v>494</v>
      </c>
      <c r="E280" s="8" t="s">
        <v>488</v>
      </c>
      <c r="F280" s="8" t="s">
        <v>489</v>
      </c>
      <c r="G280" s="7" t="s">
        <v>496</v>
      </c>
      <c r="H280" s="8" t="s">
        <v>491</v>
      </c>
      <c r="I280" s="7" t="s">
        <v>492</v>
      </c>
      <c r="J280" s="8">
        <v>279</v>
      </c>
      <c r="K280" s="44"/>
    </row>
    <row r="281" spans="1:11">
      <c r="A281" s="8" t="s">
        <v>226</v>
      </c>
      <c r="B281" s="7" t="s">
        <v>940</v>
      </c>
      <c r="C281" s="7" t="s">
        <v>648</v>
      </c>
      <c r="D281" s="8" t="s">
        <v>494</v>
      </c>
      <c r="E281" s="8" t="s">
        <v>488</v>
      </c>
      <c r="F281" s="8" t="s">
        <v>489</v>
      </c>
      <c r="G281" s="7" t="s">
        <v>496</v>
      </c>
      <c r="H281" s="8" t="s">
        <v>491</v>
      </c>
      <c r="I281" s="7" t="s">
        <v>492</v>
      </c>
      <c r="J281" s="8">
        <v>280</v>
      </c>
      <c r="K281" s="44"/>
    </row>
    <row r="282" spans="1:11">
      <c r="A282" s="8" t="s">
        <v>227</v>
      </c>
      <c r="B282" s="7" t="s">
        <v>594</v>
      </c>
      <c r="C282" s="7" t="s">
        <v>648</v>
      </c>
      <c r="D282" s="8" t="s">
        <v>494</v>
      </c>
      <c r="E282" s="8" t="s">
        <v>488</v>
      </c>
      <c r="F282" s="8" t="s">
        <v>489</v>
      </c>
      <c r="G282" s="7" t="s">
        <v>496</v>
      </c>
      <c r="H282" s="8" t="s">
        <v>491</v>
      </c>
      <c r="I282" s="7" t="s">
        <v>492</v>
      </c>
      <c r="J282" s="8">
        <v>281</v>
      </c>
      <c r="K282" s="44"/>
    </row>
    <row r="283" spans="1:11">
      <c r="A283" s="8" t="s">
        <v>228</v>
      </c>
      <c r="B283" s="7" t="s">
        <v>941</v>
      </c>
      <c r="C283" s="7" t="s">
        <v>648</v>
      </c>
      <c r="D283" s="8" t="s">
        <v>494</v>
      </c>
      <c r="E283" s="8" t="s">
        <v>488</v>
      </c>
      <c r="F283" s="8" t="s">
        <v>489</v>
      </c>
      <c r="G283" s="7" t="s">
        <v>496</v>
      </c>
      <c r="H283" s="8" t="s">
        <v>491</v>
      </c>
      <c r="I283" s="7" t="s">
        <v>492</v>
      </c>
      <c r="J283" s="8">
        <v>282</v>
      </c>
      <c r="K283" s="44"/>
    </row>
    <row r="284" spans="1:11">
      <c r="A284" s="8" t="s">
        <v>942</v>
      </c>
      <c r="B284" s="7" t="s">
        <v>943</v>
      </c>
      <c r="C284" s="7" t="s">
        <v>648</v>
      </c>
      <c r="D284" s="8" t="s">
        <v>494</v>
      </c>
      <c r="E284" s="8" t="s">
        <v>488</v>
      </c>
      <c r="F284" s="8" t="s">
        <v>489</v>
      </c>
      <c r="G284" s="7" t="s">
        <v>496</v>
      </c>
      <c r="H284" s="8" t="s">
        <v>491</v>
      </c>
      <c r="I284" s="7" t="s">
        <v>492</v>
      </c>
      <c r="J284" s="8">
        <v>283</v>
      </c>
      <c r="K284" s="44"/>
    </row>
    <row r="285" spans="1:11">
      <c r="A285" s="8" t="s">
        <v>229</v>
      </c>
      <c r="B285" s="7" t="s">
        <v>944</v>
      </c>
      <c r="C285" s="7" t="s">
        <v>648</v>
      </c>
      <c r="D285" s="8" t="s">
        <v>494</v>
      </c>
      <c r="E285" s="8" t="s">
        <v>488</v>
      </c>
      <c r="F285" s="8" t="s">
        <v>489</v>
      </c>
      <c r="G285" s="7" t="s">
        <v>496</v>
      </c>
      <c r="H285" s="8" t="s">
        <v>491</v>
      </c>
      <c r="I285" s="7" t="s">
        <v>492</v>
      </c>
      <c r="J285" s="8">
        <v>284</v>
      </c>
      <c r="K285" s="44"/>
    </row>
    <row r="286" spans="1:11">
      <c r="A286" s="8" t="s">
        <v>230</v>
      </c>
      <c r="B286" s="7" t="s">
        <v>945</v>
      </c>
      <c r="C286" s="7" t="s">
        <v>648</v>
      </c>
      <c r="D286" s="8" t="s">
        <v>494</v>
      </c>
      <c r="E286" s="8" t="s">
        <v>488</v>
      </c>
      <c r="F286" s="8" t="s">
        <v>489</v>
      </c>
      <c r="G286" s="7" t="s">
        <v>496</v>
      </c>
      <c r="H286" s="8" t="s">
        <v>491</v>
      </c>
      <c r="I286" s="7" t="s">
        <v>492</v>
      </c>
      <c r="J286" s="8">
        <v>285</v>
      </c>
      <c r="K286" s="44"/>
    </row>
    <row r="287" spans="1:11">
      <c r="A287" s="8" t="s">
        <v>231</v>
      </c>
      <c r="B287" s="7" t="s">
        <v>946</v>
      </c>
      <c r="C287" s="7" t="s">
        <v>648</v>
      </c>
      <c r="D287" s="8" t="s">
        <v>494</v>
      </c>
      <c r="E287" s="8" t="s">
        <v>488</v>
      </c>
      <c r="F287" s="8" t="s">
        <v>489</v>
      </c>
      <c r="G287" s="7" t="s">
        <v>496</v>
      </c>
      <c r="H287" s="8" t="s">
        <v>491</v>
      </c>
      <c r="I287" s="7" t="s">
        <v>492</v>
      </c>
      <c r="J287" s="8">
        <v>286</v>
      </c>
      <c r="K287" s="44"/>
    </row>
    <row r="288" spans="1:11">
      <c r="A288" s="8" t="s">
        <v>947</v>
      </c>
      <c r="B288" s="7" t="s">
        <v>948</v>
      </c>
      <c r="C288" s="7" t="s">
        <v>648</v>
      </c>
      <c r="D288" s="8" t="s">
        <v>494</v>
      </c>
      <c r="E288" s="8" t="s">
        <v>488</v>
      </c>
      <c r="F288" s="8" t="s">
        <v>489</v>
      </c>
      <c r="G288" s="7" t="s">
        <v>496</v>
      </c>
      <c r="H288" s="8" t="s">
        <v>491</v>
      </c>
      <c r="I288" s="7" t="s">
        <v>492</v>
      </c>
      <c r="J288" s="8">
        <v>287</v>
      </c>
      <c r="K288" s="44"/>
    </row>
    <row r="289" spans="1:11">
      <c r="A289" s="8" t="s">
        <v>232</v>
      </c>
      <c r="B289" s="7" t="s">
        <v>949</v>
      </c>
      <c r="C289" s="7" t="s">
        <v>648</v>
      </c>
      <c r="D289" s="8" t="s">
        <v>494</v>
      </c>
      <c r="E289" s="8" t="s">
        <v>488</v>
      </c>
      <c r="F289" s="8" t="s">
        <v>489</v>
      </c>
      <c r="G289" s="7" t="s">
        <v>496</v>
      </c>
      <c r="H289" s="8" t="s">
        <v>491</v>
      </c>
      <c r="I289" s="7" t="s">
        <v>492</v>
      </c>
      <c r="J289" s="8">
        <v>288</v>
      </c>
      <c r="K289" s="44"/>
    </row>
    <row r="290" spans="1:11">
      <c r="A290" s="8" t="s">
        <v>233</v>
      </c>
      <c r="B290" s="7" t="s">
        <v>950</v>
      </c>
      <c r="C290" s="7" t="s">
        <v>648</v>
      </c>
      <c r="D290" s="8" t="s">
        <v>494</v>
      </c>
      <c r="E290" s="8" t="s">
        <v>488</v>
      </c>
      <c r="F290" s="8" t="s">
        <v>489</v>
      </c>
      <c r="G290" s="7" t="s">
        <v>496</v>
      </c>
      <c r="H290" s="8" t="s">
        <v>491</v>
      </c>
      <c r="I290" s="7" t="s">
        <v>492</v>
      </c>
      <c r="J290" s="8">
        <v>289</v>
      </c>
      <c r="K290" s="44"/>
    </row>
    <row r="291" spans="1:11">
      <c r="A291" s="8" t="s">
        <v>234</v>
      </c>
      <c r="B291" s="7" t="s">
        <v>951</v>
      </c>
      <c r="C291" s="7" t="s">
        <v>648</v>
      </c>
      <c r="D291" s="8" t="s">
        <v>494</v>
      </c>
      <c r="E291" s="8" t="s">
        <v>488</v>
      </c>
      <c r="F291" s="8" t="s">
        <v>489</v>
      </c>
      <c r="G291" s="7" t="s">
        <v>496</v>
      </c>
      <c r="H291" s="8" t="s">
        <v>491</v>
      </c>
      <c r="I291" s="7" t="s">
        <v>492</v>
      </c>
      <c r="J291" s="8">
        <v>290</v>
      </c>
      <c r="K291" s="44"/>
    </row>
    <row r="292" spans="1:11">
      <c r="A292" s="8" t="s">
        <v>235</v>
      </c>
      <c r="B292" s="7" t="s">
        <v>952</v>
      </c>
      <c r="C292" s="7" t="s">
        <v>648</v>
      </c>
      <c r="D292" s="8" t="s">
        <v>494</v>
      </c>
      <c r="E292" s="8" t="s">
        <v>488</v>
      </c>
      <c r="F292" s="8" t="s">
        <v>489</v>
      </c>
      <c r="G292" s="7" t="s">
        <v>496</v>
      </c>
      <c r="H292" s="8" t="s">
        <v>491</v>
      </c>
      <c r="I292" s="7" t="s">
        <v>492</v>
      </c>
      <c r="J292" s="8">
        <v>291</v>
      </c>
      <c r="K292" s="44"/>
    </row>
    <row r="293" spans="1:11">
      <c r="A293" s="8" t="s">
        <v>236</v>
      </c>
      <c r="B293" s="7" t="s">
        <v>953</v>
      </c>
      <c r="C293" s="7" t="s">
        <v>648</v>
      </c>
      <c r="D293" s="8" t="s">
        <v>494</v>
      </c>
      <c r="E293" s="8" t="s">
        <v>488</v>
      </c>
      <c r="F293" s="8" t="s">
        <v>489</v>
      </c>
      <c r="G293" s="7" t="s">
        <v>496</v>
      </c>
      <c r="H293" s="8" t="s">
        <v>491</v>
      </c>
      <c r="I293" s="7" t="s">
        <v>492</v>
      </c>
      <c r="J293" s="8">
        <v>292</v>
      </c>
      <c r="K293" s="44"/>
    </row>
    <row r="294" spans="1:11">
      <c r="A294" s="8" t="s">
        <v>237</v>
      </c>
      <c r="B294" s="7" t="s">
        <v>954</v>
      </c>
      <c r="C294" s="7" t="s">
        <v>648</v>
      </c>
      <c r="D294" s="8" t="s">
        <v>494</v>
      </c>
      <c r="E294" s="8" t="s">
        <v>488</v>
      </c>
      <c r="F294" s="8" t="s">
        <v>489</v>
      </c>
      <c r="G294" s="7" t="s">
        <v>496</v>
      </c>
      <c r="H294" s="8" t="s">
        <v>491</v>
      </c>
      <c r="I294" s="7" t="s">
        <v>492</v>
      </c>
      <c r="J294" s="8">
        <v>293</v>
      </c>
      <c r="K294" s="44"/>
    </row>
    <row r="295" spans="1:11">
      <c r="A295" s="8" t="s">
        <v>238</v>
      </c>
      <c r="B295" s="7" t="s">
        <v>955</v>
      </c>
      <c r="C295" s="7" t="s">
        <v>649</v>
      </c>
      <c r="D295" s="8" t="s">
        <v>487</v>
      </c>
      <c r="E295" s="8" t="s">
        <v>504</v>
      </c>
      <c r="F295" s="8" t="s">
        <v>489</v>
      </c>
      <c r="G295" s="7" t="s">
        <v>490</v>
      </c>
      <c r="H295" s="8" t="s">
        <v>491</v>
      </c>
      <c r="I295" s="7" t="s">
        <v>492</v>
      </c>
      <c r="J295" s="8">
        <v>294</v>
      </c>
      <c r="K295" s="44"/>
    </row>
    <row r="296" spans="1:11">
      <c r="A296" s="8" t="s">
        <v>239</v>
      </c>
      <c r="B296" s="7" t="s">
        <v>956</v>
      </c>
      <c r="C296" s="7" t="s">
        <v>648</v>
      </c>
      <c r="D296" s="8" t="s">
        <v>494</v>
      </c>
      <c r="E296" s="8" t="s">
        <v>488</v>
      </c>
      <c r="F296" s="8" t="s">
        <v>489</v>
      </c>
      <c r="G296" s="7" t="s">
        <v>496</v>
      </c>
      <c r="H296" s="8" t="s">
        <v>491</v>
      </c>
      <c r="I296" s="7" t="s">
        <v>492</v>
      </c>
      <c r="J296" s="8">
        <v>295</v>
      </c>
      <c r="K296" s="44"/>
    </row>
    <row r="297" spans="1:11">
      <c r="A297" s="8" t="s">
        <v>240</v>
      </c>
      <c r="B297" s="7" t="s">
        <v>957</v>
      </c>
      <c r="C297" s="7" t="s">
        <v>648</v>
      </c>
      <c r="D297" s="8" t="s">
        <v>494</v>
      </c>
      <c r="E297" s="8" t="s">
        <v>488</v>
      </c>
      <c r="F297" s="8" t="s">
        <v>489</v>
      </c>
      <c r="G297" s="7" t="s">
        <v>496</v>
      </c>
      <c r="H297" s="8" t="s">
        <v>491</v>
      </c>
      <c r="I297" s="7" t="s">
        <v>492</v>
      </c>
      <c r="J297" s="8">
        <v>296</v>
      </c>
      <c r="K297" s="44"/>
    </row>
    <row r="298" spans="1:11">
      <c r="A298" s="8" t="s">
        <v>241</v>
      </c>
      <c r="B298" s="7" t="s">
        <v>958</v>
      </c>
      <c r="C298" s="7" t="s">
        <v>649</v>
      </c>
      <c r="D298" s="8" t="s">
        <v>487</v>
      </c>
      <c r="E298" s="8" t="s">
        <v>504</v>
      </c>
      <c r="F298" s="8" t="s">
        <v>489</v>
      </c>
      <c r="G298" s="7" t="s">
        <v>490</v>
      </c>
      <c r="H298" s="8" t="s">
        <v>491</v>
      </c>
      <c r="I298" s="7" t="s">
        <v>492</v>
      </c>
      <c r="J298" s="8">
        <v>297</v>
      </c>
      <c r="K298" s="44"/>
    </row>
    <row r="299" spans="1:11">
      <c r="A299" s="8" t="s">
        <v>242</v>
      </c>
      <c r="B299" s="7" t="s">
        <v>959</v>
      </c>
      <c r="C299" s="7" t="s">
        <v>960</v>
      </c>
      <c r="D299" s="8" t="s">
        <v>487</v>
      </c>
      <c r="E299" s="8" t="s">
        <v>504</v>
      </c>
      <c r="F299" s="8" t="s">
        <v>489</v>
      </c>
      <c r="G299" s="7" t="s">
        <v>490</v>
      </c>
      <c r="H299" s="8" t="s">
        <v>491</v>
      </c>
      <c r="I299" s="7" t="s">
        <v>492</v>
      </c>
      <c r="J299" s="8">
        <v>298</v>
      </c>
      <c r="K299" s="44"/>
    </row>
    <row r="300" spans="1:11">
      <c r="A300" s="8" t="s">
        <v>243</v>
      </c>
      <c r="B300" s="7" t="s">
        <v>961</v>
      </c>
      <c r="C300" s="7" t="s">
        <v>648</v>
      </c>
      <c r="D300" s="8" t="s">
        <v>494</v>
      </c>
      <c r="E300" s="8" t="s">
        <v>488</v>
      </c>
      <c r="F300" s="8" t="s">
        <v>489</v>
      </c>
      <c r="G300" s="7" t="s">
        <v>496</v>
      </c>
      <c r="H300" s="8" t="s">
        <v>491</v>
      </c>
      <c r="I300" s="7" t="s">
        <v>492</v>
      </c>
      <c r="J300" s="8">
        <v>299</v>
      </c>
      <c r="K300" s="44"/>
    </row>
    <row r="301" spans="1:11">
      <c r="A301" s="8" t="s">
        <v>244</v>
      </c>
      <c r="B301" s="7" t="s">
        <v>962</v>
      </c>
      <c r="C301" s="7" t="s">
        <v>648</v>
      </c>
      <c r="D301" s="8" t="s">
        <v>494</v>
      </c>
      <c r="E301" s="8" t="s">
        <v>488</v>
      </c>
      <c r="F301" s="8" t="s">
        <v>489</v>
      </c>
      <c r="G301" s="7" t="s">
        <v>496</v>
      </c>
      <c r="H301" s="8" t="s">
        <v>491</v>
      </c>
      <c r="I301" s="7" t="s">
        <v>492</v>
      </c>
      <c r="J301" s="8">
        <v>300</v>
      </c>
      <c r="K301" s="44"/>
    </row>
    <row r="302" spans="1:11">
      <c r="A302" s="8" t="s">
        <v>963</v>
      </c>
      <c r="B302" s="7" t="s">
        <v>964</v>
      </c>
      <c r="C302" s="7" t="s">
        <v>648</v>
      </c>
      <c r="D302" s="8" t="s">
        <v>494</v>
      </c>
      <c r="E302" s="8" t="s">
        <v>488</v>
      </c>
      <c r="F302" s="8" t="s">
        <v>489</v>
      </c>
      <c r="G302" s="7" t="s">
        <v>496</v>
      </c>
      <c r="H302" s="8" t="s">
        <v>491</v>
      </c>
      <c r="I302" s="7" t="s">
        <v>492</v>
      </c>
      <c r="J302" s="8">
        <v>301</v>
      </c>
      <c r="K302" s="44"/>
    </row>
    <row r="303" spans="1:11">
      <c r="A303" s="8" t="s">
        <v>245</v>
      </c>
      <c r="B303" s="7" t="s">
        <v>965</v>
      </c>
      <c r="C303" s="7" t="s">
        <v>648</v>
      </c>
      <c r="D303" s="8" t="s">
        <v>494</v>
      </c>
      <c r="E303" s="8" t="s">
        <v>488</v>
      </c>
      <c r="F303" s="8" t="s">
        <v>489</v>
      </c>
      <c r="G303" s="7" t="s">
        <v>496</v>
      </c>
      <c r="H303" s="8" t="s">
        <v>491</v>
      </c>
      <c r="I303" s="7" t="s">
        <v>492</v>
      </c>
      <c r="J303" s="8">
        <v>302</v>
      </c>
      <c r="K303" s="44"/>
    </row>
    <row r="304" spans="1:11">
      <c r="A304" s="8" t="s">
        <v>246</v>
      </c>
      <c r="B304" s="7" t="s">
        <v>966</v>
      </c>
      <c r="C304" s="7" t="s">
        <v>648</v>
      </c>
      <c r="D304" s="8" t="s">
        <v>494</v>
      </c>
      <c r="E304" s="8" t="s">
        <v>488</v>
      </c>
      <c r="F304" s="8" t="s">
        <v>489</v>
      </c>
      <c r="G304" s="7" t="s">
        <v>496</v>
      </c>
      <c r="H304" s="8" t="s">
        <v>491</v>
      </c>
      <c r="I304" s="7" t="s">
        <v>492</v>
      </c>
      <c r="J304" s="8">
        <v>303</v>
      </c>
      <c r="K304" s="44"/>
    </row>
    <row r="305" spans="1:11">
      <c r="A305" s="8" t="s">
        <v>247</v>
      </c>
      <c r="B305" s="7" t="s">
        <v>967</v>
      </c>
      <c r="C305" s="7" t="s">
        <v>968</v>
      </c>
      <c r="D305" s="8" t="s">
        <v>487</v>
      </c>
      <c r="E305" s="8" t="s">
        <v>504</v>
      </c>
      <c r="F305" s="8" t="s">
        <v>489</v>
      </c>
      <c r="G305" s="7" t="s">
        <v>490</v>
      </c>
      <c r="H305" s="8" t="s">
        <v>491</v>
      </c>
      <c r="I305" s="7" t="s">
        <v>492</v>
      </c>
      <c r="J305" s="8">
        <v>304</v>
      </c>
      <c r="K305" s="44"/>
    </row>
    <row r="306" spans="1:11">
      <c r="A306" s="8" t="s">
        <v>248</v>
      </c>
      <c r="B306" s="7" t="s">
        <v>969</v>
      </c>
      <c r="C306" s="7" t="s">
        <v>648</v>
      </c>
      <c r="D306" s="8" t="s">
        <v>494</v>
      </c>
      <c r="E306" s="8" t="s">
        <v>488</v>
      </c>
      <c r="F306" s="8" t="s">
        <v>489</v>
      </c>
      <c r="G306" s="7" t="s">
        <v>496</v>
      </c>
      <c r="H306" s="8" t="s">
        <v>491</v>
      </c>
      <c r="I306" s="7" t="s">
        <v>492</v>
      </c>
      <c r="J306" s="8">
        <v>305</v>
      </c>
      <c r="K306" s="44"/>
    </row>
    <row r="307" spans="1:11">
      <c r="A307" s="8" t="s">
        <v>249</v>
      </c>
      <c r="B307" s="7" t="s">
        <v>970</v>
      </c>
      <c r="C307" s="7" t="s">
        <v>648</v>
      </c>
      <c r="D307" s="8" t="s">
        <v>494</v>
      </c>
      <c r="E307" s="8" t="s">
        <v>488</v>
      </c>
      <c r="F307" s="8" t="s">
        <v>489</v>
      </c>
      <c r="G307" s="7" t="s">
        <v>496</v>
      </c>
      <c r="H307" s="8" t="s">
        <v>491</v>
      </c>
      <c r="I307" s="7" t="s">
        <v>492</v>
      </c>
      <c r="J307" s="8">
        <v>306</v>
      </c>
      <c r="K307" s="44"/>
    </row>
    <row r="308" spans="1:11">
      <c r="A308" s="8" t="s">
        <v>250</v>
      </c>
      <c r="B308" s="7" t="s">
        <v>971</v>
      </c>
      <c r="C308" s="7" t="s">
        <v>648</v>
      </c>
      <c r="D308" s="8" t="s">
        <v>494</v>
      </c>
      <c r="E308" s="8" t="s">
        <v>488</v>
      </c>
      <c r="F308" s="8" t="s">
        <v>489</v>
      </c>
      <c r="G308" s="7" t="s">
        <v>496</v>
      </c>
      <c r="H308" s="8" t="s">
        <v>491</v>
      </c>
      <c r="I308" s="7" t="s">
        <v>492</v>
      </c>
      <c r="J308" s="8">
        <v>307</v>
      </c>
      <c r="K308" s="44"/>
    </row>
    <row r="309" spans="1:11">
      <c r="A309" s="8" t="s">
        <v>251</v>
      </c>
      <c r="B309" s="7" t="s">
        <v>972</v>
      </c>
      <c r="C309" s="7" t="s">
        <v>648</v>
      </c>
      <c r="D309" s="8" t="s">
        <v>494</v>
      </c>
      <c r="E309" s="8" t="s">
        <v>488</v>
      </c>
      <c r="F309" s="8" t="s">
        <v>489</v>
      </c>
      <c r="G309" s="7" t="s">
        <v>496</v>
      </c>
      <c r="H309" s="8" t="s">
        <v>491</v>
      </c>
      <c r="I309" s="7" t="s">
        <v>492</v>
      </c>
      <c r="J309" s="8">
        <v>308</v>
      </c>
      <c r="K309" s="44"/>
    </row>
    <row r="310" spans="1:11">
      <c r="A310" s="8" t="s">
        <v>252</v>
      </c>
      <c r="B310" s="7" t="s">
        <v>973</v>
      </c>
      <c r="C310" s="7" t="s">
        <v>648</v>
      </c>
      <c r="D310" s="8" t="s">
        <v>494</v>
      </c>
      <c r="E310" s="8" t="s">
        <v>488</v>
      </c>
      <c r="F310" s="8" t="s">
        <v>489</v>
      </c>
      <c r="G310" s="7" t="s">
        <v>496</v>
      </c>
      <c r="H310" s="8" t="s">
        <v>491</v>
      </c>
      <c r="I310" s="7" t="s">
        <v>492</v>
      </c>
      <c r="J310" s="8">
        <v>309</v>
      </c>
      <c r="K310" s="44"/>
    </row>
    <row r="311" spans="1:11">
      <c r="A311" s="8" t="s">
        <v>253</v>
      </c>
      <c r="B311" s="7" t="s">
        <v>974</v>
      </c>
      <c r="C311" s="7" t="s">
        <v>649</v>
      </c>
      <c r="D311" s="8" t="s">
        <v>487</v>
      </c>
      <c r="E311" s="8" t="s">
        <v>488</v>
      </c>
      <c r="F311" s="8" t="s">
        <v>489</v>
      </c>
      <c r="G311" s="7" t="s">
        <v>490</v>
      </c>
      <c r="H311" s="8" t="s">
        <v>491</v>
      </c>
      <c r="I311" s="7" t="s">
        <v>492</v>
      </c>
      <c r="J311" s="8">
        <v>310</v>
      </c>
      <c r="K311" s="44"/>
    </row>
    <row r="312" spans="1:11">
      <c r="A312" s="8" t="s">
        <v>254</v>
      </c>
      <c r="B312" s="7" t="s">
        <v>975</v>
      </c>
      <c r="C312" s="7" t="s">
        <v>976</v>
      </c>
      <c r="D312" s="8" t="s">
        <v>635</v>
      </c>
      <c r="E312" s="8" t="s">
        <v>495</v>
      </c>
      <c r="F312" s="8" t="s">
        <v>489</v>
      </c>
      <c r="G312" s="7" t="s">
        <v>636</v>
      </c>
      <c r="H312" s="8" t="s">
        <v>977</v>
      </c>
      <c r="I312" s="7" t="s">
        <v>492</v>
      </c>
      <c r="J312" s="8">
        <v>311</v>
      </c>
      <c r="K312" s="44"/>
    </row>
    <row r="313" spans="1:11">
      <c r="A313" s="8" t="s">
        <v>255</v>
      </c>
      <c r="B313" s="7" t="s">
        <v>978</v>
      </c>
      <c r="C313" s="7" t="s">
        <v>648</v>
      </c>
      <c r="D313" s="8" t="s">
        <v>494</v>
      </c>
      <c r="E313" s="8" t="s">
        <v>488</v>
      </c>
      <c r="F313" s="8" t="s">
        <v>489</v>
      </c>
      <c r="G313" s="7" t="s">
        <v>496</v>
      </c>
      <c r="H313" s="8" t="s">
        <v>491</v>
      </c>
      <c r="I313" s="7" t="s">
        <v>492</v>
      </c>
      <c r="J313" s="8">
        <v>312</v>
      </c>
      <c r="K313" s="44"/>
    </row>
    <row r="314" spans="1:11">
      <c r="A314" s="8" t="s">
        <v>256</v>
      </c>
      <c r="B314" s="7" t="s">
        <v>979</v>
      </c>
      <c r="C314" s="7" t="s">
        <v>648</v>
      </c>
      <c r="D314" s="8" t="s">
        <v>494</v>
      </c>
      <c r="E314" s="8" t="s">
        <v>488</v>
      </c>
      <c r="F314" s="8" t="s">
        <v>489</v>
      </c>
      <c r="G314" s="7" t="s">
        <v>496</v>
      </c>
      <c r="H314" s="8" t="s">
        <v>491</v>
      </c>
      <c r="I314" s="7" t="s">
        <v>492</v>
      </c>
      <c r="J314" s="8">
        <v>313</v>
      </c>
      <c r="K314" s="44"/>
    </row>
    <row r="315" spans="1:11">
      <c r="A315" s="8" t="s">
        <v>980</v>
      </c>
      <c r="B315" s="7" t="s">
        <v>981</v>
      </c>
      <c r="C315" s="7" t="s">
        <v>648</v>
      </c>
      <c r="D315" s="8" t="s">
        <v>494</v>
      </c>
      <c r="E315" s="8" t="s">
        <v>488</v>
      </c>
      <c r="F315" s="8" t="s">
        <v>489</v>
      </c>
      <c r="G315" s="7" t="s">
        <v>496</v>
      </c>
      <c r="H315" s="8" t="s">
        <v>491</v>
      </c>
      <c r="I315" s="7" t="s">
        <v>492</v>
      </c>
      <c r="J315" s="8">
        <v>314</v>
      </c>
      <c r="K315" s="44"/>
    </row>
    <row r="316" spans="1:11">
      <c r="A316" s="8" t="s">
        <v>257</v>
      </c>
      <c r="B316" s="7" t="s">
        <v>982</v>
      </c>
      <c r="C316" s="7" t="s">
        <v>648</v>
      </c>
      <c r="D316" s="8" t="s">
        <v>494</v>
      </c>
      <c r="E316" s="8" t="s">
        <v>488</v>
      </c>
      <c r="F316" s="8" t="s">
        <v>489</v>
      </c>
      <c r="G316" s="7" t="s">
        <v>496</v>
      </c>
      <c r="H316" s="8" t="s">
        <v>491</v>
      </c>
      <c r="I316" s="7" t="s">
        <v>492</v>
      </c>
      <c r="J316" s="8">
        <v>315</v>
      </c>
      <c r="K316" s="44"/>
    </row>
    <row r="317" spans="1:11">
      <c r="A317" s="8" t="s">
        <v>258</v>
      </c>
      <c r="B317" s="7" t="s">
        <v>983</v>
      </c>
      <c r="C317" s="7" t="s">
        <v>648</v>
      </c>
      <c r="D317" s="8" t="s">
        <v>494</v>
      </c>
      <c r="E317" s="8" t="s">
        <v>488</v>
      </c>
      <c r="F317" s="8" t="s">
        <v>489</v>
      </c>
      <c r="G317" s="7" t="s">
        <v>496</v>
      </c>
      <c r="H317" s="8" t="s">
        <v>491</v>
      </c>
      <c r="I317" s="7" t="s">
        <v>492</v>
      </c>
      <c r="J317" s="8">
        <v>316</v>
      </c>
      <c r="K317" s="44"/>
    </row>
    <row r="318" spans="1:11">
      <c r="A318" s="8" t="s">
        <v>259</v>
      </c>
      <c r="B318" s="7" t="s">
        <v>984</v>
      </c>
      <c r="C318" s="7" t="s">
        <v>648</v>
      </c>
      <c r="D318" s="8" t="s">
        <v>494</v>
      </c>
      <c r="E318" s="8" t="s">
        <v>488</v>
      </c>
      <c r="F318" s="8" t="s">
        <v>489</v>
      </c>
      <c r="G318" s="7" t="s">
        <v>496</v>
      </c>
      <c r="H318" s="8" t="s">
        <v>491</v>
      </c>
      <c r="I318" s="7" t="s">
        <v>492</v>
      </c>
      <c r="J318" s="8">
        <v>317</v>
      </c>
      <c r="K318" s="44"/>
    </row>
    <row r="319" spans="1:11">
      <c r="A319" s="8" t="s">
        <v>260</v>
      </c>
      <c r="B319" s="7" t="s">
        <v>985</v>
      </c>
      <c r="C319" s="7" t="s">
        <v>648</v>
      </c>
      <c r="D319" s="8" t="s">
        <v>494</v>
      </c>
      <c r="E319" s="8" t="s">
        <v>488</v>
      </c>
      <c r="F319" s="8" t="s">
        <v>489</v>
      </c>
      <c r="G319" s="7" t="s">
        <v>496</v>
      </c>
      <c r="H319" s="8" t="s">
        <v>491</v>
      </c>
      <c r="I319" s="7" t="s">
        <v>492</v>
      </c>
      <c r="J319" s="8">
        <v>318</v>
      </c>
      <c r="K319" s="44"/>
    </row>
    <row r="320" spans="1:11">
      <c r="A320" s="8" t="s">
        <v>261</v>
      </c>
      <c r="B320" s="7" t="s">
        <v>986</v>
      </c>
      <c r="C320" s="7" t="s">
        <v>648</v>
      </c>
      <c r="D320" s="8" t="s">
        <v>494</v>
      </c>
      <c r="E320" s="8" t="s">
        <v>488</v>
      </c>
      <c r="F320" s="8" t="s">
        <v>489</v>
      </c>
      <c r="G320" s="7" t="s">
        <v>496</v>
      </c>
      <c r="H320" s="8" t="s">
        <v>491</v>
      </c>
      <c r="I320" s="7" t="s">
        <v>492</v>
      </c>
      <c r="J320" s="8">
        <v>319</v>
      </c>
      <c r="K320" s="44"/>
    </row>
    <row r="321" spans="1:11">
      <c r="A321" s="8" t="s">
        <v>262</v>
      </c>
      <c r="B321" s="7" t="s">
        <v>987</v>
      </c>
      <c r="C321" s="7" t="s">
        <v>648</v>
      </c>
      <c r="D321" s="8" t="s">
        <v>494</v>
      </c>
      <c r="E321" s="8" t="s">
        <v>488</v>
      </c>
      <c r="F321" s="8" t="s">
        <v>489</v>
      </c>
      <c r="G321" s="7" t="s">
        <v>496</v>
      </c>
      <c r="H321" s="8" t="s">
        <v>491</v>
      </c>
      <c r="I321" s="7" t="s">
        <v>492</v>
      </c>
      <c r="J321" s="8">
        <v>320</v>
      </c>
      <c r="K321" s="44"/>
    </row>
    <row r="322" spans="1:11">
      <c r="A322" s="8" t="s">
        <v>263</v>
      </c>
      <c r="B322" s="7" t="s">
        <v>988</v>
      </c>
      <c r="C322" s="7" t="s">
        <v>648</v>
      </c>
      <c r="D322" s="8" t="s">
        <v>494</v>
      </c>
      <c r="E322" s="8" t="s">
        <v>488</v>
      </c>
      <c r="F322" s="8" t="s">
        <v>489</v>
      </c>
      <c r="G322" s="7" t="s">
        <v>496</v>
      </c>
      <c r="H322" s="8" t="s">
        <v>491</v>
      </c>
      <c r="I322" s="7" t="s">
        <v>492</v>
      </c>
      <c r="J322" s="8">
        <v>321</v>
      </c>
      <c r="K322" s="44"/>
    </row>
    <row r="323" spans="1:11">
      <c r="A323" s="8" t="s">
        <v>264</v>
      </c>
      <c r="B323" s="7" t="s">
        <v>989</v>
      </c>
      <c r="C323" s="7" t="s">
        <v>648</v>
      </c>
      <c r="D323" s="8" t="s">
        <v>494</v>
      </c>
      <c r="E323" s="8" t="s">
        <v>488</v>
      </c>
      <c r="F323" s="8" t="s">
        <v>489</v>
      </c>
      <c r="G323" s="7" t="s">
        <v>496</v>
      </c>
      <c r="H323" s="8" t="s">
        <v>491</v>
      </c>
      <c r="I323" s="7" t="s">
        <v>492</v>
      </c>
      <c r="J323" s="8">
        <v>322</v>
      </c>
      <c r="K323" s="44"/>
    </row>
    <row r="324" spans="1:11">
      <c r="A324" s="8" t="s">
        <v>265</v>
      </c>
      <c r="B324" s="7" t="s">
        <v>990</v>
      </c>
      <c r="C324" s="7" t="s">
        <v>648</v>
      </c>
      <c r="D324" s="8" t="s">
        <v>494</v>
      </c>
      <c r="E324" s="8" t="s">
        <v>488</v>
      </c>
      <c r="F324" s="8" t="s">
        <v>489</v>
      </c>
      <c r="G324" s="7" t="s">
        <v>496</v>
      </c>
      <c r="H324" s="8" t="s">
        <v>491</v>
      </c>
      <c r="I324" s="7" t="s">
        <v>492</v>
      </c>
      <c r="J324" s="8">
        <v>323</v>
      </c>
      <c r="K324" s="44"/>
    </row>
    <row r="325" spans="1:11">
      <c r="A325" s="8" t="s">
        <v>266</v>
      </c>
      <c r="B325" s="7" t="s">
        <v>991</v>
      </c>
      <c r="C325" s="7" t="s">
        <v>992</v>
      </c>
      <c r="D325" s="8" t="s">
        <v>487</v>
      </c>
      <c r="E325" s="8" t="s">
        <v>504</v>
      </c>
      <c r="F325" s="8" t="s">
        <v>489</v>
      </c>
      <c r="G325" s="7" t="s">
        <v>490</v>
      </c>
      <c r="H325" s="8" t="s">
        <v>491</v>
      </c>
      <c r="I325" s="7" t="s">
        <v>492</v>
      </c>
      <c r="J325" s="8">
        <v>324</v>
      </c>
      <c r="K325" s="44"/>
    </row>
    <row r="326" spans="1:11">
      <c r="A326" s="8" t="s">
        <v>267</v>
      </c>
      <c r="B326" s="7" t="s">
        <v>993</v>
      </c>
      <c r="C326" s="7" t="s">
        <v>994</v>
      </c>
      <c r="D326" s="8" t="s">
        <v>487</v>
      </c>
      <c r="E326" s="8" t="s">
        <v>504</v>
      </c>
      <c r="F326" s="8" t="s">
        <v>489</v>
      </c>
      <c r="G326" s="7" t="s">
        <v>490</v>
      </c>
      <c r="H326" s="8" t="s">
        <v>491</v>
      </c>
      <c r="I326" s="7" t="s">
        <v>492</v>
      </c>
      <c r="J326" s="8">
        <v>325</v>
      </c>
      <c r="K326" s="44"/>
    </row>
    <row r="327" spans="1:11">
      <c r="A327" s="8" t="s">
        <v>268</v>
      </c>
      <c r="B327" s="7" t="s">
        <v>995</v>
      </c>
      <c r="C327" s="7" t="s">
        <v>648</v>
      </c>
      <c r="D327" s="8" t="s">
        <v>494</v>
      </c>
      <c r="E327" s="8" t="s">
        <v>488</v>
      </c>
      <c r="F327" s="8" t="s">
        <v>489</v>
      </c>
      <c r="G327" s="7" t="s">
        <v>496</v>
      </c>
      <c r="H327" s="8" t="s">
        <v>491</v>
      </c>
      <c r="I327" s="7" t="s">
        <v>492</v>
      </c>
      <c r="J327" s="8">
        <v>326</v>
      </c>
      <c r="K327" s="44"/>
    </row>
    <row r="328" spans="1:11">
      <c r="A328" s="8" t="s">
        <v>269</v>
      </c>
      <c r="B328" s="7" t="s">
        <v>996</v>
      </c>
      <c r="C328" s="7" t="s">
        <v>648</v>
      </c>
      <c r="D328" s="8" t="s">
        <v>494</v>
      </c>
      <c r="E328" s="8" t="s">
        <v>488</v>
      </c>
      <c r="F328" s="8" t="s">
        <v>489</v>
      </c>
      <c r="G328" s="7" t="s">
        <v>496</v>
      </c>
      <c r="H328" s="8" t="s">
        <v>491</v>
      </c>
      <c r="I328" s="7" t="s">
        <v>492</v>
      </c>
      <c r="J328" s="8">
        <v>327</v>
      </c>
      <c r="K328" s="44"/>
    </row>
    <row r="329" spans="1:11">
      <c r="A329" s="8" t="s">
        <v>997</v>
      </c>
      <c r="B329" s="7" t="s">
        <v>998</v>
      </c>
      <c r="C329" s="7" t="s">
        <v>648</v>
      </c>
      <c r="D329" s="8" t="s">
        <v>494</v>
      </c>
      <c r="E329" s="8" t="s">
        <v>488</v>
      </c>
      <c r="F329" s="8" t="s">
        <v>489</v>
      </c>
      <c r="G329" s="7" t="s">
        <v>496</v>
      </c>
      <c r="H329" s="8" t="s">
        <v>491</v>
      </c>
      <c r="I329" s="7" t="s">
        <v>492</v>
      </c>
      <c r="J329" s="8">
        <v>328</v>
      </c>
      <c r="K329" s="44"/>
    </row>
    <row r="330" spans="1:11">
      <c r="A330" s="8" t="s">
        <v>270</v>
      </c>
      <c r="B330" s="7" t="s">
        <v>999</v>
      </c>
      <c r="C330" s="7" t="s">
        <v>1000</v>
      </c>
      <c r="D330" s="8" t="s">
        <v>487</v>
      </c>
      <c r="E330" s="8" t="s">
        <v>504</v>
      </c>
      <c r="F330" s="8" t="s">
        <v>489</v>
      </c>
      <c r="G330" s="7" t="s">
        <v>490</v>
      </c>
      <c r="H330" s="8" t="s">
        <v>491</v>
      </c>
      <c r="I330" s="7" t="s">
        <v>492</v>
      </c>
      <c r="J330" s="8">
        <v>329</v>
      </c>
      <c r="K330" s="44"/>
    </row>
    <row r="331" spans="1:11">
      <c r="A331" s="8" t="s">
        <v>271</v>
      </c>
      <c r="B331" s="7" t="s">
        <v>1001</v>
      </c>
      <c r="C331" s="7" t="s">
        <v>648</v>
      </c>
      <c r="D331" s="8" t="s">
        <v>494</v>
      </c>
      <c r="E331" s="8" t="s">
        <v>488</v>
      </c>
      <c r="F331" s="8" t="s">
        <v>489</v>
      </c>
      <c r="G331" s="7" t="s">
        <v>496</v>
      </c>
      <c r="H331" s="8" t="s">
        <v>491</v>
      </c>
      <c r="I331" s="7" t="s">
        <v>492</v>
      </c>
      <c r="J331" s="8">
        <v>330</v>
      </c>
      <c r="K331" s="44"/>
    </row>
    <row r="332" spans="1:11">
      <c r="A332" s="8" t="s">
        <v>272</v>
      </c>
      <c r="B332" s="7" t="s">
        <v>1002</v>
      </c>
      <c r="C332" s="7" t="s">
        <v>648</v>
      </c>
      <c r="D332" s="8" t="s">
        <v>494</v>
      </c>
      <c r="E332" s="8" t="s">
        <v>488</v>
      </c>
      <c r="F332" s="8" t="s">
        <v>489</v>
      </c>
      <c r="G332" s="7" t="s">
        <v>496</v>
      </c>
      <c r="H332" s="8" t="s">
        <v>491</v>
      </c>
      <c r="I332" s="7" t="s">
        <v>492</v>
      </c>
      <c r="J332" s="8">
        <v>331</v>
      </c>
      <c r="K332" s="44"/>
    </row>
    <row r="333" spans="1:11">
      <c r="A333" s="8" t="s">
        <v>273</v>
      </c>
      <c r="B333" s="7" t="s">
        <v>1003</v>
      </c>
      <c r="C333" s="7" t="s">
        <v>648</v>
      </c>
      <c r="D333" s="8" t="s">
        <v>494</v>
      </c>
      <c r="E333" s="8" t="s">
        <v>488</v>
      </c>
      <c r="F333" s="8" t="s">
        <v>489</v>
      </c>
      <c r="G333" s="7" t="s">
        <v>496</v>
      </c>
      <c r="H333" s="8" t="s">
        <v>491</v>
      </c>
      <c r="I333" s="7" t="s">
        <v>492</v>
      </c>
      <c r="J333" s="8">
        <v>332</v>
      </c>
      <c r="K333" s="44"/>
    </row>
    <row r="334" spans="1:11">
      <c r="A334" s="8" t="s">
        <v>1004</v>
      </c>
      <c r="B334" s="7" t="s">
        <v>1005</v>
      </c>
      <c r="C334" s="7" t="s">
        <v>648</v>
      </c>
      <c r="D334" s="8" t="s">
        <v>494</v>
      </c>
      <c r="E334" s="8" t="s">
        <v>488</v>
      </c>
      <c r="F334" s="8" t="s">
        <v>489</v>
      </c>
      <c r="G334" s="7" t="s">
        <v>496</v>
      </c>
      <c r="H334" s="8" t="s">
        <v>491</v>
      </c>
      <c r="I334" s="7" t="s">
        <v>492</v>
      </c>
      <c r="J334" s="8">
        <v>333</v>
      </c>
      <c r="K334" s="44"/>
    </row>
    <row r="335" spans="1:11">
      <c r="A335" s="8" t="s">
        <v>274</v>
      </c>
      <c r="B335" s="7" t="s">
        <v>1006</v>
      </c>
      <c r="C335" s="7" t="s">
        <v>648</v>
      </c>
      <c r="D335" s="8" t="s">
        <v>494</v>
      </c>
      <c r="E335" s="8" t="s">
        <v>488</v>
      </c>
      <c r="F335" s="8" t="s">
        <v>489</v>
      </c>
      <c r="G335" s="7" t="s">
        <v>496</v>
      </c>
      <c r="H335" s="8" t="s">
        <v>491</v>
      </c>
      <c r="I335" s="7" t="s">
        <v>492</v>
      </c>
      <c r="J335" s="8">
        <v>334</v>
      </c>
      <c r="K335" s="44"/>
    </row>
    <row r="336" spans="1:11">
      <c r="A336" s="8" t="s">
        <v>275</v>
      </c>
      <c r="B336" s="7" t="s">
        <v>1007</v>
      </c>
      <c r="C336" s="7" t="s">
        <v>648</v>
      </c>
      <c r="D336" s="8" t="s">
        <v>494</v>
      </c>
      <c r="E336" s="8" t="s">
        <v>488</v>
      </c>
      <c r="F336" s="8" t="s">
        <v>489</v>
      </c>
      <c r="G336" s="7" t="s">
        <v>496</v>
      </c>
      <c r="H336" s="8" t="s">
        <v>491</v>
      </c>
      <c r="I336" s="7" t="s">
        <v>492</v>
      </c>
      <c r="J336" s="8">
        <v>335</v>
      </c>
      <c r="K336" s="44"/>
    </row>
    <row r="337" spans="1:11">
      <c r="A337" s="8" t="s">
        <v>276</v>
      </c>
      <c r="B337" s="7" t="s">
        <v>1008</v>
      </c>
      <c r="C337" s="7" t="s">
        <v>1009</v>
      </c>
      <c r="D337" s="8" t="s">
        <v>487</v>
      </c>
      <c r="E337" s="8" t="s">
        <v>488</v>
      </c>
      <c r="F337" s="8" t="s">
        <v>489</v>
      </c>
      <c r="G337" s="7" t="s">
        <v>490</v>
      </c>
      <c r="H337" s="8" t="s">
        <v>491</v>
      </c>
      <c r="I337" s="7" t="s">
        <v>492</v>
      </c>
      <c r="J337" s="8">
        <v>336</v>
      </c>
      <c r="K337" s="44"/>
    </row>
    <row r="338" spans="1:11">
      <c r="A338" s="8" t="s">
        <v>277</v>
      </c>
      <c r="B338" s="7" t="s">
        <v>1010</v>
      </c>
      <c r="C338" s="7" t="s">
        <v>648</v>
      </c>
      <c r="D338" s="8" t="s">
        <v>494</v>
      </c>
      <c r="E338" s="8" t="s">
        <v>488</v>
      </c>
      <c r="F338" s="8" t="s">
        <v>489</v>
      </c>
      <c r="G338" s="7" t="s">
        <v>496</v>
      </c>
      <c r="H338" s="8" t="s">
        <v>491</v>
      </c>
      <c r="I338" s="7" t="s">
        <v>492</v>
      </c>
      <c r="J338" s="8">
        <v>337</v>
      </c>
      <c r="K338" s="44"/>
    </row>
    <row r="339" spans="1:11">
      <c r="A339" s="8" t="s">
        <v>278</v>
      </c>
      <c r="B339" s="7" t="s">
        <v>1011</v>
      </c>
      <c r="C339" s="7" t="s">
        <v>648</v>
      </c>
      <c r="D339" s="8" t="s">
        <v>494</v>
      </c>
      <c r="E339" s="8" t="s">
        <v>488</v>
      </c>
      <c r="F339" s="8" t="s">
        <v>489</v>
      </c>
      <c r="G339" s="7" t="s">
        <v>496</v>
      </c>
      <c r="H339" s="8" t="s">
        <v>491</v>
      </c>
      <c r="I339" s="7" t="s">
        <v>492</v>
      </c>
      <c r="J339" s="8">
        <v>338</v>
      </c>
      <c r="K339" s="44"/>
    </row>
    <row r="340" spans="1:11">
      <c r="A340" s="8" t="s">
        <v>279</v>
      </c>
      <c r="B340" s="7" t="s">
        <v>1012</v>
      </c>
      <c r="C340" s="7" t="s">
        <v>648</v>
      </c>
      <c r="D340" s="8" t="s">
        <v>494</v>
      </c>
      <c r="E340" s="8" t="s">
        <v>488</v>
      </c>
      <c r="F340" s="8" t="s">
        <v>489</v>
      </c>
      <c r="G340" s="7" t="s">
        <v>496</v>
      </c>
      <c r="H340" s="8" t="s">
        <v>491</v>
      </c>
      <c r="I340" s="7" t="s">
        <v>492</v>
      </c>
      <c r="J340" s="8">
        <v>339</v>
      </c>
      <c r="K340" s="44"/>
    </row>
    <row r="341" spans="1:11">
      <c r="A341" s="8" t="s">
        <v>280</v>
      </c>
      <c r="B341" s="7" t="s">
        <v>1013</v>
      </c>
      <c r="C341" s="7" t="s">
        <v>1014</v>
      </c>
      <c r="D341" s="8" t="s">
        <v>487</v>
      </c>
      <c r="E341" s="8" t="s">
        <v>488</v>
      </c>
      <c r="F341" s="8" t="s">
        <v>489</v>
      </c>
      <c r="G341" s="7" t="s">
        <v>490</v>
      </c>
      <c r="H341" s="8" t="s">
        <v>491</v>
      </c>
      <c r="I341" s="7" t="s">
        <v>492</v>
      </c>
      <c r="J341" s="8">
        <v>340</v>
      </c>
      <c r="K341" s="44"/>
    </row>
    <row r="342" spans="1:11">
      <c r="A342" s="8" t="s">
        <v>281</v>
      </c>
      <c r="B342" s="7" t="s">
        <v>1015</v>
      </c>
      <c r="C342" s="7" t="s">
        <v>648</v>
      </c>
      <c r="D342" s="8" t="s">
        <v>494</v>
      </c>
      <c r="E342" s="8" t="s">
        <v>488</v>
      </c>
      <c r="F342" s="8" t="s">
        <v>489</v>
      </c>
      <c r="G342" s="7" t="s">
        <v>496</v>
      </c>
      <c r="H342" s="8" t="s">
        <v>491</v>
      </c>
      <c r="I342" s="7" t="s">
        <v>492</v>
      </c>
      <c r="J342" s="8">
        <v>341</v>
      </c>
      <c r="K342" s="44"/>
    </row>
    <row r="343" spans="1:11">
      <c r="A343" s="8" t="s">
        <v>282</v>
      </c>
      <c r="B343" s="7" t="s">
        <v>1016</v>
      </c>
      <c r="C343" s="7" t="s">
        <v>648</v>
      </c>
      <c r="D343" s="8" t="s">
        <v>494</v>
      </c>
      <c r="E343" s="8" t="s">
        <v>488</v>
      </c>
      <c r="F343" s="8" t="s">
        <v>489</v>
      </c>
      <c r="G343" s="7" t="s">
        <v>496</v>
      </c>
      <c r="H343" s="8" t="s">
        <v>491</v>
      </c>
      <c r="I343" s="7" t="s">
        <v>492</v>
      </c>
      <c r="J343" s="8">
        <v>342</v>
      </c>
      <c r="K343" s="44"/>
    </row>
    <row r="344" spans="1:11">
      <c r="A344" s="8" t="s">
        <v>283</v>
      </c>
      <c r="B344" s="7" t="s">
        <v>1017</v>
      </c>
      <c r="C344" s="7" t="s">
        <v>648</v>
      </c>
      <c r="D344" s="8" t="s">
        <v>494</v>
      </c>
      <c r="E344" s="8" t="s">
        <v>488</v>
      </c>
      <c r="F344" s="8" t="s">
        <v>489</v>
      </c>
      <c r="G344" s="7" t="s">
        <v>496</v>
      </c>
      <c r="H344" s="8" t="s">
        <v>491</v>
      </c>
      <c r="I344" s="7" t="s">
        <v>492</v>
      </c>
      <c r="J344" s="8">
        <v>343</v>
      </c>
      <c r="K344" s="44"/>
    </row>
    <row r="345" spans="1:11">
      <c r="A345" s="8" t="s">
        <v>1018</v>
      </c>
      <c r="B345" s="7" t="s">
        <v>1019</v>
      </c>
      <c r="C345" s="7" t="s">
        <v>648</v>
      </c>
      <c r="D345" s="8" t="s">
        <v>494</v>
      </c>
      <c r="E345" s="8" t="s">
        <v>488</v>
      </c>
      <c r="F345" s="8" t="s">
        <v>489</v>
      </c>
      <c r="G345" s="7" t="s">
        <v>496</v>
      </c>
      <c r="H345" s="8" t="s">
        <v>491</v>
      </c>
      <c r="I345" s="7" t="s">
        <v>492</v>
      </c>
      <c r="J345" s="8">
        <v>344</v>
      </c>
      <c r="K345" s="44"/>
    </row>
    <row r="346" spans="1:11">
      <c r="A346" s="8" t="s">
        <v>284</v>
      </c>
      <c r="B346" s="7" t="s">
        <v>1020</v>
      </c>
      <c r="C346" s="7" t="s">
        <v>1021</v>
      </c>
      <c r="D346" s="8" t="s">
        <v>487</v>
      </c>
      <c r="E346" s="8" t="s">
        <v>488</v>
      </c>
      <c r="F346" s="8" t="s">
        <v>489</v>
      </c>
      <c r="G346" s="7" t="s">
        <v>490</v>
      </c>
      <c r="H346" s="8" t="s">
        <v>491</v>
      </c>
      <c r="I346" s="7" t="s">
        <v>492</v>
      </c>
      <c r="J346" s="8">
        <v>345</v>
      </c>
      <c r="K346" s="44"/>
    </row>
    <row r="347" spans="1:11">
      <c r="A347" s="8" t="s">
        <v>285</v>
      </c>
      <c r="B347" s="7" t="s">
        <v>1022</v>
      </c>
      <c r="C347" s="7" t="s">
        <v>648</v>
      </c>
      <c r="D347" s="8" t="s">
        <v>494</v>
      </c>
      <c r="E347" s="8" t="s">
        <v>488</v>
      </c>
      <c r="F347" s="8" t="s">
        <v>489</v>
      </c>
      <c r="G347" s="7" t="s">
        <v>496</v>
      </c>
      <c r="H347" s="8" t="s">
        <v>491</v>
      </c>
      <c r="I347" s="7" t="s">
        <v>492</v>
      </c>
      <c r="J347" s="8">
        <v>346</v>
      </c>
      <c r="K347" s="44"/>
    </row>
    <row r="348" spans="1:11">
      <c r="A348" s="8" t="s">
        <v>1023</v>
      </c>
      <c r="B348" s="7" t="s">
        <v>1024</v>
      </c>
      <c r="C348" s="7" t="s">
        <v>648</v>
      </c>
      <c r="D348" s="8" t="s">
        <v>494</v>
      </c>
      <c r="E348" s="8" t="s">
        <v>488</v>
      </c>
      <c r="F348" s="8" t="s">
        <v>489</v>
      </c>
      <c r="G348" s="7" t="s">
        <v>496</v>
      </c>
      <c r="H348" s="8" t="s">
        <v>491</v>
      </c>
      <c r="I348" s="7" t="s">
        <v>492</v>
      </c>
      <c r="J348" s="8">
        <v>347</v>
      </c>
      <c r="K348" s="44"/>
    </row>
    <row r="349" spans="1:11">
      <c r="A349" s="8" t="s">
        <v>1025</v>
      </c>
      <c r="B349" s="7" t="s">
        <v>1026</v>
      </c>
      <c r="C349" s="7" t="s">
        <v>648</v>
      </c>
      <c r="D349" s="8" t="s">
        <v>494</v>
      </c>
      <c r="E349" s="8" t="s">
        <v>488</v>
      </c>
      <c r="F349" s="8" t="s">
        <v>489</v>
      </c>
      <c r="G349" s="7" t="s">
        <v>496</v>
      </c>
      <c r="H349" s="8" t="s">
        <v>491</v>
      </c>
      <c r="I349" s="7" t="s">
        <v>492</v>
      </c>
      <c r="J349" s="8">
        <v>348</v>
      </c>
      <c r="K349" s="44"/>
    </row>
    <row r="350" spans="1:11">
      <c r="A350" s="8" t="s">
        <v>1027</v>
      </c>
      <c r="B350" s="7" t="s">
        <v>1028</v>
      </c>
      <c r="C350" s="7" t="s">
        <v>648</v>
      </c>
      <c r="D350" s="8" t="s">
        <v>494</v>
      </c>
      <c r="E350" s="8" t="s">
        <v>488</v>
      </c>
      <c r="F350" s="8" t="s">
        <v>489</v>
      </c>
      <c r="G350" s="7" t="s">
        <v>496</v>
      </c>
      <c r="H350" s="8" t="s">
        <v>491</v>
      </c>
      <c r="I350" s="7" t="s">
        <v>492</v>
      </c>
      <c r="J350" s="8">
        <v>349</v>
      </c>
      <c r="K350" s="44"/>
    </row>
    <row r="351" spans="1:11">
      <c r="A351" s="8" t="s">
        <v>286</v>
      </c>
      <c r="B351" s="7" t="s">
        <v>1029</v>
      </c>
      <c r="C351" s="7" t="s">
        <v>648</v>
      </c>
      <c r="D351" s="8" t="s">
        <v>494</v>
      </c>
      <c r="E351" s="8" t="s">
        <v>488</v>
      </c>
      <c r="F351" s="8" t="s">
        <v>489</v>
      </c>
      <c r="G351" s="7" t="s">
        <v>496</v>
      </c>
      <c r="H351" s="8" t="s">
        <v>491</v>
      </c>
      <c r="I351" s="7" t="s">
        <v>492</v>
      </c>
      <c r="J351" s="8">
        <v>350</v>
      </c>
      <c r="K351" s="44"/>
    </row>
    <row r="352" spans="1:11">
      <c r="A352" s="8" t="s">
        <v>287</v>
      </c>
      <c r="B352" s="7" t="s">
        <v>1030</v>
      </c>
      <c r="C352" s="7" t="s">
        <v>648</v>
      </c>
      <c r="D352" s="8" t="s">
        <v>494</v>
      </c>
      <c r="E352" s="8" t="s">
        <v>488</v>
      </c>
      <c r="F352" s="8" t="s">
        <v>489</v>
      </c>
      <c r="G352" s="7" t="s">
        <v>496</v>
      </c>
      <c r="H352" s="8" t="s">
        <v>491</v>
      </c>
      <c r="I352" s="7" t="s">
        <v>492</v>
      </c>
      <c r="J352" s="8">
        <v>351</v>
      </c>
      <c r="K352" s="44"/>
    </row>
    <row r="353" spans="1:11">
      <c r="A353" s="8" t="s">
        <v>1031</v>
      </c>
      <c r="B353" s="7" t="s">
        <v>1032</v>
      </c>
      <c r="C353" s="7" t="s">
        <v>648</v>
      </c>
      <c r="D353" s="8" t="s">
        <v>494</v>
      </c>
      <c r="E353" s="8" t="s">
        <v>488</v>
      </c>
      <c r="F353" s="8" t="s">
        <v>489</v>
      </c>
      <c r="G353" s="7" t="s">
        <v>496</v>
      </c>
      <c r="H353" s="8" t="s">
        <v>491</v>
      </c>
      <c r="I353" s="7" t="s">
        <v>492</v>
      </c>
      <c r="J353" s="8">
        <v>352</v>
      </c>
      <c r="K353" s="44"/>
    </row>
    <row r="354" spans="1:11">
      <c r="A354" s="8" t="s">
        <v>288</v>
      </c>
      <c r="B354" s="7" t="s">
        <v>1033</v>
      </c>
      <c r="C354" s="7" t="s">
        <v>1034</v>
      </c>
      <c r="D354" s="8" t="s">
        <v>487</v>
      </c>
      <c r="E354" s="8" t="s">
        <v>488</v>
      </c>
      <c r="F354" s="8" t="s">
        <v>489</v>
      </c>
      <c r="G354" s="7" t="s">
        <v>490</v>
      </c>
      <c r="H354" s="8" t="s">
        <v>491</v>
      </c>
      <c r="I354" s="7" t="s">
        <v>492</v>
      </c>
      <c r="J354" s="8">
        <v>353</v>
      </c>
      <c r="K354" s="44"/>
    </row>
    <row r="355" spans="1:11">
      <c r="A355" s="8" t="s">
        <v>289</v>
      </c>
      <c r="B355" s="7" t="s">
        <v>1035</v>
      </c>
      <c r="C355" s="7" t="s">
        <v>648</v>
      </c>
      <c r="D355" s="8" t="s">
        <v>494</v>
      </c>
      <c r="E355" s="8" t="s">
        <v>488</v>
      </c>
      <c r="F355" s="8" t="s">
        <v>489</v>
      </c>
      <c r="G355" s="7" t="s">
        <v>496</v>
      </c>
      <c r="H355" s="8" t="s">
        <v>491</v>
      </c>
      <c r="I355" s="7" t="s">
        <v>492</v>
      </c>
      <c r="J355" s="8">
        <v>354</v>
      </c>
      <c r="K355" s="44"/>
    </row>
    <row r="356" spans="1:11">
      <c r="A356" s="8" t="s">
        <v>1036</v>
      </c>
      <c r="B356" s="7" t="s">
        <v>1037</v>
      </c>
      <c r="C356" s="7" t="s">
        <v>648</v>
      </c>
      <c r="D356" s="8" t="s">
        <v>494</v>
      </c>
      <c r="E356" s="8" t="s">
        <v>488</v>
      </c>
      <c r="F356" s="8" t="s">
        <v>489</v>
      </c>
      <c r="G356" s="7" t="s">
        <v>496</v>
      </c>
      <c r="H356" s="8" t="s">
        <v>491</v>
      </c>
      <c r="I356" s="7" t="s">
        <v>492</v>
      </c>
      <c r="J356" s="8">
        <v>355</v>
      </c>
      <c r="K356" s="44"/>
    </row>
    <row r="357" spans="1:11">
      <c r="A357" s="8" t="s">
        <v>1038</v>
      </c>
      <c r="B357" s="7" t="s">
        <v>1039</v>
      </c>
      <c r="C357" s="7" t="s">
        <v>648</v>
      </c>
      <c r="D357" s="8" t="s">
        <v>494</v>
      </c>
      <c r="E357" s="8" t="s">
        <v>488</v>
      </c>
      <c r="F357" s="8" t="s">
        <v>489</v>
      </c>
      <c r="G357" s="7" t="s">
        <v>496</v>
      </c>
      <c r="H357" s="8" t="s">
        <v>491</v>
      </c>
      <c r="I357" s="7" t="s">
        <v>492</v>
      </c>
      <c r="J357" s="8">
        <v>356</v>
      </c>
      <c r="K357" s="44"/>
    </row>
    <row r="358" spans="1:11">
      <c r="A358" s="8" t="s">
        <v>290</v>
      </c>
      <c r="B358" s="7" t="s">
        <v>1040</v>
      </c>
      <c r="C358" s="7" t="s">
        <v>1041</v>
      </c>
      <c r="D358" s="8" t="s">
        <v>487</v>
      </c>
      <c r="E358" s="8" t="s">
        <v>488</v>
      </c>
      <c r="F358" s="8" t="s">
        <v>489</v>
      </c>
      <c r="G358" s="7" t="s">
        <v>490</v>
      </c>
      <c r="H358" s="8" t="s">
        <v>491</v>
      </c>
      <c r="I358" s="7" t="s">
        <v>492</v>
      </c>
      <c r="J358" s="8">
        <v>357</v>
      </c>
      <c r="K358" s="44"/>
    </row>
    <row r="359" spans="1:11">
      <c r="A359" s="8" t="s">
        <v>291</v>
      </c>
      <c r="B359" s="7" t="s">
        <v>1042</v>
      </c>
      <c r="C359" s="7" t="s">
        <v>648</v>
      </c>
      <c r="D359" s="8" t="s">
        <v>494</v>
      </c>
      <c r="E359" s="8" t="s">
        <v>488</v>
      </c>
      <c r="F359" s="8" t="s">
        <v>489</v>
      </c>
      <c r="G359" s="7" t="s">
        <v>496</v>
      </c>
      <c r="H359" s="8" t="s">
        <v>491</v>
      </c>
      <c r="I359" s="7" t="s">
        <v>492</v>
      </c>
      <c r="J359" s="8">
        <v>358</v>
      </c>
      <c r="K359" s="44"/>
    </row>
    <row r="360" spans="1:11">
      <c r="A360" s="8" t="s">
        <v>1043</v>
      </c>
      <c r="B360" s="7" t="s">
        <v>1044</v>
      </c>
      <c r="C360" s="7" t="s">
        <v>648</v>
      </c>
      <c r="D360" s="8" t="s">
        <v>494</v>
      </c>
      <c r="E360" s="8" t="s">
        <v>488</v>
      </c>
      <c r="F360" s="8" t="s">
        <v>489</v>
      </c>
      <c r="G360" s="7" t="s">
        <v>496</v>
      </c>
      <c r="H360" s="8" t="s">
        <v>491</v>
      </c>
      <c r="I360" s="7" t="s">
        <v>492</v>
      </c>
      <c r="J360" s="8">
        <v>359</v>
      </c>
      <c r="K360" s="44"/>
    </row>
    <row r="361" spans="1:11">
      <c r="A361" s="8" t="s">
        <v>292</v>
      </c>
      <c r="B361" s="7" t="s">
        <v>1045</v>
      </c>
      <c r="C361" s="7" t="s">
        <v>1046</v>
      </c>
      <c r="D361" s="8" t="s">
        <v>487</v>
      </c>
      <c r="E361" s="8" t="s">
        <v>488</v>
      </c>
      <c r="F361" s="8" t="s">
        <v>489</v>
      </c>
      <c r="G361" s="7" t="s">
        <v>490</v>
      </c>
      <c r="H361" s="8" t="s">
        <v>491</v>
      </c>
      <c r="I361" s="7" t="s">
        <v>492</v>
      </c>
      <c r="J361" s="8">
        <v>360</v>
      </c>
      <c r="K361" s="44"/>
    </row>
    <row r="362" spans="1:11">
      <c r="A362" s="8" t="s">
        <v>293</v>
      </c>
      <c r="B362" s="7" t="s">
        <v>1047</v>
      </c>
      <c r="C362" s="7" t="s">
        <v>648</v>
      </c>
      <c r="D362" s="8" t="s">
        <v>494</v>
      </c>
      <c r="E362" s="8" t="s">
        <v>488</v>
      </c>
      <c r="F362" s="8" t="s">
        <v>489</v>
      </c>
      <c r="G362" s="7" t="s">
        <v>496</v>
      </c>
      <c r="H362" s="8" t="s">
        <v>491</v>
      </c>
      <c r="I362" s="7" t="s">
        <v>492</v>
      </c>
      <c r="J362" s="8">
        <v>361</v>
      </c>
      <c r="K362" s="44"/>
    </row>
    <row r="363" spans="1:11">
      <c r="A363" s="8" t="s">
        <v>1048</v>
      </c>
      <c r="B363" s="7" t="s">
        <v>1049</v>
      </c>
      <c r="C363" s="7" t="s">
        <v>648</v>
      </c>
      <c r="D363" s="8" t="s">
        <v>494</v>
      </c>
      <c r="E363" s="8" t="s">
        <v>488</v>
      </c>
      <c r="F363" s="8" t="s">
        <v>489</v>
      </c>
      <c r="G363" s="7" t="s">
        <v>496</v>
      </c>
      <c r="H363" s="8" t="s">
        <v>491</v>
      </c>
      <c r="I363" s="7" t="s">
        <v>492</v>
      </c>
      <c r="J363" s="8">
        <v>362</v>
      </c>
      <c r="K363" s="44"/>
    </row>
    <row r="364" spans="1:11">
      <c r="A364" s="8" t="s">
        <v>294</v>
      </c>
      <c r="B364" s="7" t="s">
        <v>1050</v>
      </c>
      <c r="C364" s="7" t="s">
        <v>648</v>
      </c>
      <c r="D364" s="8" t="s">
        <v>494</v>
      </c>
      <c r="E364" s="8" t="s">
        <v>488</v>
      </c>
      <c r="F364" s="8" t="s">
        <v>489</v>
      </c>
      <c r="G364" s="7" t="s">
        <v>496</v>
      </c>
      <c r="H364" s="8" t="s">
        <v>491</v>
      </c>
      <c r="I364" s="7" t="s">
        <v>492</v>
      </c>
      <c r="J364" s="8">
        <v>363</v>
      </c>
      <c r="K364" s="44"/>
    </row>
    <row r="365" spans="1:11">
      <c r="A365" s="8" t="s">
        <v>295</v>
      </c>
      <c r="B365" s="7" t="s">
        <v>1051</v>
      </c>
      <c r="C365" s="7" t="s">
        <v>648</v>
      </c>
      <c r="D365" s="8" t="s">
        <v>494</v>
      </c>
      <c r="E365" s="8" t="s">
        <v>488</v>
      </c>
      <c r="F365" s="8" t="s">
        <v>489</v>
      </c>
      <c r="G365" s="7" t="s">
        <v>496</v>
      </c>
      <c r="H365" s="8" t="s">
        <v>491</v>
      </c>
      <c r="I365" s="7" t="s">
        <v>492</v>
      </c>
      <c r="J365" s="8">
        <v>364</v>
      </c>
      <c r="K365" s="44"/>
    </row>
    <row r="366" spans="1:11">
      <c r="A366" s="8" t="s">
        <v>296</v>
      </c>
      <c r="B366" s="7" t="s">
        <v>1052</v>
      </c>
      <c r="C366" s="7" t="s">
        <v>648</v>
      </c>
      <c r="D366" s="8" t="s">
        <v>494</v>
      </c>
      <c r="E366" s="8" t="s">
        <v>488</v>
      </c>
      <c r="F366" s="8" t="s">
        <v>489</v>
      </c>
      <c r="G366" s="7" t="s">
        <v>496</v>
      </c>
      <c r="H366" s="8" t="s">
        <v>491</v>
      </c>
      <c r="I366" s="7" t="s">
        <v>492</v>
      </c>
      <c r="J366" s="8">
        <v>365</v>
      </c>
      <c r="K366" s="44"/>
    </row>
    <row r="367" spans="1:11">
      <c r="A367" s="8" t="s">
        <v>1053</v>
      </c>
      <c r="B367" s="7" t="s">
        <v>1054</v>
      </c>
      <c r="C367" s="7" t="s">
        <v>648</v>
      </c>
      <c r="D367" s="8" t="s">
        <v>494</v>
      </c>
      <c r="E367" s="8" t="s">
        <v>488</v>
      </c>
      <c r="F367" s="8" t="s">
        <v>489</v>
      </c>
      <c r="G367" s="7" t="s">
        <v>496</v>
      </c>
      <c r="H367" s="8" t="s">
        <v>491</v>
      </c>
      <c r="I367" s="7" t="s">
        <v>492</v>
      </c>
      <c r="J367" s="8">
        <v>366</v>
      </c>
      <c r="K367" s="44"/>
    </row>
    <row r="368" spans="1:11">
      <c r="A368" s="8" t="s">
        <v>1055</v>
      </c>
      <c r="B368" s="7" t="s">
        <v>1056</v>
      </c>
      <c r="C368" s="7" t="s">
        <v>648</v>
      </c>
      <c r="D368" s="8" t="s">
        <v>494</v>
      </c>
      <c r="E368" s="8" t="s">
        <v>488</v>
      </c>
      <c r="F368" s="8" t="s">
        <v>489</v>
      </c>
      <c r="G368" s="7" t="s">
        <v>496</v>
      </c>
      <c r="H368" s="8" t="s">
        <v>491</v>
      </c>
      <c r="I368" s="7" t="s">
        <v>492</v>
      </c>
      <c r="J368" s="8">
        <v>367</v>
      </c>
      <c r="K368" s="44"/>
    </row>
    <row r="369" spans="1:11">
      <c r="A369" s="8" t="s">
        <v>1057</v>
      </c>
      <c r="B369" s="7" t="s">
        <v>1058</v>
      </c>
      <c r="C369" s="7" t="s">
        <v>648</v>
      </c>
      <c r="D369" s="8" t="s">
        <v>494</v>
      </c>
      <c r="E369" s="8" t="s">
        <v>488</v>
      </c>
      <c r="F369" s="8" t="s">
        <v>489</v>
      </c>
      <c r="G369" s="7" t="s">
        <v>496</v>
      </c>
      <c r="H369" s="8" t="s">
        <v>491</v>
      </c>
      <c r="I369" s="7" t="s">
        <v>492</v>
      </c>
      <c r="J369" s="8">
        <v>368</v>
      </c>
      <c r="K369" s="44"/>
    </row>
    <row r="370" spans="1:11">
      <c r="A370" s="8" t="s">
        <v>1059</v>
      </c>
      <c r="B370" s="7" t="s">
        <v>1060</v>
      </c>
      <c r="C370" s="7" t="s">
        <v>648</v>
      </c>
      <c r="D370" s="8" t="s">
        <v>494</v>
      </c>
      <c r="E370" s="8" t="s">
        <v>488</v>
      </c>
      <c r="F370" s="8" t="s">
        <v>489</v>
      </c>
      <c r="G370" s="7" t="s">
        <v>496</v>
      </c>
      <c r="H370" s="8" t="s">
        <v>491</v>
      </c>
      <c r="I370" s="7" t="s">
        <v>492</v>
      </c>
      <c r="J370" s="8">
        <v>369</v>
      </c>
      <c r="K370" s="44"/>
    </row>
    <row r="371" spans="1:11">
      <c r="A371" s="8" t="s">
        <v>1061</v>
      </c>
      <c r="B371" s="7" t="s">
        <v>1062</v>
      </c>
      <c r="C371" s="7" t="s">
        <v>648</v>
      </c>
      <c r="D371" s="8" t="s">
        <v>494</v>
      </c>
      <c r="E371" s="8" t="s">
        <v>488</v>
      </c>
      <c r="F371" s="8" t="s">
        <v>489</v>
      </c>
      <c r="G371" s="7" t="s">
        <v>496</v>
      </c>
      <c r="H371" s="8" t="s">
        <v>491</v>
      </c>
      <c r="I371" s="7" t="s">
        <v>492</v>
      </c>
      <c r="J371" s="8">
        <v>370</v>
      </c>
      <c r="K371" s="44"/>
    </row>
    <row r="372" spans="1:11">
      <c r="A372" s="8" t="s">
        <v>297</v>
      </c>
      <c r="B372" s="7" t="s">
        <v>1063</v>
      </c>
      <c r="C372" s="7" t="s">
        <v>648</v>
      </c>
      <c r="D372" s="8" t="s">
        <v>494</v>
      </c>
      <c r="E372" s="8" t="s">
        <v>488</v>
      </c>
      <c r="F372" s="8" t="s">
        <v>489</v>
      </c>
      <c r="G372" s="7" t="s">
        <v>496</v>
      </c>
      <c r="H372" s="8" t="s">
        <v>491</v>
      </c>
      <c r="I372" s="7" t="s">
        <v>492</v>
      </c>
      <c r="J372" s="8">
        <v>371</v>
      </c>
      <c r="K372" s="44"/>
    </row>
    <row r="373" spans="1:11">
      <c r="A373" s="8" t="s">
        <v>298</v>
      </c>
      <c r="B373" s="7" t="s">
        <v>1064</v>
      </c>
      <c r="C373" s="7" t="s">
        <v>648</v>
      </c>
      <c r="D373" s="8" t="s">
        <v>494</v>
      </c>
      <c r="E373" s="8" t="s">
        <v>488</v>
      </c>
      <c r="F373" s="8" t="s">
        <v>489</v>
      </c>
      <c r="G373" s="7" t="s">
        <v>496</v>
      </c>
      <c r="H373" s="8" t="s">
        <v>491</v>
      </c>
      <c r="I373" s="7" t="s">
        <v>492</v>
      </c>
      <c r="J373" s="8">
        <v>372</v>
      </c>
      <c r="K373" s="44"/>
    </row>
    <row r="374" spans="1:11">
      <c r="A374" s="8" t="s">
        <v>1065</v>
      </c>
      <c r="B374" s="7" t="s">
        <v>1066</v>
      </c>
      <c r="C374" s="7" t="s">
        <v>648</v>
      </c>
      <c r="D374" s="8" t="s">
        <v>494</v>
      </c>
      <c r="E374" s="8" t="s">
        <v>488</v>
      </c>
      <c r="F374" s="8" t="s">
        <v>489</v>
      </c>
      <c r="G374" s="7" t="s">
        <v>496</v>
      </c>
      <c r="H374" s="8" t="s">
        <v>491</v>
      </c>
      <c r="I374" s="7" t="s">
        <v>492</v>
      </c>
      <c r="J374" s="8">
        <v>373</v>
      </c>
      <c r="K374" s="44"/>
    </row>
    <row r="375" spans="1:11">
      <c r="A375" s="8" t="s">
        <v>1067</v>
      </c>
      <c r="B375" s="7" t="s">
        <v>1068</v>
      </c>
      <c r="C375" s="7" t="s">
        <v>648</v>
      </c>
      <c r="D375" s="8" t="s">
        <v>494</v>
      </c>
      <c r="E375" s="8" t="s">
        <v>488</v>
      </c>
      <c r="F375" s="8" t="s">
        <v>489</v>
      </c>
      <c r="G375" s="7" t="s">
        <v>496</v>
      </c>
      <c r="H375" s="8" t="s">
        <v>491</v>
      </c>
      <c r="I375" s="7" t="s">
        <v>492</v>
      </c>
      <c r="J375" s="8">
        <v>374</v>
      </c>
      <c r="K375" s="44"/>
    </row>
    <row r="376" spans="1:11">
      <c r="A376" s="8" t="s">
        <v>1069</v>
      </c>
      <c r="B376" s="7" t="s">
        <v>1070</v>
      </c>
      <c r="C376" s="7" t="s">
        <v>648</v>
      </c>
      <c r="D376" s="8" t="s">
        <v>494</v>
      </c>
      <c r="E376" s="8" t="s">
        <v>488</v>
      </c>
      <c r="F376" s="8" t="s">
        <v>489</v>
      </c>
      <c r="G376" s="7" t="s">
        <v>496</v>
      </c>
      <c r="H376" s="8" t="s">
        <v>491</v>
      </c>
      <c r="I376" s="7" t="s">
        <v>492</v>
      </c>
      <c r="J376" s="8">
        <v>375</v>
      </c>
      <c r="K376" s="44"/>
    </row>
    <row r="377" spans="1:11">
      <c r="A377" s="8" t="s">
        <v>1071</v>
      </c>
      <c r="B377" s="7" t="s">
        <v>1072</v>
      </c>
      <c r="C377" s="7" t="s">
        <v>648</v>
      </c>
      <c r="D377" s="8" t="s">
        <v>494</v>
      </c>
      <c r="E377" s="8" t="s">
        <v>488</v>
      </c>
      <c r="F377" s="8" t="s">
        <v>489</v>
      </c>
      <c r="G377" s="7" t="s">
        <v>496</v>
      </c>
      <c r="H377" s="8" t="s">
        <v>491</v>
      </c>
      <c r="I377" s="7" t="s">
        <v>492</v>
      </c>
      <c r="J377" s="8">
        <v>376</v>
      </c>
      <c r="K377" s="44"/>
    </row>
    <row r="378" spans="1:11">
      <c r="A378" s="8" t="s">
        <v>299</v>
      </c>
      <c r="B378" s="7" t="s">
        <v>1073</v>
      </c>
      <c r="C378" s="7" t="s">
        <v>648</v>
      </c>
      <c r="D378" s="8" t="s">
        <v>494</v>
      </c>
      <c r="E378" s="8" t="s">
        <v>488</v>
      </c>
      <c r="F378" s="8" t="s">
        <v>489</v>
      </c>
      <c r="G378" s="7" t="s">
        <v>496</v>
      </c>
      <c r="H378" s="8" t="s">
        <v>491</v>
      </c>
      <c r="I378" s="7" t="s">
        <v>492</v>
      </c>
      <c r="J378" s="8">
        <v>377</v>
      </c>
      <c r="K378" s="44"/>
    </row>
    <row r="379" spans="1:11">
      <c r="A379" s="8" t="s">
        <v>1074</v>
      </c>
      <c r="B379" s="7" t="s">
        <v>1075</v>
      </c>
      <c r="C379" s="7" t="s">
        <v>648</v>
      </c>
      <c r="D379" s="8" t="s">
        <v>494</v>
      </c>
      <c r="E379" s="8" t="s">
        <v>488</v>
      </c>
      <c r="F379" s="8" t="s">
        <v>489</v>
      </c>
      <c r="G379" s="7" t="s">
        <v>496</v>
      </c>
      <c r="H379" s="8" t="s">
        <v>491</v>
      </c>
      <c r="I379" s="7" t="s">
        <v>492</v>
      </c>
      <c r="J379" s="8">
        <v>378</v>
      </c>
      <c r="K379" s="44"/>
    </row>
    <row r="380" spans="1:11">
      <c r="A380" s="8" t="s">
        <v>1076</v>
      </c>
      <c r="B380" s="7" t="s">
        <v>1077</v>
      </c>
      <c r="C380" s="7" t="s">
        <v>648</v>
      </c>
      <c r="D380" s="8" t="s">
        <v>494</v>
      </c>
      <c r="E380" s="8" t="s">
        <v>488</v>
      </c>
      <c r="F380" s="8" t="s">
        <v>489</v>
      </c>
      <c r="G380" s="7" t="s">
        <v>496</v>
      </c>
      <c r="H380" s="8" t="s">
        <v>491</v>
      </c>
      <c r="I380" s="7" t="s">
        <v>492</v>
      </c>
      <c r="J380" s="8">
        <v>379</v>
      </c>
      <c r="K380" s="44"/>
    </row>
    <row r="381" spans="1:11">
      <c r="A381" s="8" t="s">
        <v>300</v>
      </c>
      <c r="B381" s="7" t="s">
        <v>1078</v>
      </c>
      <c r="C381" s="7" t="s">
        <v>648</v>
      </c>
      <c r="D381" s="8" t="s">
        <v>494</v>
      </c>
      <c r="E381" s="8" t="s">
        <v>488</v>
      </c>
      <c r="F381" s="8" t="s">
        <v>489</v>
      </c>
      <c r="G381" s="7" t="s">
        <v>496</v>
      </c>
      <c r="H381" s="8" t="s">
        <v>491</v>
      </c>
      <c r="I381" s="7" t="s">
        <v>492</v>
      </c>
      <c r="J381" s="8">
        <v>380</v>
      </c>
      <c r="K381" s="44"/>
    </row>
    <row r="382" spans="1:11">
      <c r="A382" s="8" t="s">
        <v>1079</v>
      </c>
      <c r="B382" s="7" t="s">
        <v>1080</v>
      </c>
      <c r="C382" s="7" t="s">
        <v>648</v>
      </c>
      <c r="D382" s="8" t="s">
        <v>494</v>
      </c>
      <c r="E382" s="8" t="s">
        <v>488</v>
      </c>
      <c r="F382" s="8" t="s">
        <v>489</v>
      </c>
      <c r="G382" s="7" t="s">
        <v>496</v>
      </c>
      <c r="H382" s="8" t="s">
        <v>491</v>
      </c>
      <c r="I382" s="7" t="s">
        <v>492</v>
      </c>
      <c r="J382" s="8">
        <v>381</v>
      </c>
      <c r="K382" s="44"/>
    </row>
    <row r="383" spans="1:11">
      <c r="A383" s="8" t="s">
        <v>301</v>
      </c>
      <c r="B383" s="7" t="s">
        <v>1081</v>
      </c>
      <c r="C383" s="7" t="s">
        <v>648</v>
      </c>
      <c r="D383" s="8" t="s">
        <v>494</v>
      </c>
      <c r="E383" s="8" t="s">
        <v>488</v>
      </c>
      <c r="F383" s="8" t="s">
        <v>489</v>
      </c>
      <c r="G383" s="7" t="s">
        <v>496</v>
      </c>
      <c r="H383" s="8" t="s">
        <v>491</v>
      </c>
      <c r="I383" s="7" t="s">
        <v>492</v>
      </c>
      <c r="J383" s="8">
        <v>382</v>
      </c>
      <c r="K383" s="44"/>
    </row>
    <row r="384" spans="1:11">
      <c r="A384" s="8" t="s">
        <v>302</v>
      </c>
      <c r="B384" s="7" t="s">
        <v>1082</v>
      </c>
      <c r="C384" s="7" t="s">
        <v>648</v>
      </c>
      <c r="D384" s="8" t="s">
        <v>494</v>
      </c>
      <c r="E384" s="8" t="s">
        <v>488</v>
      </c>
      <c r="F384" s="8" t="s">
        <v>489</v>
      </c>
      <c r="G384" s="7" t="s">
        <v>496</v>
      </c>
      <c r="H384" s="8" t="s">
        <v>491</v>
      </c>
      <c r="I384" s="7" t="s">
        <v>492</v>
      </c>
      <c r="J384" s="8">
        <v>383</v>
      </c>
      <c r="K384" s="44"/>
    </row>
    <row r="385" spans="1:11">
      <c r="A385" s="8" t="s">
        <v>1083</v>
      </c>
      <c r="B385" s="7" t="s">
        <v>1084</v>
      </c>
      <c r="C385" s="7" t="s">
        <v>648</v>
      </c>
      <c r="D385" s="8" t="s">
        <v>494</v>
      </c>
      <c r="E385" s="8" t="s">
        <v>488</v>
      </c>
      <c r="F385" s="8" t="s">
        <v>489</v>
      </c>
      <c r="G385" s="7" t="s">
        <v>496</v>
      </c>
      <c r="H385" s="8" t="s">
        <v>491</v>
      </c>
      <c r="I385" s="7" t="s">
        <v>492</v>
      </c>
      <c r="J385" s="8">
        <v>384</v>
      </c>
      <c r="K385" s="44"/>
    </row>
    <row r="386" spans="1:11">
      <c r="A386" s="8" t="s">
        <v>303</v>
      </c>
      <c r="B386" s="7" t="s">
        <v>595</v>
      </c>
      <c r="C386" s="7" t="s">
        <v>648</v>
      </c>
      <c r="D386" s="8" t="s">
        <v>494</v>
      </c>
      <c r="E386" s="8" t="s">
        <v>488</v>
      </c>
      <c r="F386" s="8" t="s">
        <v>489</v>
      </c>
      <c r="G386" s="7" t="s">
        <v>496</v>
      </c>
      <c r="H386" s="8" t="s">
        <v>491</v>
      </c>
      <c r="I386" s="7" t="s">
        <v>492</v>
      </c>
      <c r="J386" s="8">
        <v>385</v>
      </c>
      <c r="K386" s="44"/>
    </row>
    <row r="387" spans="1:11">
      <c r="A387" s="8" t="s">
        <v>304</v>
      </c>
      <c r="B387" s="7" t="s">
        <v>596</v>
      </c>
      <c r="C387" s="7" t="s">
        <v>648</v>
      </c>
      <c r="D387" s="8" t="s">
        <v>494</v>
      </c>
      <c r="E387" s="8" t="s">
        <v>488</v>
      </c>
      <c r="F387" s="8" t="s">
        <v>489</v>
      </c>
      <c r="G387" s="7" t="s">
        <v>496</v>
      </c>
      <c r="H387" s="8" t="s">
        <v>491</v>
      </c>
      <c r="I387" s="7" t="s">
        <v>492</v>
      </c>
      <c r="J387" s="8">
        <v>386</v>
      </c>
      <c r="K387" s="44"/>
    </row>
    <row r="388" spans="1:11">
      <c r="A388" s="8" t="s">
        <v>305</v>
      </c>
      <c r="B388" s="7" t="s">
        <v>597</v>
      </c>
      <c r="C388" s="7" t="s">
        <v>648</v>
      </c>
      <c r="D388" s="8" t="s">
        <v>494</v>
      </c>
      <c r="E388" s="8" t="s">
        <v>488</v>
      </c>
      <c r="F388" s="8" t="s">
        <v>489</v>
      </c>
      <c r="G388" s="7" t="s">
        <v>496</v>
      </c>
      <c r="H388" s="8" t="s">
        <v>491</v>
      </c>
      <c r="I388" s="7" t="s">
        <v>492</v>
      </c>
      <c r="J388" s="8">
        <v>387</v>
      </c>
      <c r="K388" s="44"/>
    </row>
    <row r="389" spans="1:11">
      <c r="A389" s="8" t="s">
        <v>306</v>
      </c>
      <c r="B389" s="7" t="s">
        <v>598</v>
      </c>
      <c r="C389" s="7" t="s">
        <v>648</v>
      </c>
      <c r="D389" s="8" t="s">
        <v>494</v>
      </c>
      <c r="E389" s="8" t="s">
        <v>488</v>
      </c>
      <c r="F389" s="8" t="s">
        <v>489</v>
      </c>
      <c r="G389" s="7" t="s">
        <v>496</v>
      </c>
      <c r="H389" s="8" t="s">
        <v>491</v>
      </c>
      <c r="I389" s="7" t="s">
        <v>492</v>
      </c>
      <c r="J389" s="8">
        <v>388</v>
      </c>
      <c r="K389" s="44"/>
    </row>
    <row r="390" spans="1:11">
      <c r="A390" s="8" t="s">
        <v>307</v>
      </c>
      <c r="B390" s="7" t="s">
        <v>599</v>
      </c>
      <c r="C390" s="7" t="s">
        <v>648</v>
      </c>
      <c r="D390" s="8" t="s">
        <v>494</v>
      </c>
      <c r="E390" s="8" t="s">
        <v>488</v>
      </c>
      <c r="F390" s="8" t="s">
        <v>489</v>
      </c>
      <c r="G390" s="7" t="s">
        <v>496</v>
      </c>
      <c r="H390" s="8" t="s">
        <v>491</v>
      </c>
      <c r="I390" s="7" t="s">
        <v>492</v>
      </c>
      <c r="J390" s="8">
        <v>389</v>
      </c>
      <c r="K390" s="44"/>
    </row>
    <row r="391" spans="1:11">
      <c r="A391" s="8" t="s">
        <v>600</v>
      </c>
      <c r="B391" s="7" t="s">
        <v>601</v>
      </c>
      <c r="C391" s="7" t="s">
        <v>648</v>
      </c>
      <c r="D391" s="8" t="s">
        <v>494</v>
      </c>
      <c r="E391" s="8" t="s">
        <v>488</v>
      </c>
      <c r="F391" s="8" t="s">
        <v>489</v>
      </c>
      <c r="G391" s="7" t="s">
        <v>496</v>
      </c>
      <c r="H391" s="8" t="s">
        <v>491</v>
      </c>
      <c r="I391" s="7" t="s">
        <v>492</v>
      </c>
      <c r="J391" s="8">
        <v>390</v>
      </c>
      <c r="K391" s="44"/>
    </row>
    <row r="392" spans="1:11">
      <c r="A392" s="8" t="s">
        <v>308</v>
      </c>
      <c r="B392" s="7" t="s">
        <v>602</v>
      </c>
      <c r="C392" s="7" t="s">
        <v>648</v>
      </c>
      <c r="D392" s="8" t="s">
        <v>494</v>
      </c>
      <c r="E392" s="8" t="s">
        <v>488</v>
      </c>
      <c r="F392" s="8" t="s">
        <v>489</v>
      </c>
      <c r="G392" s="7" t="s">
        <v>496</v>
      </c>
      <c r="H392" s="8" t="s">
        <v>491</v>
      </c>
      <c r="I392" s="7" t="s">
        <v>492</v>
      </c>
      <c r="J392" s="8">
        <v>391</v>
      </c>
      <c r="K392" s="44"/>
    </row>
    <row r="393" spans="1:11">
      <c r="A393" s="8" t="s">
        <v>309</v>
      </c>
      <c r="B393" s="7" t="s">
        <v>603</v>
      </c>
      <c r="C393" s="7" t="s">
        <v>648</v>
      </c>
      <c r="D393" s="8" t="s">
        <v>494</v>
      </c>
      <c r="E393" s="8" t="s">
        <v>488</v>
      </c>
      <c r="F393" s="8" t="s">
        <v>489</v>
      </c>
      <c r="G393" s="7" t="s">
        <v>496</v>
      </c>
      <c r="H393" s="8" t="s">
        <v>491</v>
      </c>
      <c r="I393" s="7" t="s">
        <v>492</v>
      </c>
      <c r="J393" s="8">
        <v>392</v>
      </c>
      <c r="K393" s="44"/>
    </row>
    <row r="394" spans="1:11">
      <c r="A394" s="8" t="s">
        <v>310</v>
      </c>
      <c r="B394" s="7" t="s">
        <v>604</v>
      </c>
      <c r="C394" s="7" t="s">
        <v>648</v>
      </c>
      <c r="D394" s="8" t="s">
        <v>494</v>
      </c>
      <c r="E394" s="8" t="s">
        <v>488</v>
      </c>
      <c r="F394" s="8" t="s">
        <v>489</v>
      </c>
      <c r="G394" s="7" t="s">
        <v>496</v>
      </c>
      <c r="H394" s="8" t="s">
        <v>491</v>
      </c>
      <c r="I394" s="7" t="s">
        <v>492</v>
      </c>
      <c r="J394" s="8">
        <v>393</v>
      </c>
      <c r="K394" s="44"/>
    </row>
    <row r="395" spans="1:11">
      <c r="A395" s="8" t="s">
        <v>605</v>
      </c>
      <c r="B395" s="7" t="s">
        <v>606</v>
      </c>
      <c r="C395" s="7" t="s">
        <v>648</v>
      </c>
      <c r="D395" s="8" t="s">
        <v>494</v>
      </c>
      <c r="E395" s="8" t="s">
        <v>488</v>
      </c>
      <c r="F395" s="8" t="s">
        <v>489</v>
      </c>
      <c r="G395" s="7" t="s">
        <v>496</v>
      </c>
      <c r="H395" s="8" t="s">
        <v>491</v>
      </c>
      <c r="I395" s="7" t="s">
        <v>492</v>
      </c>
      <c r="J395" s="8">
        <v>394</v>
      </c>
      <c r="K395" s="44"/>
    </row>
    <row r="396" spans="1:11">
      <c r="A396" s="8" t="s">
        <v>311</v>
      </c>
      <c r="B396" s="7" t="s">
        <v>1085</v>
      </c>
      <c r="C396" s="7" t="s">
        <v>648</v>
      </c>
      <c r="D396" s="8" t="s">
        <v>494</v>
      </c>
      <c r="E396" s="8" t="s">
        <v>488</v>
      </c>
      <c r="F396" s="8" t="s">
        <v>489</v>
      </c>
      <c r="G396" s="7" t="s">
        <v>496</v>
      </c>
      <c r="H396" s="8" t="s">
        <v>491</v>
      </c>
      <c r="I396" s="7" t="s">
        <v>492</v>
      </c>
      <c r="J396" s="8">
        <v>395</v>
      </c>
      <c r="K396" s="44"/>
    </row>
    <row r="397" spans="1:11">
      <c r="A397" s="8" t="s">
        <v>312</v>
      </c>
      <c r="B397" s="7" t="s">
        <v>1086</v>
      </c>
      <c r="C397" s="7" t="s">
        <v>648</v>
      </c>
      <c r="D397" s="8" t="s">
        <v>494</v>
      </c>
      <c r="E397" s="8" t="s">
        <v>488</v>
      </c>
      <c r="F397" s="8" t="s">
        <v>489</v>
      </c>
      <c r="G397" s="7" t="s">
        <v>496</v>
      </c>
      <c r="H397" s="8" t="s">
        <v>491</v>
      </c>
      <c r="I397" s="7" t="s">
        <v>492</v>
      </c>
      <c r="J397" s="8">
        <v>396</v>
      </c>
      <c r="K397" s="44"/>
    </row>
    <row r="398" spans="1:11">
      <c r="A398" s="8" t="s">
        <v>313</v>
      </c>
      <c r="B398" s="7" t="s">
        <v>1087</v>
      </c>
      <c r="C398" s="7" t="s">
        <v>648</v>
      </c>
      <c r="D398" s="8" t="s">
        <v>494</v>
      </c>
      <c r="E398" s="8" t="s">
        <v>488</v>
      </c>
      <c r="F398" s="8" t="s">
        <v>489</v>
      </c>
      <c r="G398" s="7" t="s">
        <v>496</v>
      </c>
      <c r="H398" s="8" t="s">
        <v>491</v>
      </c>
      <c r="I398" s="7" t="s">
        <v>492</v>
      </c>
      <c r="J398" s="8">
        <v>397</v>
      </c>
      <c r="K398" s="44"/>
    </row>
    <row r="399" spans="1:11">
      <c r="A399" s="8" t="s">
        <v>314</v>
      </c>
      <c r="B399" s="7" t="s">
        <v>607</v>
      </c>
      <c r="C399" s="7" t="s">
        <v>648</v>
      </c>
      <c r="D399" s="8" t="s">
        <v>494</v>
      </c>
      <c r="E399" s="8" t="s">
        <v>488</v>
      </c>
      <c r="F399" s="8" t="s">
        <v>489</v>
      </c>
      <c r="G399" s="7" t="s">
        <v>496</v>
      </c>
      <c r="H399" s="8" t="s">
        <v>491</v>
      </c>
      <c r="I399" s="7" t="s">
        <v>492</v>
      </c>
      <c r="J399" s="8">
        <v>398</v>
      </c>
      <c r="K399" s="44"/>
    </row>
    <row r="400" spans="1:11">
      <c r="A400" s="8" t="s">
        <v>315</v>
      </c>
      <c r="B400" s="7" t="s">
        <v>608</v>
      </c>
      <c r="C400" s="7" t="s">
        <v>648</v>
      </c>
      <c r="D400" s="8" t="s">
        <v>494</v>
      </c>
      <c r="E400" s="8" t="s">
        <v>488</v>
      </c>
      <c r="F400" s="8" t="s">
        <v>489</v>
      </c>
      <c r="G400" s="7" t="s">
        <v>496</v>
      </c>
      <c r="H400" s="8" t="s">
        <v>491</v>
      </c>
      <c r="I400" s="7" t="s">
        <v>492</v>
      </c>
      <c r="J400" s="8">
        <v>399</v>
      </c>
      <c r="K400" s="44"/>
    </row>
    <row r="401" spans="1:11">
      <c r="A401" s="8" t="s">
        <v>316</v>
      </c>
      <c r="B401" s="7" t="s">
        <v>1088</v>
      </c>
      <c r="C401" s="7" t="s">
        <v>648</v>
      </c>
      <c r="D401" s="8" t="s">
        <v>494</v>
      </c>
      <c r="E401" s="8" t="s">
        <v>488</v>
      </c>
      <c r="F401" s="8" t="s">
        <v>489</v>
      </c>
      <c r="G401" s="7" t="s">
        <v>496</v>
      </c>
      <c r="H401" s="8" t="s">
        <v>491</v>
      </c>
      <c r="I401" s="7" t="s">
        <v>492</v>
      </c>
      <c r="J401" s="8">
        <v>400</v>
      </c>
      <c r="K401" s="44"/>
    </row>
    <row r="402" spans="1:11">
      <c r="A402" s="8" t="s">
        <v>317</v>
      </c>
      <c r="B402" s="7" t="s">
        <v>1089</v>
      </c>
      <c r="C402" s="7" t="s">
        <v>648</v>
      </c>
      <c r="D402" s="8" t="s">
        <v>494</v>
      </c>
      <c r="E402" s="8" t="s">
        <v>488</v>
      </c>
      <c r="F402" s="8" t="s">
        <v>489</v>
      </c>
      <c r="G402" s="7" t="s">
        <v>496</v>
      </c>
      <c r="H402" s="8" t="s">
        <v>491</v>
      </c>
      <c r="I402" s="7" t="s">
        <v>492</v>
      </c>
      <c r="J402" s="8">
        <v>401</v>
      </c>
      <c r="K402" s="44"/>
    </row>
    <row r="403" spans="1:11">
      <c r="A403" s="8" t="s">
        <v>318</v>
      </c>
      <c r="B403" s="7" t="s">
        <v>1090</v>
      </c>
      <c r="C403" s="7" t="s">
        <v>648</v>
      </c>
      <c r="D403" s="8" t="s">
        <v>494</v>
      </c>
      <c r="E403" s="8" t="s">
        <v>488</v>
      </c>
      <c r="F403" s="8" t="s">
        <v>489</v>
      </c>
      <c r="G403" s="7" t="s">
        <v>496</v>
      </c>
      <c r="H403" s="8" t="s">
        <v>491</v>
      </c>
      <c r="I403" s="7" t="s">
        <v>492</v>
      </c>
      <c r="J403" s="8">
        <v>402</v>
      </c>
      <c r="K403" s="44"/>
    </row>
    <row r="404" spans="1:11">
      <c r="A404" s="8" t="s">
        <v>319</v>
      </c>
      <c r="B404" s="7" t="s">
        <v>1091</v>
      </c>
      <c r="C404" s="7" t="s">
        <v>648</v>
      </c>
      <c r="D404" s="8" t="s">
        <v>494</v>
      </c>
      <c r="E404" s="8" t="s">
        <v>488</v>
      </c>
      <c r="F404" s="8" t="s">
        <v>489</v>
      </c>
      <c r="G404" s="7" t="s">
        <v>496</v>
      </c>
      <c r="H404" s="8" t="s">
        <v>491</v>
      </c>
      <c r="I404" s="7" t="s">
        <v>492</v>
      </c>
      <c r="J404" s="8">
        <v>403</v>
      </c>
      <c r="K404" s="44"/>
    </row>
    <row r="405" spans="1:11">
      <c r="A405" s="8" t="s">
        <v>320</v>
      </c>
      <c r="B405" s="7" t="s">
        <v>1092</v>
      </c>
      <c r="C405" s="7" t="s">
        <v>648</v>
      </c>
      <c r="D405" s="8" t="s">
        <v>494</v>
      </c>
      <c r="E405" s="8" t="s">
        <v>488</v>
      </c>
      <c r="F405" s="8" t="s">
        <v>489</v>
      </c>
      <c r="G405" s="7" t="s">
        <v>496</v>
      </c>
      <c r="H405" s="8" t="s">
        <v>491</v>
      </c>
      <c r="I405" s="7" t="s">
        <v>492</v>
      </c>
      <c r="J405" s="8">
        <v>404</v>
      </c>
      <c r="K405" s="44"/>
    </row>
    <row r="406" spans="1:11">
      <c r="A406" s="8" t="s">
        <v>321</v>
      </c>
      <c r="B406" s="7" t="s">
        <v>609</v>
      </c>
      <c r="C406" s="7" t="s">
        <v>648</v>
      </c>
      <c r="D406" s="8" t="s">
        <v>494</v>
      </c>
      <c r="E406" s="8" t="s">
        <v>488</v>
      </c>
      <c r="F406" s="8" t="s">
        <v>489</v>
      </c>
      <c r="G406" s="7" t="s">
        <v>496</v>
      </c>
      <c r="H406" s="8" t="s">
        <v>491</v>
      </c>
      <c r="I406" s="7" t="s">
        <v>492</v>
      </c>
      <c r="J406" s="8">
        <v>405</v>
      </c>
      <c r="K406" s="44"/>
    </row>
    <row r="407" spans="1:11">
      <c r="A407" s="8" t="s">
        <v>322</v>
      </c>
      <c r="B407" s="7" t="s">
        <v>1093</v>
      </c>
      <c r="C407" s="7" t="s">
        <v>648</v>
      </c>
      <c r="D407" s="8" t="s">
        <v>494</v>
      </c>
      <c r="E407" s="8" t="s">
        <v>488</v>
      </c>
      <c r="F407" s="8" t="s">
        <v>489</v>
      </c>
      <c r="G407" s="7" t="s">
        <v>496</v>
      </c>
      <c r="H407" s="8" t="s">
        <v>491</v>
      </c>
      <c r="I407" s="7" t="s">
        <v>492</v>
      </c>
      <c r="J407" s="8">
        <v>406</v>
      </c>
      <c r="K407" s="44"/>
    </row>
    <row r="408" spans="1:11">
      <c r="A408" s="8" t="s">
        <v>323</v>
      </c>
      <c r="B408" s="7" t="s">
        <v>610</v>
      </c>
      <c r="C408" s="7" t="s">
        <v>648</v>
      </c>
      <c r="D408" s="8" t="s">
        <v>494</v>
      </c>
      <c r="E408" s="8" t="s">
        <v>488</v>
      </c>
      <c r="F408" s="8" t="s">
        <v>489</v>
      </c>
      <c r="G408" s="7" t="s">
        <v>496</v>
      </c>
      <c r="H408" s="8" t="s">
        <v>491</v>
      </c>
      <c r="I408" s="7" t="s">
        <v>492</v>
      </c>
      <c r="J408" s="8">
        <v>407</v>
      </c>
      <c r="K408" s="44"/>
    </row>
    <row r="409" spans="1:11">
      <c r="A409" s="8" t="s">
        <v>324</v>
      </c>
      <c r="B409" s="7" t="s">
        <v>1094</v>
      </c>
      <c r="C409" s="7" t="s">
        <v>648</v>
      </c>
      <c r="D409" s="8" t="s">
        <v>494</v>
      </c>
      <c r="E409" s="8" t="s">
        <v>488</v>
      </c>
      <c r="F409" s="8" t="s">
        <v>489</v>
      </c>
      <c r="G409" s="7" t="s">
        <v>496</v>
      </c>
      <c r="H409" s="8" t="s">
        <v>491</v>
      </c>
      <c r="I409" s="7" t="s">
        <v>492</v>
      </c>
      <c r="J409" s="8">
        <v>408</v>
      </c>
      <c r="K409" s="44"/>
    </row>
    <row r="410" spans="1:11">
      <c r="A410" s="8" t="s">
        <v>325</v>
      </c>
      <c r="B410" s="7" t="s">
        <v>1095</v>
      </c>
      <c r="C410" s="7" t="s">
        <v>648</v>
      </c>
      <c r="D410" s="8" t="s">
        <v>494</v>
      </c>
      <c r="E410" s="8" t="s">
        <v>488</v>
      </c>
      <c r="F410" s="8" t="s">
        <v>489</v>
      </c>
      <c r="G410" s="7" t="s">
        <v>496</v>
      </c>
      <c r="H410" s="8" t="s">
        <v>491</v>
      </c>
      <c r="I410" s="7" t="s">
        <v>492</v>
      </c>
      <c r="J410" s="8">
        <v>409</v>
      </c>
      <c r="K410" s="44"/>
    </row>
    <row r="411" spans="1:11">
      <c r="A411" s="8" t="s">
        <v>326</v>
      </c>
      <c r="B411" s="7" t="s">
        <v>1096</v>
      </c>
      <c r="C411" s="7" t="s">
        <v>648</v>
      </c>
      <c r="D411" s="8" t="s">
        <v>494</v>
      </c>
      <c r="E411" s="8" t="s">
        <v>488</v>
      </c>
      <c r="F411" s="8" t="s">
        <v>489</v>
      </c>
      <c r="G411" s="7" t="s">
        <v>496</v>
      </c>
      <c r="H411" s="8" t="s">
        <v>491</v>
      </c>
      <c r="I411" s="7" t="s">
        <v>492</v>
      </c>
      <c r="J411" s="8">
        <v>410</v>
      </c>
      <c r="K411" s="44"/>
    </row>
    <row r="412" spans="1:11">
      <c r="A412" s="8" t="s">
        <v>327</v>
      </c>
      <c r="B412" s="7" t="s">
        <v>1097</v>
      </c>
      <c r="C412" s="7" t="s">
        <v>648</v>
      </c>
      <c r="D412" s="8" t="s">
        <v>494</v>
      </c>
      <c r="E412" s="8" t="s">
        <v>488</v>
      </c>
      <c r="F412" s="8" t="s">
        <v>489</v>
      </c>
      <c r="G412" s="7" t="s">
        <v>496</v>
      </c>
      <c r="H412" s="8" t="s">
        <v>491</v>
      </c>
      <c r="I412" s="7" t="s">
        <v>492</v>
      </c>
      <c r="J412" s="8">
        <v>411</v>
      </c>
      <c r="K412" s="44"/>
    </row>
    <row r="413" spans="1:11">
      <c r="A413" s="8" t="s">
        <v>328</v>
      </c>
      <c r="B413" s="7" t="s">
        <v>1098</v>
      </c>
      <c r="C413" s="7" t="s">
        <v>648</v>
      </c>
      <c r="D413" s="8" t="s">
        <v>494</v>
      </c>
      <c r="E413" s="8" t="s">
        <v>488</v>
      </c>
      <c r="F413" s="8" t="s">
        <v>489</v>
      </c>
      <c r="G413" s="7" t="s">
        <v>496</v>
      </c>
      <c r="H413" s="8" t="s">
        <v>491</v>
      </c>
      <c r="I413" s="7" t="s">
        <v>492</v>
      </c>
      <c r="J413" s="8">
        <v>412</v>
      </c>
      <c r="K413" s="44"/>
    </row>
    <row r="414" spans="1:11">
      <c r="A414" s="8" t="s">
        <v>329</v>
      </c>
      <c r="B414" s="7" t="s">
        <v>1099</v>
      </c>
      <c r="C414" s="7" t="s">
        <v>648</v>
      </c>
      <c r="D414" s="8" t="s">
        <v>494</v>
      </c>
      <c r="E414" s="8" t="s">
        <v>488</v>
      </c>
      <c r="F414" s="8" t="s">
        <v>489</v>
      </c>
      <c r="G414" s="7" t="s">
        <v>496</v>
      </c>
      <c r="H414" s="8" t="s">
        <v>491</v>
      </c>
      <c r="I414" s="7" t="s">
        <v>492</v>
      </c>
      <c r="J414" s="8">
        <v>413</v>
      </c>
      <c r="K414" s="44"/>
    </row>
    <row r="415" spans="1:11">
      <c r="A415" s="8" t="s">
        <v>330</v>
      </c>
      <c r="B415" s="7" t="s">
        <v>1100</v>
      </c>
      <c r="C415" s="7" t="s">
        <v>648</v>
      </c>
      <c r="D415" s="8" t="s">
        <v>494</v>
      </c>
      <c r="E415" s="8" t="s">
        <v>488</v>
      </c>
      <c r="F415" s="8" t="s">
        <v>489</v>
      </c>
      <c r="G415" s="7" t="s">
        <v>496</v>
      </c>
      <c r="H415" s="8" t="s">
        <v>491</v>
      </c>
      <c r="I415" s="7" t="s">
        <v>492</v>
      </c>
      <c r="J415" s="8">
        <v>414</v>
      </c>
      <c r="K415" s="44"/>
    </row>
    <row r="416" spans="1:11">
      <c r="A416" s="8" t="s">
        <v>331</v>
      </c>
      <c r="B416" s="7" t="s">
        <v>1101</v>
      </c>
      <c r="C416" s="7" t="s">
        <v>1102</v>
      </c>
      <c r="D416" s="8" t="s">
        <v>487</v>
      </c>
      <c r="E416" s="8" t="s">
        <v>504</v>
      </c>
      <c r="F416" s="8" t="s">
        <v>489</v>
      </c>
      <c r="G416" s="7" t="s">
        <v>490</v>
      </c>
      <c r="H416" s="8" t="s">
        <v>491</v>
      </c>
      <c r="I416" s="7" t="s">
        <v>492</v>
      </c>
      <c r="J416" s="8">
        <v>415</v>
      </c>
      <c r="K416" s="44"/>
    </row>
    <row r="417" spans="1:11">
      <c r="A417" s="8" t="s">
        <v>332</v>
      </c>
      <c r="B417" s="7" t="s">
        <v>1103</v>
      </c>
      <c r="C417" s="7" t="s">
        <v>648</v>
      </c>
      <c r="D417" s="8" t="s">
        <v>494</v>
      </c>
      <c r="E417" s="8" t="s">
        <v>488</v>
      </c>
      <c r="F417" s="8" t="s">
        <v>489</v>
      </c>
      <c r="G417" s="7" t="s">
        <v>496</v>
      </c>
      <c r="H417" s="8" t="s">
        <v>491</v>
      </c>
      <c r="I417" s="7" t="s">
        <v>492</v>
      </c>
      <c r="J417" s="8">
        <v>416</v>
      </c>
      <c r="K417" s="44"/>
    </row>
    <row r="418" spans="1:11">
      <c r="A418" s="8" t="s">
        <v>333</v>
      </c>
      <c r="B418" s="7" t="s">
        <v>1104</v>
      </c>
      <c r="C418" s="7" t="s">
        <v>648</v>
      </c>
      <c r="D418" s="8" t="s">
        <v>494</v>
      </c>
      <c r="E418" s="8" t="s">
        <v>488</v>
      </c>
      <c r="F418" s="8" t="s">
        <v>489</v>
      </c>
      <c r="G418" s="7" t="s">
        <v>496</v>
      </c>
      <c r="H418" s="8" t="s">
        <v>491</v>
      </c>
      <c r="I418" s="7" t="s">
        <v>492</v>
      </c>
      <c r="J418" s="8">
        <v>417</v>
      </c>
      <c r="K418" s="44"/>
    </row>
    <row r="419" spans="1:11">
      <c r="A419" s="8" t="s">
        <v>334</v>
      </c>
      <c r="B419" s="7" t="s">
        <v>1105</v>
      </c>
      <c r="C419" s="7" t="s">
        <v>648</v>
      </c>
      <c r="D419" s="8" t="s">
        <v>494</v>
      </c>
      <c r="E419" s="8" t="s">
        <v>488</v>
      </c>
      <c r="F419" s="8" t="s">
        <v>489</v>
      </c>
      <c r="G419" s="7" t="s">
        <v>496</v>
      </c>
      <c r="H419" s="8" t="s">
        <v>491</v>
      </c>
      <c r="I419" s="7" t="s">
        <v>492</v>
      </c>
      <c r="J419" s="8">
        <v>418</v>
      </c>
      <c r="K419" s="44"/>
    </row>
    <row r="420" spans="1:11">
      <c r="A420" s="8" t="s">
        <v>335</v>
      </c>
      <c r="B420" s="7" t="s">
        <v>1106</v>
      </c>
      <c r="C420" s="7" t="s">
        <v>648</v>
      </c>
      <c r="D420" s="8" t="s">
        <v>494</v>
      </c>
      <c r="E420" s="8" t="s">
        <v>488</v>
      </c>
      <c r="F420" s="8" t="s">
        <v>489</v>
      </c>
      <c r="G420" s="7" t="s">
        <v>496</v>
      </c>
      <c r="H420" s="8" t="s">
        <v>491</v>
      </c>
      <c r="I420" s="7" t="s">
        <v>492</v>
      </c>
      <c r="J420" s="8">
        <v>419</v>
      </c>
      <c r="K420" s="44"/>
    </row>
    <row r="421" spans="1:11">
      <c r="A421" s="8" t="s">
        <v>336</v>
      </c>
      <c r="B421" s="7" t="s">
        <v>1107</v>
      </c>
      <c r="C421" s="7" t="s">
        <v>648</v>
      </c>
      <c r="D421" s="8" t="s">
        <v>494</v>
      </c>
      <c r="E421" s="8" t="s">
        <v>488</v>
      </c>
      <c r="F421" s="8" t="s">
        <v>489</v>
      </c>
      <c r="G421" s="7" t="s">
        <v>496</v>
      </c>
      <c r="H421" s="8" t="s">
        <v>491</v>
      </c>
      <c r="I421" s="7" t="s">
        <v>492</v>
      </c>
      <c r="J421" s="8">
        <v>420</v>
      </c>
      <c r="K421" s="44"/>
    </row>
    <row r="422" spans="1:11">
      <c r="A422" s="8" t="s">
        <v>337</v>
      </c>
      <c r="B422" s="7" t="s">
        <v>1108</v>
      </c>
      <c r="C422" s="7" t="s">
        <v>648</v>
      </c>
      <c r="D422" s="8" t="s">
        <v>494</v>
      </c>
      <c r="E422" s="8" t="s">
        <v>488</v>
      </c>
      <c r="F422" s="8" t="s">
        <v>489</v>
      </c>
      <c r="G422" s="7" t="s">
        <v>496</v>
      </c>
      <c r="H422" s="8" t="s">
        <v>491</v>
      </c>
      <c r="I422" s="7" t="s">
        <v>492</v>
      </c>
      <c r="J422" s="8">
        <v>421</v>
      </c>
      <c r="K422" s="44"/>
    </row>
    <row r="423" spans="1:11">
      <c r="A423" s="8" t="s">
        <v>338</v>
      </c>
      <c r="B423" s="7" t="s">
        <v>1109</v>
      </c>
      <c r="C423" s="7" t="s">
        <v>1110</v>
      </c>
      <c r="D423" s="8" t="s">
        <v>487</v>
      </c>
      <c r="E423" s="8" t="s">
        <v>504</v>
      </c>
      <c r="F423" s="8" t="s">
        <v>489</v>
      </c>
      <c r="G423" s="7" t="s">
        <v>490</v>
      </c>
      <c r="H423" s="8" t="s">
        <v>491</v>
      </c>
      <c r="I423" s="7" t="s">
        <v>492</v>
      </c>
      <c r="J423" s="8">
        <v>422</v>
      </c>
      <c r="K423" s="44"/>
    </row>
    <row r="424" spans="1:11">
      <c r="A424" s="8" t="s">
        <v>339</v>
      </c>
      <c r="B424" s="7" t="s">
        <v>611</v>
      </c>
      <c r="C424" s="7" t="s">
        <v>648</v>
      </c>
      <c r="D424" s="8" t="s">
        <v>494</v>
      </c>
      <c r="E424" s="8" t="s">
        <v>488</v>
      </c>
      <c r="F424" s="8" t="s">
        <v>489</v>
      </c>
      <c r="G424" s="7" t="s">
        <v>496</v>
      </c>
      <c r="H424" s="8" t="s">
        <v>491</v>
      </c>
      <c r="I424" s="7" t="s">
        <v>492</v>
      </c>
      <c r="J424" s="8">
        <v>423</v>
      </c>
      <c r="K424" s="44"/>
    </row>
    <row r="425" spans="1:11">
      <c r="A425" s="8" t="s">
        <v>340</v>
      </c>
      <c r="B425" s="7" t="s">
        <v>612</v>
      </c>
      <c r="C425" s="7" t="s">
        <v>648</v>
      </c>
      <c r="D425" s="8" t="s">
        <v>494</v>
      </c>
      <c r="E425" s="8" t="s">
        <v>488</v>
      </c>
      <c r="F425" s="8" t="s">
        <v>489</v>
      </c>
      <c r="G425" s="7" t="s">
        <v>496</v>
      </c>
      <c r="H425" s="8" t="s">
        <v>491</v>
      </c>
      <c r="I425" s="7" t="s">
        <v>492</v>
      </c>
      <c r="J425" s="8">
        <v>424</v>
      </c>
      <c r="K425" s="44"/>
    </row>
    <row r="426" spans="1:11">
      <c r="A426" s="8" t="s">
        <v>341</v>
      </c>
      <c r="B426" s="7" t="s">
        <v>613</v>
      </c>
      <c r="C426" s="7" t="s">
        <v>648</v>
      </c>
      <c r="D426" s="8" t="s">
        <v>494</v>
      </c>
      <c r="E426" s="8" t="s">
        <v>488</v>
      </c>
      <c r="F426" s="8" t="s">
        <v>489</v>
      </c>
      <c r="G426" s="7" t="s">
        <v>496</v>
      </c>
      <c r="H426" s="8" t="s">
        <v>491</v>
      </c>
      <c r="I426" s="7" t="s">
        <v>492</v>
      </c>
      <c r="J426" s="8">
        <v>425</v>
      </c>
      <c r="K426" s="44"/>
    </row>
    <row r="427" spans="1:11">
      <c r="A427" s="8" t="s">
        <v>342</v>
      </c>
      <c r="B427" s="7" t="s">
        <v>614</v>
      </c>
      <c r="C427" s="7" t="s">
        <v>1111</v>
      </c>
      <c r="D427" s="8" t="s">
        <v>487</v>
      </c>
      <c r="E427" s="8" t="s">
        <v>615</v>
      </c>
      <c r="F427" s="8" t="s">
        <v>501</v>
      </c>
      <c r="G427" s="7" t="s">
        <v>490</v>
      </c>
      <c r="H427" s="8" t="s">
        <v>616</v>
      </c>
      <c r="I427" s="7" t="s">
        <v>492</v>
      </c>
      <c r="J427" s="8">
        <v>426</v>
      </c>
      <c r="K427" s="44"/>
    </row>
    <row r="428" spans="1:11">
      <c r="A428" s="8" t="s">
        <v>343</v>
      </c>
      <c r="B428" s="7" t="s">
        <v>617</v>
      </c>
      <c r="C428" s="7" t="s">
        <v>648</v>
      </c>
      <c r="D428" s="8" t="s">
        <v>494</v>
      </c>
      <c r="E428" s="8" t="s">
        <v>488</v>
      </c>
      <c r="F428" s="8" t="s">
        <v>489</v>
      </c>
      <c r="G428" s="7" t="s">
        <v>496</v>
      </c>
      <c r="H428" s="8" t="s">
        <v>491</v>
      </c>
      <c r="I428" s="7" t="s">
        <v>492</v>
      </c>
      <c r="J428" s="8">
        <v>427</v>
      </c>
      <c r="K428" s="44"/>
    </row>
    <row r="429" spans="1:11">
      <c r="A429" s="8" t="s">
        <v>344</v>
      </c>
      <c r="B429" s="7" t="s">
        <v>618</v>
      </c>
      <c r="C429" s="7" t="s">
        <v>648</v>
      </c>
      <c r="D429" s="8" t="s">
        <v>494</v>
      </c>
      <c r="E429" s="8" t="s">
        <v>488</v>
      </c>
      <c r="F429" s="8" t="s">
        <v>489</v>
      </c>
      <c r="G429" s="7" t="s">
        <v>496</v>
      </c>
      <c r="H429" s="8" t="s">
        <v>491</v>
      </c>
      <c r="I429" s="7" t="s">
        <v>492</v>
      </c>
      <c r="J429" s="8">
        <v>428</v>
      </c>
      <c r="K429" s="44"/>
    </row>
    <row r="430" spans="1:11">
      <c r="A430" s="8" t="s">
        <v>345</v>
      </c>
      <c r="B430" s="7" t="s">
        <v>620</v>
      </c>
      <c r="C430" s="7" t="s">
        <v>648</v>
      </c>
      <c r="D430" s="8" t="s">
        <v>494</v>
      </c>
      <c r="E430" s="8" t="s">
        <v>488</v>
      </c>
      <c r="F430" s="8" t="s">
        <v>489</v>
      </c>
      <c r="G430" s="7" t="s">
        <v>496</v>
      </c>
      <c r="H430" s="8" t="s">
        <v>491</v>
      </c>
      <c r="I430" s="7" t="s">
        <v>492</v>
      </c>
      <c r="J430" s="8">
        <v>429</v>
      </c>
      <c r="K430" s="44"/>
    </row>
    <row r="431" spans="1:11">
      <c r="A431" s="8" t="s">
        <v>346</v>
      </c>
      <c r="B431" s="7" t="s">
        <v>621</v>
      </c>
      <c r="C431" s="7" t="s">
        <v>648</v>
      </c>
      <c r="D431" s="8" t="s">
        <v>494</v>
      </c>
      <c r="E431" s="8" t="s">
        <v>488</v>
      </c>
      <c r="F431" s="8" t="s">
        <v>489</v>
      </c>
      <c r="G431" s="7" t="s">
        <v>496</v>
      </c>
      <c r="H431" s="8" t="s">
        <v>491</v>
      </c>
      <c r="I431" s="7" t="s">
        <v>492</v>
      </c>
      <c r="J431" s="8">
        <v>430</v>
      </c>
      <c r="K431" s="44"/>
    </row>
    <row r="432" spans="1:11">
      <c r="A432" s="8" t="s">
        <v>347</v>
      </c>
      <c r="B432" s="7" t="s">
        <v>624</v>
      </c>
      <c r="C432" s="7" t="s">
        <v>648</v>
      </c>
      <c r="D432" s="8" t="s">
        <v>494</v>
      </c>
      <c r="E432" s="8" t="s">
        <v>488</v>
      </c>
      <c r="F432" s="8" t="s">
        <v>489</v>
      </c>
      <c r="G432" s="7" t="s">
        <v>496</v>
      </c>
      <c r="H432" s="8" t="s">
        <v>491</v>
      </c>
      <c r="I432" s="7" t="s">
        <v>492</v>
      </c>
      <c r="J432" s="8">
        <v>431</v>
      </c>
      <c r="K432" s="44"/>
    </row>
    <row r="433" spans="1:11">
      <c r="A433" s="8" t="s">
        <v>348</v>
      </c>
      <c r="B433" s="7" t="s">
        <v>1112</v>
      </c>
      <c r="C433" s="7" t="s">
        <v>648</v>
      </c>
      <c r="D433" s="8" t="s">
        <v>494</v>
      </c>
      <c r="E433" s="8" t="s">
        <v>488</v>
      </c>
      <c r="F433" s="8" t="s">
        <v>489</v>
      </c>
      <c r="G433" s="7" t="s">
        <v>496</v>
      </c>
      <c r="H433" s="8" t="s">
        <v>491</v>
      </c>
      <c r="I433" s="7" t="s">
        <v>492</v>
      </c>
      <c r="J433" s="8">
        <v>432</v>
      </c>
      <c r="K433" s="44"/>
    </row>
    <row r="434" spans="1:11">
      <c r="A434" s="8" t="s">
        <v>349</v>
      </c>
      <c r="B434" s="7" t="s">
        <v>1113</v>
      </c>
      <c r="C434" s="7" t="s">
        <v>648</v>
      </c>
      <c r="D434" s="8" t="s">
        <v>494</v>
      </c>
      <c r="E434" s="8" t="s">
        <v>488</v>
      </c>
      <c r="F434" s="8" t="s">
        <v>489</v>
      </c>
      <c r="G434" s="7" t="s">
        <v>496</v>
      </c>
      <c r="H434" s="8" t="s">
        <v>491</v>
      </c>
      <c r="I434" s="7" t="s">
        <v>492</v>
      </c>
      <c r="J434" s="8">
        <v>433</v>
      </c>
      <c r="K434" s="44"/>
    </row>
    <row r="435" spans="1:11">
      <c r="A435" s="8" t="s">
        <v>350</v>
      </c>
      <c r="B435" s="7" t="s">
        <v>1114</v>
      </c>
      <c r="C435" s="7" t="s">
        <v>648</v>
      </c>
      <c r="D435" s="8" t="s">
        <v>494</v>
      </c>
      <c r="E435" s="8" t="s">
        <v>488</v>
      </c>
      <c r="F435" s="8" t="s">
        <v>489</v>
      </c>
      <c r="G435" s="7" t="s">
        <v>496</v>
      </c>
      <c r="H435" s="8" t="s">
        <v>491</v>
      </c>
      <c r="I435" s="7" t="s">
        <v>492</v>
      </c>
      <c r="J435" s="8">
        <v>434</v>
      </c>
      <c r="K435" s="44"/>
    </row>
    <row r="436" spans="1:11">
      <c r="A436" s="8" t="s">
        <v>351</v>
      </c>
      <c r="B436" s="7" t="s">
        <v>1115</v>
      </c>
      <c r="C436" s="7" t="s">
        <v>1116</v>
      </c>
      <c r="D436" s="8" t="s">
        <v>487</v>
      </c>
      <c r="E436" s="8" t="s">
        <v>488</v>
      </c>
      <c r="F436" s="8" t="s">
        <v>489</v>
      </c>
      <c r="G436" s="7" t="s">
        <v>490</v>
      </c>
      <c r="H436" s="8" t="s">
        <v>491</v>
      </c>
      <c r="I436" s="7" t="s">
        <v>492</v>
      </c>
      <c r="J436" s="8">
        <v>435</v>
      </c>
      <c r="K436" s="44"/>
    </row>
    <row r="437" spans="1:11">
      <c r="A437" s="8" t="s">
        <v>352</v>
      </c>
      <c r="B437" s="7" t="s">
        <v>1117</v>
      </c>
      <c r="C437" s="7" t="s">
        <v>648</v>
      </c>
      <c r="D437" s="8" t="s">
        <v>494</v>
      </c>
      <c r="E437" s="8" t="s">
        <v>488</v>
      </c>
      <c r="F437" s="8" t="s">
        <v>489</v>
      </c>
      <c r="G437" s="7" t="s">
        <v>496</v>
      </c>
      <c r="H437" s="8" t="s">
        <v>491</v>
      </c>
      <c r="I437" s="7" t="s">
        <v>492</v>
      </c>
      <c r="J437" s="8">
        <v>436</v>
      </c>
      <c r="K437" s="44"/>
    </row>
    <row r="438" spans="1:11">
      <c r="A438" s="8" t="s">
        <v>353</v>
      </c>
      <c r="B438" s="7" t="s">
        <v>1118</v>
      </c>
      <c r="C438" s="7" t="s">
        <v>1119</v>
      </c>
      <c r="D438" s="8" t="s">
        <v>487</v>
      </c>
      <c r="E438" s="8" t="s">
        <v>488</v>
      </c>
      <c r="F438" s="8" t="s">
        <v>489</v>
      </c>
      <c r="G438" s="7" t="s">
        <v>490</v>
      </c>
      <c r="H438" s="8" t="s">
        <v>491</v>
      </c>
      <c r="I438" s="7" t="s">
        <v>492</v>
      </c>
      <c r="J438" s="8">
        <v>437</v>
      </c>
      <c r="K438" s="44"/>
    </row>
    <row r="439" spans="1:11">
      <c r="A439" s="8" t="s">
        <v>354</v>
      </c>
      <c r="B439" s="7" t="s">
        <v>626</v>
      </c>
      <c r="C439" s="7" t="s">
        <v>648</v>
      </c>
      <c r="D439" s="8" t="s">
        <v>494</v>
      </c>
      <c r="E439" s="8" t="s">
        <v>488</v>
      </c>
      <c r="F439" s="8" t="s">
        <v>489</v>
      </c>
      <c r="G439" s="7" t="s">
        <v>496</v>
      </c>
      <c r="H439" s="8" t="s">
        <v>491</v>
      </c>
      <c r="I439" s="7" t="s">
        <v>492</v>
      </c>
      <c r="J439" s="8">
        <v>438</v>
      </c>
      <c r="K439" s="44"/>
    </row>
    <row r="440" spans="1:11">
      <c r="A440" s="8" t="s">
        <v>355</v>
      </c>
      <c r="B440" s="7" t="s">
        <v>1120</v>
      </c>
      <c r="C440" s="7" t="s">
        <v>648</v>
      </c>
      <c r="D440" s="8" t="s">
        <v>494</v>
      </c>
      <c r="E440" s="8" t="s">
        <v>488</v>
      </c>
      <c r="F440" s="8" t="s">
        <v>489</v>
      </c>
      <c r="G440" s="7" t="s">
        <v>496</v>
      </c>
      <c r="H440" s="8" t="s">
        <v>491</v>
      </c>
      <c r="I440" s="7" t="s">
        <v>492</v>
      </c>
      <c r="J440" s="8">
        <v>439</v>
      </c>
      <c r="K440" s="44"/>
    </row>
    <row r="441" spans="1:11">
      <c r="A441" s="8" t="s">
        <v>356</v>
      </c>
      <c r="B441" s="7" t="s">
        <v>627</v>
      </c>
      <c r="C441" s="7" t="s">
        <v>648</v>
      </c>
      <c r="D441" s="8" t="s">
        <v>494</v>
      </c>
      <c r="E441" s="8" t="s">
        <v>488</v>
      </c>
      <c r="F441" s="8" t="s">
        <v>489</v>
      </c>
      <c r="G441" s="7" t="s">
        <v>496</v>
      </c>
      <c r="H441" s="8" t="s">
        <v>491</v>
      </c>
      <c r="I441" s="7" t="s">
        <v>492</v>
      </c>
      <c r="J441" s="8">
        <v>440</v>
      </c>
      <c r="K441" s="44"/>
    </row>
    <row r="442" spans="1:11">
      <c r="A442" s="8" t="s">
        <v>1121</v>
      </c>
      <c r="B442" s="7" t="s">
        <v>1122</v>
      </c>
      <c r="C442" s="7" t="s">
        <v>648</v>
      </c>
      <c r="D442" s="8" t="s">
        <v>494</v>
      </c>
      <c r="E442" s="8" t="s">
        <v>488</v>
      </c>
      <c r="F442" s="8" t="s">
        <v>489</v>
      </c>
      <c r="G442" s="7" t="s">
        <v>496</v>
      </c>
      <c r="H442" s="8" t="s">
        <v>491</v>
      </c>
      <c r="I442" s="7" t="s">
        <v>492</v>
      </c>
      <c r="J442" s="8">
        <v>441</v>
      </c>
      <c r="K442" s="44"/>
    </row>
    <row r="443" spans="1:11">
      <c r="A443" s="8" t="s">
        <v>357</v>
      </c>
      <c r="B443" s="7" t="s">
        <v>628</v>
      </c>
      <c r="C443" s="7" t="s">
        <v>648</v>
      </c>
      <c r="D443" s="8" t="s">
        <v>494</v>
      </c>
      <c r="E443" s="8" t="s">
        <v>488</v>
      </c>
      <c r="F443" s="8" t="s">
        <v>489</v>
      </c>
      <c r="G443" s="7" t="s">
        <v>496</v>
      </c>
      <c r="H443" s="8" t="s">
        <v>491</v>
      </c>
      <c r="I443" s="7" t="s">
        <v>492</v>
      </c>
      <c r="J443" s="8">
        <v>442</v>
      </c>
      <c r="K443" s="44"/>
    </row>
    <row r="444" spans="1:11">
      <c r="A444" s="8" t="s">
        <v>358</v>
      </c>
      <c r="B444" s="7" t="s">
        <v>1123</v>
      </c>
      <c r="C444" s="7" t="s">
        <v>648</v>
      </c>
      <c r="D444" s="8" t="s">
        <v>494</v>
      </c>
      <c r="E444" s="8" t="s">
        <v>488</v>
      </c>
      <c r="F444" s="8" t="s">
        <v>489</v>
      </c>
      <c r="G444" s="7" t="s">
        <v>496</v>
      </c>
      <c r="H444" s="8" t="s">
        <v>491</v>
      </c>
      <c r="I444" s="7" t="s">
        <v>492</v>
      </c>
      <c r="J444" s="8">
        <v>443</v>
      </c>
      <c r="K444" s="44"/>
    </row>
    <row r="445" spans="1:11">
      <c r="A445" s="8" t="s">
        <v>359</v>
      </c>
      <c r="B445" s="7" t="s">
        <v>1124</v>
      </c>
      <c r="C445" s="7" t="s">
        <v>648</v>
      </c>
      <c r="D445" s="8" t="s">
        <v>494</v>
      </c>
      <c r="E445" s="8" t="s">
        <v>488</v>
      </c>
      <c r="F445" s="8" t="s">
        <v>489</v>
      </c>
      <c r="G445" s="7" t="s">
        <v>496</v>
      </c>
      <c r="H445" s="8" t="s">
        <v>491</v>
      </c>
      <c r="I445" s="7" t="s">
        <v>492</v>
      </c>
      <c r="J445" s="8">
        <v>444</v>
      </c>
      <c r="K445" s="44"/>
    </row>
    <row r="446" spans="1:11">
      <c r="A446" s="8" t="s">
        <v>360</v>
      </c>
      <c r="B446" s="7" t="s">
        <v>1125</v>
      </c>
      <c r="C446" s="7" t="s">
        <v>648</v>
      </c>
      <c r="D446" s="8" t="s">
        <v>494</v>
      </c>
      <c r="E446" s="8" t="s">
        <v>488</v>
      </c>
      <c r="F446" s="8" t="s">
        <v>489</v>
      </c>
      <c r="G446" s="7" t="s">
        <v>496</v>
      </c>
      <c r="H446" s="8" t="s">
        <v>491</v>
      </c>
      <c r="I446" s="7" t="s">
        <v>492</v>
      </c>
      <c r="J446" s="8">
        <v>445</v>
      </c>
      <c r="K446" s="44"/>
    </row>
    <row r="447" spans="1:11">
      <c r="A447" s="8" t="s">
        <v>361</v>
      </c>
      <c r="B447" s="7" t="s">
        <v>1126</v>
      </c>
      <c r="C447" s="7" t="s">
        <v>1127</v>
      </c>
      <c r="D447" s="8" t="s">
        <v>487</v>
      </c>
      <c r="E447" s="8" t="s">
        <v>488</v>
      </c>
      <c r="F447" s="8" t="s">
        <v>489</v>
      </c>
      <c r="G447" s="7" t="s">
        <v>490</v>
      </c>
      <c r="H447" s="8" t="s">
        <v>491</v>
      </c>
      <c r="I447" s="7" t="s">
        <v>492</v>
      </c>
      <c r="J447" s="8">
        <v>446</v>
      </c>
      <c r="K447" s="44"/>
    </row>
    <row r="448" spans="1:11">
      <c r="A448" s="8" t="s">
        <v>362</v>
      </c>
      <c r="B448" s="7" t="s">
        <v>629</v>
      </c>
      <c r="C448" s="7" t="s">
        <v>648</v>
      </c>
      <c r="D448" s="8" t="s">
        <v>494</v>
      </c>
      <c r="E448" s="8" t="s">
        <v>488</v>
      </c>
      <c r="F448" s="8" t="s">
        <v>489</v>
      </c>
      <c r="G448" s="7" t="s">
        <v>496</v>
      </c>
      <c r="H448" s="8" t="s">
        <v>491</v>
      </c>
      <c r="I448" s="7" t="s">
        <v>492</v>
      </c>
      <c r="J448" s="8">
        <v>447</v>
      </c>
      <c r="K448" s="44"/>
    </row>
    <row r="449" spans="1:11">
      <c r="A449" s="8" t="s">
        <v>363</v>
      </c>
      <c r="B449" s="7" t="s">
        <v>630</v>
      </c>
      <c r="C449" s="7" t="s">
        <v>1128</v>
      </c>
      <c r="D449" s="8" t="s">
        <v>487</v>
      </c>
      <c r="E449" s="8" t="s">
        <v>488</v>
      </c>
      <c r="F449" s="8" t="s">
        <v>489</v>
      </c>
      <c r="G449" s="7" t="s">
        <v>490</v>
      </c>
      <c r="H449" s="8" t="s">
        <v>491</v>
      </c>
      <c r="I449" s="7" t="s">
        <v>492</v>
      </c>
      <c r="J449" s="8">
        <v>448</v>
      </c>
      <c r="K449" s="44"/>
    </row>
    <row r="450" spans="1:11">
      <c r="A450" s="8" t="s">
        <v>1129</v>
      </c>
      <c r="B450" s="7" t="s">
        <v>1130</v>
      </c>
      <c r="C450" s="7" t="s">
        <v>648</v>
      </c>
      <c r="D450" s="8" t="s">
        <v>494</v>
      </c>
      <c r="E450" s="8" t="s">
        <v>488</v>
      </c>
      <c r="F450" s="8" t="s">
        <v>489</v>
      </c>
      <c r="G450" s="7" t="s">
        <v>496</v>
      </c>
      <c r="H450" s="8" t="s">
        <v>491</v>
      </c>
      <c r="I450" s="7" t="s">
        <v>492</v>
      </c>
      <c r="J450" s="8">
        <v>449</v>
      </c>
      <c r="K450" s="44"/>
    </row>
    <row r="451" spans="1:11">
      <c r="A451" s="8" t="s">
        <v>364</v>
      </c>
      <c r="B451" s="7" t="s">
        <v>1131</v>
      </c>
      <c r="C451" s="7" t="s">
        <v>648</v>
      </c>
      <c r="D451" s="8" t="s">
        <v>494</v>
      </c>
      <c r="E451" s="8" t="s">
        <v>488</v>
      </c>
      <c r="F451" s="8" t="s">
        <v>489</v>
      </c>
      <c r="G451" s="7" t="s">
        <v>496</v>
      </c>
      <c r="H451" s="8" t="s">
        <v>491</v>
      </c>
      <c r="I451" s="7" t="s">
        <v>492</v>
      </c>
      <c r="J451" s="8">
        <v>450</v>
      </c>
      <c r="K451" s="44"/>
    </row>
    <row r="452" spans="1:11">
      <c r="A452" s="8" t="s">
        <v>365</v>
      </c>
      <c r="B452" s="7" t="s">
        <v>1132</v>
      </c>
      <c r="C452" s="7" t="s">
        <v>648</v>
      </c>
      <c r="D452" s="8" t="s">
        <v>494</v>
      </c>
      <c r="E452" s="8" t="s">
        <v>488</v>
      </c>
      <c r="F452" s="8" t="s">
        <v>489</v>
      </c>
      <c r="G452" s="7" t="s">
        <v>496</v>
      </c>
      <c r="H452" s="8" t="s">
        <v>491</v>
      </c>
      <c r="I452" s="7" t="s">
        <v>492</v>
      </c>
      <c r="J452" s="8">
        <v>451</v>
      </c>
      <c r="K452" s="44"/>
    </row>
    <row r="453" spans="1:11">
      <c r="A453" s="8" t="s">
        <v>366</v>
      </c>
      <c r="B453" s="7" t="s">
        <v>1133</v>
      </c>
      <c r="C453" s="7" t="s">
        <v>648</v>
      </c>
      <c r="D453" s="8" t="s">
        <v>494</v>
      </c>
      <c r="E453" s="8" t="s">
        <v>488</v>
      </c>
      <c r="F453" s="8" t="s">
        <v>489</v>
      </c>
      <c r="G453" s="7" t="s">
        <v>496</v>
      </c>
      <c r="H453" s="8" t="s">
        <v>491</v>
      </c>
      <c r="I453" s="7" t="s">
        <v>492</v>
      </c>
      <c r="J453" s="8">
        <v>452</v>
      </c>
      <c r="K453" s="44"/>
    </row>
    <row r="454" spans="1:11">
      <c r="A454" s="8" t="s">
        <v>1134</v>
      </c>
      <c r="B454" s="7" t="s">
        <v>1135</v>
      </c>
      <c r="C454" s="7" t="s">
        <v>648</v>
      </c>
      <c r="D454" s="8" t="s">
        <v>494</v>
      </c>
      <c r="E454" s="8" t="s">
        <v>488</v>
      </c>
      <c r="F454" s="8" t="s">
        <v>489</v>
      </c>
      <c r="G454" s="7" t="s">
        <v>496</v>
      </c>
      <c r="H454" s="8" t="s">
        <v>491</v>
      </c>
      <c r="I454" s="7" t="s">
        <v>492</v>
      </c>
      <c r="J454" s="8">
        <v>453</v>
      </c>
      <c r="K454" s="44"/>
    </row>
    <row r="455" spans="1:11">
      <c r="A455" s="8" t="s">
        <v>1136</v>
      </c>
      <c r="B455" s="7" t="s">
        <v>1137</v>
      </c>
      <c r="C455" s="7" t="s">
        <v>648</v>
      </c>
      <c r="D455" s="8" t="s">
        <v>494</v>
      </c>
      <c r="E455" s="8" t="s">
        <v>488</v>
      </c>
      <c r="F455" s="8" t="s">
        <v>489</v>
      </c>
      <c r="G455" s="7" t="s">
        <v>496</v>
      </c>
      <c r="H455" s="8" t="s">
        <v>491</v>
      </c>
      <c r="I455" s="7" t="s">
        <v>492</v>
      </c>
      <c r="J455" s="8">
        <v>454</v>
      </c>
      <c r="K455" s="44"/>
    </row>
    <row r="456" spans="1:11">
      <c r="A456" s="8" t="s">
        <v>1138</v>
      </c>
      <c r="B456" s="7" t="s">
        <v>1139</v>
      </c>
      <c r="C456" s="7" t="s">
        <v>648</v>
      </c>
      <c r="D456" s="8" t="s">
        <v>494</v>
      </c>
      <c r="E456" s="8" t="s">
        <v>488</v>
      </c>
      <c r="F456" s="8" t="s">
        <v>489</v>
      </c>
      <c r="G456" s="7" t="s">
        <v>496</v>
      </c>
      <c r="H456" s="8" t="s">
        <v>491</v>
      </c>
      <c r="I456" s="7" t="s">
        <v>492</v>
      </c>
      <c r="J456" s="8">
        <v>455</v>
      </c>
      <c r="K456" s="44"/>
    </row>
    <row r="457" spans="1:11">
      <c r="A457" s="8" t="s">
        <v>1140</v>
      </c>
      <c r="B457" s="7" t="s">
        <v>1141</v>
      </c>
      <c r="C457" s="7" t="s">
        <v>648</v>
      </c>
      <c r="D457" s="8" t="s">
        <v>494</v>
      </c>
      <c r="E457" s="8" t="s">
        <v>488</v>
      </c>
      <c r="F457" s="8" t="s">
        <v>489</v>
      </c>
      <c r="G457" s="7" t="s">
        <v>496</v>
      </c>
      <c r="H457" s="8" t="s">
        <v>491</v>
      </c>
      <c r="I457" s="7" t="s">
        <v>492</v>
      </c>
      <c r="J457" s="8">
        <v>456</v>
      </c>
      <c r="K457" s="44"/>
    </row>
    <row r="458" spans="1:11">
      <c r="A458" s="8" t="s">
        <v>367</v>
      </c>
      <c r="B458" s="7" t="s">
        <v>1142</v>
      </c>
      <c r="C458" s="7" t="s">
        <v>648</v>
      </c>
      <c r="D458" s="8" t="s">
        <v>494</v>
      </c>
      <c r="E458" s="8" t="s">
        <v>488</v>
      </c>
      <c r="F458" s="8" t="s">
        <v>489</v>
      </c>
      <c r="G458" s="7" t="s">
        <v>496</v>
      </c>
      <c r="H458" s="8" t="s">
        <v>491</v>
      </c>
      <c r="I458" s="7" t="s">
        <v>492</v>
      </c>
      <c r="J458" s="8">
        <v>457</v>
      </c>
      <c r="K458" s="44"/>
    </row>
    <row r="459" spans="1:11">
      <c r="A459" s="8" t="s">
        <v>1143</v>
      </c>
      <c r="B459" s="7" t="s">
        <v>1144</v>
      </c>
      <c r="C459" s="7" t="s">
        <v>648</v>
      </c>
      <c r="D459" s="8" t="s">
        <v>494</v>
      </c>
      <c r="E459" s="8" t="s">
        <v>488</v>
      </c>
      <c r="F459" s="8" t="s">
        <v>489</v>
      </c>
      <c r="G459" s="7" t="s">
        <v>496</v>
      </c>
      <c r="H459" s="8" t="s">
        <v>491</v>
      </c>
      <c r="I459" s="7" t="s">
        <v>492</v>
      </c>
      <c r="J459" s="8">
        <v>458</v>
      </c>
      <c r="K459" s="44"/>
    </row>
    <row r="460" spans="1:11">
      <c r="A460" s="8" t="s">
        <v>1145</v>
      </c>
      <c r="B460" s="7" t="s">
        <v>1146</v>
      </c>
      <c r="C460" s="7" t="s">
        <v>648</v>
      </c>
      <c r="D460" s="8" t="s">
        <v>494</v>
      </c>
      <c r="E460" s="8" t="s">
        <v>488</v>
      </c>
      <c r="F460" s="8" t="s">
        <v>489</v>
      </c>
      <c r="G460" s="7" t="s">
        <v>496</v>
      </c>
      <c r="H460" s="8" t="s">
        <v>491</v>
      </c>
      <c r="I460" s="7" t="s">
        <v>492</v>
      </c>
      <c r="J460" s="8">
        <v>459</v>
      </c>
      <c r="K460" s="44"/>
    </row>
    <row r="461" spans="1:11">
      <c r="A461" s="8" t="s">
        <v>1147</v>
      </c>
      <c r="B461" s="7" t="s">
        <v>1148</v>
      </c>
      <c r="C461" s="7" t="s">
        <v>648</v>
      </c>
      <c r="D461" s="8" t="s">
        <v>494</v>
      </c>
      <c r="E461" s="8" t="s">
        <v>488</v>
      </c>
      <c r="F461" s="8" t="s">
        <v>489</v>
      </c>
      <c r="G461" s="7" t="s">
        <v>496</v>
      </c>
      <c r="H461" s="8" t="s">
        <v>491</v>
      </c>
      <c r="I461" s="7" t="s">
        <v>492</v>
      </c>
      <c r="J461" s="8">
        <v>460</v>
      </c>
      <c r="K461" s="44"/>
    </row>
    <row r="462" spans="1:11">
      <c r="A462" s="8" t="s">
        <v>1149</v>
      </c>
      <c r="B462" s="7" t="s">
        <v>1150</v>
      </c>
      <c r="C462" s="7" t="s">
        <v>648</v>
      </c>
      <c r="D462" s="8" t="s">
        <v>494</v>
      </c>
      <c r="E462" s="8" t="s">
        <v>488</v>
      </c>
      <c r="F462" s="8" t="s">
        <v>489</v>
      </c>
      <c r="G462" s="7" t="s">
        <v>496</v>
      </c>
      <c r="H462" s="8" t="s">
        <v>491</v>
      </c>
      <c r="I462" s="7" t="s">
        <v>492</v>
      </c>
      <c r="J462" s="8">
        <v>461</v>
      </c>
      <c r="K462" s="44"/>
    </row>
    <row r="463" spans="1:11">
      <c r="A463" s="8" t="s">
        <v>1151</v>
      </c>
      <c r="B463" s="7" t="s">
        <v>1152</v>
      </c>
      <c r="C463" s="7" t="s">
        <v>648</v>
      </c>
      <c r="D463" s="8" t="s">
        <v>494</v>
      </c>
      <c r="E463" s="8" t="s">
        <v>488</v>
      </c>
      <c r="F463" s="8" t="s">
        <v>489</v>
      </c>
      <c r="G463" s="7" t="s">
        <v>496</v>
      </c>
      <c r="H463" s="8" t="s">
        <v>491</v>
      </c>
      <c r="I463" s="7" t="s">
        <v>492</v>
      </c>
      <c r="J463" s="8">
        <v>462</v>
      </c>
      <c r="K463" s="44"/>
    </row>
    <row r="464" spans="1:11">
      <c r="A464" s="8" t="s">
        <v>1153</v>
      </c>
      <c r="B464" s="7" t="s">
        <v>1154</v>
      </c>
      <c r="C464" s="7" t="s">
        <v>648</v>
      </c>
      <c r="D464" s="8" t="s">
        <v>494</v>
      </c>
      <c r="E464" s="8" t="s">
        <v>488</v>
      </c>
      <c r="F464" s="8" t="s">
        <v>489</v>
      </c>
      <c r="G464" s="7" t="s">
        <v>496</v>
      </c>
      <c r="H464" s="8" t="s">
        <v>491</v>
      </c>
      <c r="I464" s="7" t="s">
        <v>492</v>
      </c>
      <c r="J464" s="8">
        <v>463</v>
      </c>
      <c r="K464" s="44"/>
    </row>
    <row r="465" spans="1:11">
      <c r="A465" s="8" t="s">
        <v>1155</v>
      </c>
      <c r="B465" s="7" t="s">
        <v>1156</v>
      </c>
      <c r="C465" s="7" t="s">
        <v>648</v>
      </c>
      <c r="D465" s="8" t="s">
        <v>494</v>
      </c>
      <c r="E465" s="8" t="s">
        <v>488</v>
      </c>
      <c r="F465" s="8" t="s">
        <v>489</v>
      </c>
      <c r="G465" s="7" t="s">
        <v>496</v>
      </c>
      <c r="H465" s="8" t="s">
        <v>491</v>
      </c>
      <c r="I465" s="7" t="s">
        <v>492</v>
      </c>
      <c r="J465" s="8">
        <v>464</v>
      </c>
      <c r="K465" s="44"/>
    </row>
    <row r="466" spans="1:11">
      <c r="A466" s="8" t="s">
        <v>1157</v>
      </c>
      <c r="B466" s="7" t="s">
        <v>1158</v>
      </c>
      <c r="C466" s="7" t="s">
        <v>648</v>
      </c>
      <c r="D466" s="8" t="s">
        <v>494</v>
      </c>
      <c r="E466" s="8" t="s">
        <v>488</v>
      </c>
      <c r="F466" s="8" t="s">
        <v>489</v>
      </c>
      <c r="G466" s="7" t="s">
        <v>496</v>
      </c>
      <c r="H466" s="8" t="s">
        <v>491</v>
      </c>
      <c r="I466" s="7" t="s">
        <v>492</v>
      </c>
      <c r="J466" s="8">
        <v>465</v>
      </c>
      <c r="K466" s="44"/>
    </row>
    <row r="467" spans="1:11">
      <c r="A467" s="8" t="s">
        <v>368</v>
      </c>
      <c r="B467" s="7" t="s">
        <v>1159</v>
      </c>
      <c r="C467" s="7" t="s">
        <v>648</v>
      </c>
      <c r="D467" s="8" t="s">
        <v>494</v>
      </c>
      <c r="E467" s="8" t="s">
        <v>488</v>
      </c>
      <c r="F467" s="8" t="s">
        <v>489</v>
      </c>
      <c r="G467" s="7" t="s">
        <v>496</v>
      </c>
      <c r="H467" s="8" t="s">
        <v>491</v>
      </c>
      <c r="I467" s="7" t="s">
        <v>492</v>
      </c>
      <c r="J467" s="8">
        <v>466</v>
      </c>
      <c r="K467" s="44"/>
    </row>
    <row r="468" spans="1:11">
      <c r="A468" s="8" t="s">
        <v>369</v>
      </c>
      <c r="B468" s="7" t="s">
        <v>1160</v>
      </c>
      <c r="C468" s="7" t="s">
        <v>648</v>
      </c>
      <c r="D468" s="8" t="s">
        <v>494</v>
      </c>
      <c r="E468" s="8" t="s">
        <v>488</v>
      </c>
      <c r="F468" s="8" t="s">
        <v>489</v>
      </c>
      <c r="G468" s="7" t="s">
        <v>496</v>
      </c>
      <c r="H468" s="8" t="s">
        <v>491</v>
      </c>
      <c r="I468" s="7" t="s">
        <v>492</v>
      </c>
      <c r="J468" s="8">
        <v>467</v>
      </c>
      <c r="K468" s="44"/>
    </row>
    <row r="469" spans="1:11">
      <c r="A469" s="8" t="s">
        <v>1161</v>
      </c>
      <c r="B469" s="7" t="s">
        <v>1162</v>
      </c>
      <c r="C469" s="7" t="s">
        <v>648</v>
      </c>
      <c r="D469" s="8" t="s">
        <v>494</v>
      </c>
      <c r="E469" s="8" t="s">
        <v>488</v>
      </c>
      <c r="F469" s="8" t="s">
        <v>489</v>
      </c>
      <c r="G469" s="7" t="s">
        <v>496</v>
      </c>
      <c r="H469" s="8" t="s">
        <v>491</v>
      </c>
      <c r="I469" s="7" t="s">
        <v>492</v>
      </c>
      <c r="J469" s="8">
        <v>468</v>
      </c>
      <c r="K469" s="44"/>
    </row>
    <row r="470" spans="1:11">
      <c r="A470" s="8" t="s">
        <v>370</v>
      </c>
      <c r="B470" s="7" t="s">
        <v>1163</v>
      </c>
      <c r="C470" s="7" t="s">
        <v>648</v>
      </c>
      <c r="D470" s="8" t="s">
        <v>494</v>
      </c>
      <c r="E470" s="8" t="s">
        <v>488</v>
      </c>
      <c r="F470" s="8" t="s">
        <v>489</v>
      </c>
      <c r="G470" s="7" t="s">
        <v>496</v>
      </c>
      <c r="H470" s="8" t="s">
        <v>491</v>
      </c>
      <c r="I470" s="7" t="s">
        <v>492</v>
      </c>
      <c r="J470" s="8">
        <v>469</v>
      </c>
      <c r="K470" s="44"/>
    </row>
    <row r="471" spans="1:11">
      <c r="A471" s="8" t="s">
        <v>1164</v>
      </c>
      <c r="B471" s="45" t="s">
        <v>1165</v>
      </c>
      <c r="C471" s="7" t="s">
        <v>648</v>
      </c>
      <c r="D471" s="8" t="s">
        <v>494</v>
      </c>
      <c r="E471" s="8" t="s">
        <v>488</v>
      </c>
      <c r="F471" s="8" t="s">
        <v>489</v>
      </c>
      <c r="G471" s="7" t="s">
        <v>496</v>
      </c>
      <c r="H471" s="8" t="s">
        <v>491</v>
      </c>
      <c r="I471" s="7" t="s">
        <v>492</v>
      </c>
      <c r="J471" s="8">
        <v>470</v>
      </c>
      <c r="K471" s="44"/>
    </row>
    <row r="472" spans="1:11">
      <c r="A472" s="8" t="s">
        <v>371</v>
      </c>
      <c r="B472" s="7" t="s">
        <v>1166</v>
      </c>
      <c r="C472" s="7" t="s">
        <v>648</v>
      </c>
      <c r="D472" s="8" t="s">
        <v>494</v>
      </c>
      <c r="E472" s="8" t="s">
        <v>488</v>
      </c>
      <c r="F472" s="8" t="s">
        <v>489</v>
      </c>
      <c r="G472" s="7" t="s">
        <v>496</v>
      </c>
      <c r="H472" s="8" t="s">
        <v>491</v>
      </c>
      <c r="I472" s="7" t="s">
        <v>492</v>
      </c>
      <c r="J472" s="8">
        <v>471</v>
      </c>
      <c r="K472" s="44"/>
    </row>
    <row r="473" spans="1:11">
      <c r="A473" s="8" t="s">
        <v>372</v>
      </c>
      <c r="B473" s="7" t="s">
        <v>1167</v>
      </c>
      <c r="C473" s="7" t="s">
        <v>1168</v>
      </c>
      <c r="D473" s="8" t="s">
        <v>487</v>
      </c>
      <c r="E473" s="8" t="s">
        <v>488</v>
      </c>
      <c r="F473" s="8" t="s">
        <v>489</v>
      </c>
      <c r="G473" s="7" t="s">
        <v>490</v>
      </c>
      <c r="H473" s="8" t="s">
        <v>491</v>
      </c>
      <c r="I473" s="7" t="s">
        <v>492</v>
      </c>
      <c r="J473" s="8">
        <v>472</v>
      </c>
      <c r="K473" s="44"/>
    </row>
    <row r="474" spans="1:11">
      <c r="A474" s="8" t="s">
        <v>1169</v>
      </c>
      <c r="B474" s="45" t="s">
        <v>1170</v>
      </c>
      <c r="C474" s="7" t="s">
        <v>648</v>
      </c>
      <c r="D474" s="8" t="s">
        <v>494</v>
      </c>
      <c r="E474" s="8" t="s">
        <v>488</v>
      </c>
      <c r="F474" s="8" t="s">
        <v>489</v>
      </c>
      <c r="G474" s="7" t="s">
        <v>496</v>
      </c>
      <c r="H474" s="8" t="s">
        <v>491</v>
      </c>
      <c r="I474" s="7" t="s">
        <v>492</v>
      </c>
      <c r="J474" s="8">
        <v>473</v>
      </c>
      <c r="K474" s="44"/>
    </row>
    <row r="475" spans="1:11">
      <c r="A475" s="8" t="s">
        <v>373</v>
      </c>
      <c r="B475" s="7" t="s">
        <v>1171</v>
      </c>
      <c r="C475" s="7" t="s">
        <v>1172</v>
      </c>
      <c r="D475" s="8" t="s">
        <v>487</v>
      </c>
      <c r="E475" s="8" t="s">
        <v>488</v>
      </c>
      <c r="F475" s="8" t="s">
        <v>489</v>
      </c>
      <c r="G475" s="7" t="s">
        <v>490</v>
      </c>
      <c r="H475" s="8" t="s">
        <v>491</v>
      </c>
      <c r="I475" s="7" t="s">
        <v>492</v>
      </c>
      <c r="J475" s="8">
        <v>474</v>
      </c>
      <c r="K475" s="44"/>
    </row>
    <row r="476" spans="1:11">
      <c r="A476" s="8" t="s">
        <v>1173</v>
      </c>
      <c r="B476" s="7" t="s">
        <v>1174</v>
      </c>
      <c r="C476" s="7" t="s">
        <v>648</v>
      </c>
      <c r="D476" s="8" t="s">
        <v>494</v>
      </c>
      <c r="E476" s="8" t="s">
        <v>488</v>
      </c>
      <c r="F476" s="8" t="s">
        <v>489</v>
      </c>
      <c r="G476" s="7" t="s">
        <v>496</v>
      </c>
      <c r="H476" s="8" t="s">
        <v>491</v>
      </c>
      <c r="I476" s="7" t="s">
        <v>492</v>
      </c>
      <c r="J476" s="8">
        <v>475</v>
      </c>
      <c r="K476" s="44"/>
    </row>
    <row r="477" spans="1:11">
      <c r="A477" s="8" t="s">
        <v>1175</v>
      </c>
      <c r="B477" s="7" t="s">
        <v>1176</v>
      </c>
      <c r="C477" s="7" t="s">
        <v>648</v>
      </c>
      <c r="D477" s="8" t="s">
        <v>494</v>
      </c>
      <c r="E477" s="8" t="s">
        <v>488</v>
      </c>
      <c r="F477" s="8" t="s">
        <v>489</v>
      </c>
      <c r="G477" s="7" t="s">
        <v>496</v>
      </c>
      <c r="H477" s="8" t="s">
        <v>491</v>
      </c>
      <c r="I477" s="7" t="s">
        <v>492</v>
      </c>
      <c r="J477" s="8">
        <v>476</v>
      </c>
      <c r="K477" s="44"/>
    </row>
    <row r="478" spans="1:11">
      <c r="A478" s="8" t="s">
        <v>1177</v>
      </c>
      <c r="B478" s="7" t="s">
        <v>1178</v>
      </c>
      <c r="C478" s="7" t="s">
        <v>648</v>
      </c>
      <c r="D478" s="8" t="s">
        <v>494</v>
      </c>
      <c r="E478" s="8" t="s">
        <v>488</v>
      </c>
      <c r="F478" s="8" t="s">
        <v>489</v>
      </c>
      <c r="G478" s="7" t="s">
        <v>496</v>
      </c>
      <c r="H478" s="8" t="s">
        <v>491</v>
      </c>
      <c r="I478" s="7" t="s">
        <v>492</v>
      </c>
      <c r="J478" s="8">
        <v>477</v>
      </c>
      <c r="K478" s="44"/>
    </row>
    <row r="479" spans="1:11">
      <c r="A479" s="8" t="s">
        <v>1179</v>
      </c>
      <c r="B479" s="7" t="s">
        <v>1180</v>
      </c>
      <c r="C479" s="7" t="s">
        <v>648</v>
      </c>
      <c r="D479" s="8" t="s">
        <v>494</v>
      </c>
      <c r="E479" s="8" t="s">
        <v>488</v>
      </c>
      <c r="F479" s="8" t="s">
        <v>489</v>
      </c>
      <c r="G479" s="7" t="s">
        <v>496</v>
      </c>
      <c r="H479" s="8" t="s">
        <v>491</v>
      </c>
      <c r="I479" s="7" t="s">
        <v>492</v>
      </c>
      <c r="J479" s="8">
        <v>478</v>
      </c>
      <c r="K479" s="44"/>
    </row>
    <row r="480" spans="1:11">
      <c r="A480" s="8" t="s">
        <v>1181</v>
      </c>
      <c r="B480" s="7" t="s">
        <v>1182</v>
      </c>
      <c r="C480" s="7" t="s">
        <v>648</v>
      </c>
      <c r="D480" s="8" t="s">
        <v>494</v>
      </c>
      <c r="E480" s="8" t="s">
        <v>488</v>
      </c>
      <c r="F480" s="8" t="s">
        <v>489</v>
      </c>
      <c r="G480" s="7" t="s">
        <v>496</v>
      </c>
      <c r="H480" s="8" t="s">
        <v>491</v>
      </c>
      <c r="I480" s="7" t="s">
        <v>492</v>
      </c>
      <c r="J480" s="8">
        <v>479</v>
      </c>
      <c r="K480" s="44"/>
    </row>
    <row r="481" spans="1:11">
      <c r="A481" s="8" t="s">
        <v>374</v>
      </c>
      <c r="B481" s="7" t="s">
        <v>1183</v>
      </c>
      <c r="C481" s="7" t="s">
        <v>648</v>
      </c>
      <c r="D481" s="8" t="s">
        <v>494</v>
      </c>
      <c r="E481" s="8" t="s">
        <v>488</v>
      </c>
      <c r="F481" s="8" t="s">
        <v>489</v>
      </c>
      <c r="G481" s="7" t="s">
        <v>496</v>
      </c>
      <c r="H481" s="8" t="s">
        <v>491</v>
      </c>
      <c r="I481" s="7" t="s">
        <v>492</v>
      </c>
      <c r="J481" s="8">
        <v>480</v>
      </c>
      <c r="K481" s="44"/>
    </row>
    <row r="482" spans="1:11">
      <c r="A482" s="8" t="s">
        <v>375</v>
      </c>
      <c r="B482" s="7" t="s">
        <v>1184</v>
      </c>
      <c r="C482" s="7" t="s">
        <v>648</v>
      </c>
      <c r="D482" s="8" t="s">
        <v>494</v>
      </c>
      <c r="E482" s="8" t="s">
        <v>488</v>
      </c>
      <c r="F482" s="8" t="s">
        <v>489</v>
      </c>
      <c r="G482" s="7" t="s">
        <v>496</v>
      </c>
      <c r="H482" s="8" t="s">
        <v>491</v>
      </c>
      <c r="I482" s="7" t="s">
        <v>492</v>
      </c>
      <c r="J482" s="8">
        <v>481</v>
      </c>
      <c r="K482" s="44"/>
    </row>
    <row r="483" spans="1:11">
      <c r="A483" s="8" t="s">
        <v>1185</v>
      </c>
      <c r="B483" s="7" t="s">
        <v>1186</v>
      </c>
      <c r="C483" s="7" t="s">
        <v>648</v>
      </c>
      <c r="D483" s="8" t="s">
        <v>494</v>
      </c>
      <c r="E483" s="8" t="s">
        <v>488</v>
      </c>
      <c r="F483" s="8" t="s">
        <v>489</v>
      </c>
      <c r="G483" s="7" t="s">
        <v>496</v>
      </c>
      <c r="H483" s="8" t="s">
        <v>491</v>
      </c>
      <c r="I483" s="7" t="s">
        <v>492</v>
      </c>
      <c r="J483" s="8">
        <v>482</v>
      </c>
      <c r="K483" s="44"/>
    </row>
    <row r="484" spans="1:11">
      <c r="A484" s="8" t="s">
        <v>1187</v>
      </c>
      <c r="B484" s="7" t="s">
        <v>1188</v>
      </c>
      <c r="C484" s="7" t="s">
        <v>648</v>
      </c>
      <c r="D484" s="8" t="s">
        <v>494</v>
      </c>
      <c r="E484" s="8" t="s">
        <v>488</v>
      </c>
      <c r="F484" s="8" t="s">
        <v>489</v>
      </c>
      <c r="G484" s="7" t="s">
        <v>496</v>
      </c>
      <c r="H484" s="8" t="s">
        <v>491</v>
      </c>
      <c r="I484" s="7" t="s">
        <v>492</v>
      </c>
      <c r="J484" s="8">
        <v>483</v>
      </c>
      <c r="K484" s="44"/>
    </row>
    <row r="485" spans="1:11">
      <c r="A485" s="8" t="s">
        <v>376</v>
      </c>
      <c r="B485" s="7" t="s">
        <v>1189</v>
      </c>
      <c r="C485" s="7" t="s">
        <v>648</v>
      </c>
      <c r="D485" s="8" t="s">
        <v>494</v>
      </c>
      <c r="E485" s="8" t="s">
        <v>488</v>
      </c>
      <c r="F485" s="8" t="s">
        <v>489</v>
      </c>
      <c r="G485" s="7" t="s">
        <v>496</v>
      </c>
      <c r="H485" s="8" t="s">
        <v>491</v>
      </c>
      <c r="I485" s="7" t="s">
        <v>492</v>
      </c>
      <c r="J485" s="8">
        <v>484</v>
      </c>
      <c r="K485" s="44"/>
    </row>
    <row r="486" spans="1:11">
      <c r="A486" s="8" t="s">
        <v>377</v>
      </c>
      <c r="B486" s="7" t="s">
        <v>1190</v>
      </c>
      <c r="C486" s="7" t="s">
        <v>648</v>
      </c>
      <c r="D486" s="8" t="s">
        <v>494</v>
      </c>
      <c r="E486" s="8" t="s">
        <v>488</v>
      </c>
      <c r="F486" s="8" t="s">
        <v>489</v>
      </c>
      <c r="G486" s="7" t="s">
        <v>496</v>
      </c>
      <c r="H486" s="8" t="s">
        <v>491</v>
      </c>
      <c r="I486" s="7" t="s">
        <v>492</v>
      </c>
      <c r="J486" s="8">
        <v>485</v>
      </c>
      <c r="K486" s="44"/>
    </row>
    <row r="487" spans="1:11">
      <c r="A487" s="8" t="s">
        <v>1191</v>
      </c>
      <c r="B487" s="7" t="s">
        <v>1192</v>
      </c>
      <c r="C487" s="7" t="s">
        <v>648</v>
      </c>
      <c r="D487" s="8" t="s">
        <v>494</v>
      </c>
      <c r="E487" s="8" t="s">
        <v>488</v>
      </c>
      <c r="F487" s="8" t="s">
        <v>489</v>
      </c>
      <c r="G487" s="7" t="s">
        <v>496</v>
      </c>
      <c r="H487" s="8" t="s">
        <v>491</v>
      </c>
      <c r="I487" s="7" t="s">
        <v>492</v>
      </c>
      <c r="J487" s="8">
        <v>486</v>
      </c>
      <c r="K487" s="44"/>
    </row>
    <row r="488" spans="1:11">
      <c r="A488" s="8" t="s">
        <v>1193</v>
      </c>
      <c r="B488" s="7" t="s">
        <v>1194</v>
      </c>
      <c r="C488" s="7" t="s">
        <v>648</v>
      </c>
      <c r="D488" s="8" t="s">
        <v>494</v>
      </c>
      <c r="E488" s="8" t="s">
        <v>488</v>
      </c>
      <c r="F488" s="8" t="s">
        <v>489</v>
      </c>
      <c r="G488" s="7" t="s">
        <v>496</v>
      </c>
      <c r="H488" s="8" t="s">
        <v>491</v>
      </c>
      <c r="I488" s="7" t="s">
        <v>492</v>
      </c>
      <c r="J488" s="8">
        <v>487</v>
      </c>
      <c r="K488" s="44"/>
    </row>
    <row r="489" spans="1:11">
      <c r="A489" s="8" t="s">
        <v>378</v>
      </c>
      <c r="B489" s="7" t="s">
        <v>1195</v>
      </c>
      <c r="C489" s="7" t="s">
        <v>1196</v>
      </c>
      <c r="D489" s="8" t="s">
        <v>487</v>
      </c>
      <c r="E489" s="8" t="s">
        <v>615</v>
      </c>
      <c r="F489" s="8" t="s">
        <v>501</v>
      </c>
      <c r="G489" s="7" t="s">
        <v>490</v>
      </c>
      <c r="H489" s="8" t="s">
        <v>1197</v>
      </c>
      <c r="I489" s="7" t="s">
        <v>492</v>
      </c>
      <c r="J489" s="8">
        <v>488</v>
      </c>
      <c r="K489" s="44"/>
    </row>
    <row r="490" spans="1:11">
      <c r="A490" s="8" t="s">
        <v>1198</v>
      </c>
      <c r="B490" s="7" t="s">
        <v>1199</v>
      </c>
      <c r="C490" s="7" t="s">
        <v>648</v>
      </c>
      <c r="D490" s="8" t="s">
        <v>494</v>
      </c>
      <c r="E490" s="8" t="s">
        <v>488</v>
      </c>
      <c r="F490" s="8" t="s">
        <v>489</v>
      </c>
      <c r="G490" s="7" t="s">
        <v>496</v>
      </c>
      <c r="H490" s="8" t="s">
        <v>491</v>
      </c>
      <c r="I490" s="7" t="s">
        <v>492</v>
      </c>
      <c r="J490" s="8">
        <v>489</v>
      </c>
      <c r="K490" s="44"/>
    </row>
    <row r="491" spans="1:11">
      <c r="A491" s="8" t="s">
        <v>379</v>
      </c>
      <c r="B491" s="7" t="s">
        <v>1200</v>
      </c>
      <c r="C491" s="7" t="s">
        <v>648</v>
      </c>
      <c r="D491" s="8" t="s">
        <v>494</v>
      </c>
      <c r="E491" s="8" t="s">
        <v>488</v>
      </c>
      <c r="F491" s="8" t="s">
        <v>489</v>
      </c>
      <c r="G491" s="7" t="s">
        <v>496</v>
      </c>
      <c r="H491" s="8" t="s">
        <v>491</v>
      </c>
      <c r="I491" s="7" t="s">
        <v>492</v>
      </c>
      <c r="J491" s="8">
        <v>490</v>
      </c>
      <c r="K491" s="44"/>
    </row>
    <row r="492" spans="1:11">
      <c r="A492" s="8" t="s">
        <v>1201</v>
      </c>
      <c r="B492" s="7" t="s">
        <v>1202</v>
      </c>
      <c r="C492" s="7" t="s">
        <v>648</v>
      </c>
      <c r="D492" s="8" t="s">
        <v>494</v>
      </c>
      <c r="E492" s="8" t="s">
        <v>488</v>
      </c>
      <c r="F492" s="8" t="s">
        <v>489</v>
      </c>
      <c r="G492" s="7" t="s">
        <v>496</v>
      </c>
      <c r="H492" s="8" t="s">
        <v>491</v>
      </c>
      <c r="I492" s="7" t="s">
        <v>492</v>
      </c>
      <c r="J492" s="8">
        <v>491</v>
      </c>
      <c r="K492" s="44"/>
    </row>
    <row r="493" spans="1:11">
      <c r="A493" s="8" t="s">
        <v>1203</v>
      </c>
      <c r="B493" s="7" t="s">
        <v>1204</v>
      </c>
      <c r="C493" s="7" t="s">
        <v>648</v>
      </c>
      <c r="D493" s="8" t="s">
        <v>494</v>
      </c>
      <c r="E493" s="8" t="s">
        <v>488</v>
      </c>
      <c r="F493" s="8" t="s">
        <v>489</v>
      </c>
      <c r="G493" s="7" t="s">
        <v>496</v>
      </c>
      <c r="H493" s="8" t="s">
        <v>491</v>
      </c>
      <c r="I493" s="7" t="s">
        <v>492</v>
      </c>
      <c r="J493" s="8">
        <v>492</v>
      </c>
      <c r="K493" s="44"/>
    </row>
    <row r="494" spans="1:11">
      <c r="A494" s="8" t="s">
        <v>380</v>
      </c>
      <c r="B494" s="7" t="s">
        <v>1205</v>
      </c>
      <c r="C494" s="7" t="s">
        <v>648</v>
      </c>
      <c r="D494" s="8" t="s">
        <v>494</v>
      </c>
      <c r="E494" s="8" t="s">
        <v>488</v>
      </c>
      <c r="F494" s="8" t="s">
        <v>489</v>
      </c>
      <c r="G494" s="7" t="s">
        <v>496</v>
      </c>
      <c r="H494" s="8" t="s">
        <v>491</v>
      </c>
      <c r="I494" s="7" t="s">
        <v>492</v>
      </c>
      <c r="J494" s="8">
        <v>493</v>
      </c>
      <c r="K494" s="44"/>
    </row>
    <row r="495" spans="1:11">
      <c r="A495" s="8" t="s">
        <v>381</v>
      </c>
      <c r="B495" s="7" t="s">
        <v>1206</v>
      </c>
      <c r="C495" s="7" t="s">
        <v>1207</v>
      </c>
      <c r="D495" s="8" t="s">
        <v>487</v>
      </c>
      <c r="E495" s="8" t="s">
        <v>488</v>
      </c>
      <c r="F495" s="8" t="s">
        <v>489</v>
      </c>
      <c r="G495" s="7" t="s">
        <v>490</v>
      </c>
      <c r="H495" s="8" t="s">
        <v>491</v>
      </c>
      <c r="I495" s="7" t="s">
        <v>492</v>
      </c>
      <c r="J495" s="8">
        <v>494</v>
      </c>
      <c r="K495" s="44"/>
    </row>
    <row r="496" spans="1:11">
      <c r="A496" s="8" t="s">
        <v>1208</v>
      </c>
      <c r="B496" s="7" t="s">
        <v>1209</v>
      </c>
      <c r="C496" s="7" t="s">
        <v>648</v>
      </c>
      <c r="D496" s="8" t="s">
        <v>494</v>
      </c>
      <c r="E496" s="8" t="s">
        <v>488</v>
      </c>
      <c r="F496" s="8" t="s">
        <v>489</v>
      </c>
      <c r="G496" s="7" t="s">
        <v>496</v>
      </c>
      <c r="H496" s="8" t="s">
        <v>491</v>
      </c>
      <c r="I496" s="7" t="s">
        <v>492</v>
      </c>
      <c r="J496" s="8">
        <v>495</v>
      </c>
      <c r="K496" s="44"/>
    </row>
    <row r="497" spans="1:11">
      <c r="A497" s="8" t="s">
        <v>1210</v>
      </c>
      <c r="B497" s="7" t="s">
        <v>1211</v>
      </c>
      <c r="C497" s="7" t="s">
        <v>648</v>
      </c>
      <c r="D497" s="8" t="s">
        <v>494</v>
      </c>
      <c r="E497" s="8" t="s">
        <v>488</v>
      </c>
      <c r="F497" s="8" t="s">
        <v>489</v>
      </c>
      <c r="G497" s="7" t="s">
        <v>496</v>
      </c>
      <c r="H497" s="8" t="s">
        <v>491</v>
      </c>
      <c r="I497" s="7" t="s">
        <v>492</v>
      </c>
      <c r="J497" s="8">
        <v>496</v>
      </c>
      <c r="K497" s="44"/>
    </row>
    <row r="498" spans="1:11">
      <c r="A498" s="8" t="s">
        <v>1212</v>
      </c>
      <c r="B498" s="7" t="s">
        <v>1213</v>
      </c>
      <c r="C498" s="7" t="s">
        <v>648</v>
      </c>
      <c r="D498" s="8" t="s">
        <v>494</v>
      </c>
      <c r="E498" s="8" t="s">
        <v>488</v>
      </c>
      <c r="F498" s="8" t="s">
        <v>489</v>
      </c>
      <c r="G498" s="7" t="s">
        <v>496</v>
      </c>
      <c r="H498" s="8" t="s">
        <v>491</v>
      </c>
      <c r="I498" s="7" t="s">
        <v>492</v>
      </c>
      <c r="J498" s="8">
        <v>497</v>
      </c>
      <c r="K498" s="44"/>
    </row>
    <row r="499" spans="1:11">
      <c r="A499" s="8" t="s">
        <v>1214</v>
      </c>
      <c r="B499" s="7" t="s">
        <v>1215</v>
      </c>
      <c r="C499" s="7" t="s">
        <v>648</v>
      </c>
      <c r="D499" s="8" t="s">
        <v>494</v>
      </c>
      <c r="E499" s="8" t="s">
        <v>488</v>
      </c>
      <c r="F499" s="8" t="s">
        <v>489</v>
      </c>
      <c r="G499" s="7" t="s">
        <v>496</v>
      </c>
      <c r="H499" s="8" t="s">
        <v>491</v>
      </c>
      <c r="I499" s="7" t="s">
        <v>492</v>
      </c>
      <c r="J499" s="8">
        <v>498</v>
      </c>
      <c r="K499" s="44"/>
    </row>
    <row r="500" spans="1:11">
      <c r="A500" s="8" t="s">
        <v>1216</v>
      </c>
      <c r="B500" s="7" t="s">
        <v>1217</v>
      </c>
      <c r="C500" s="7" t="s">
        <v>648</v>
      </c>
      <c r="D500" s="8" t="s">
        <v>494</v>
      </c>
      <c r="E500" s="8" t="s">
        <v>488</v>
      </c>
      <c r="F500" s="8" t="s">
        <v>489</v>
      </c>
      <c r="G500" s="7" t="s">
        <v>496</v>
      </c>
      <c r="H500" s="8" t="s">
        <v>491</v>
      </c>
      <c r="I500" s="7" t="s">
        <v>492</v>
      </c>
      <c r="J500" s="8">
        <v>499</v>
      </c>
      <c r="K500" s="44"/>
    </row>
    <row r="501" spans="1:11">
      <c r="A501" s="8" t="s">
        <v>1218</v>
      </c>
      <c r="B501" s="7" t="s">
        <v>1219</v>
      </c>
      <c r="C501" s="7" t="s">
        <v>648</v>
      </c>
      <c r="D501" s="8" t="s">
        <v>494</v>
      </c>
      <c r="E501" s="8" t="s">
        <v>488</v>
      </c>
      <c r="F501" s="8" t="s">
        <v>489</v>
      </c>
      <c r="G501" s="7" t="s">
        <v>496</v>
      </c>
      <c r="H501" s="8" t="s">
        <v>491</v>
      </c>
      <c r="I501" s="7" t="s">
        <v>492</v>
      </c>
      <c r="J501" s="8">
        <v>500</v>
      </c>
      <c r="K501" s="44"/>
    </row>
    <row r="502" spans="1:11">
      <c r="A502" s="8" t="s">
        <v>1220</v>
      </c>
      <c r="B502" s="7" t="s">
        <v>1221</v>
      </c>
      <c r="C502" s="7" t="s">
        <v>648</v>
      </c>
      <c r="D502" s="8" t="s">
        <v>494</v>
      </c>
      <c r="E502" s="8" t="s">
        <v>488</v>
      </c>
      <c r="F502" s="8" t="s">
        <v>489</v>
      </c>
      <c r="G502" s="7" t="s">
        <v>496</v>
      </c>
      <c r="H502" s="8" t="s">
        <v>491</v>
      </c>
      <c r="I502" s="7" t="s">
        <v>492</v>
      </c>
      <c r="J502" s="8">
        <v>501</v>
      </c>
      <c r="K502" s="44"/>
    </row>
    <row r="503" spans="1:11">
      <c r="A503" s="8" t="s">
        <v>382</v>
      </c>
      <c r="B503" s="7" t="s">
        <v>1222</v>
      </c>
      <c r="C503" s="7" t="s">
        <v>1223</v>
      </c>
      <c r="D503" s="8" t="s">
        <v>487</v>
      </c>
      <c r="E503" s="8" t="s">
        <v>488</v>
      </c>
      <c r="F503" s="8" t="s">
        <v>489</v>
      </c>
      <c r="G503" s="7" t="s">
        <v>490</v>
      </c>
      <c r="H503" s="8" t="s">
        <v>491</v>
      </c>
      <c r="I503" s="7" t="s">
        <v>492</v>
      </c>
      <c r="J503" s="8">
        <v>502</v>
      </c>
      <c r="K503" s="44"/>
    </row>
    <row r="504" spans="1:11">
      <c r="A504" s="8" t="s">
        <v>1224</v>
      </c>
      <c r="B504" s="7" t="s">
        <v>1225</v>
      </c>
      <c r="C504" s="7" t="s">
        <v>648</v>
      </c>
      <c r="D504" s="8" t="s">
        <v>494</v>
      </c>
      <c r="E504" s="8" t="s">
        <v>488</v>
      </c>
      <c r="F504" s="8" t="s">
        <v>489</v>
      </c>
      <c r="G504" s="7" t="s">
        <v>496</v>
      </c>
      <c r="H504" s="8" t="s">
        <v>491</v>
      </c>
      <c r="I504" s="7" t="s">
        <v>492</v>
      </c>
      <c r="J504" s="8">
        <v>503</v>
      </c>
      <c r="K504" s="44"/>
    </row>
    <row r="505" spans="1:11">
      <c r="A505" s="8" t="s">
        <v>383</v>
      </c>
      <c r="B505" s="7" t="s">
        <v>1226</v>
      </c>
      <c r="C505" s="7" t="s">
        <v>648</v>
      </c>
      <c r="D505" s="8" t="s">
        <v>494</v>
      </c>
      <c r="E505" s="8" t="s">
        <v>488</v>
      </c>
      <c r="F505" s="8" t="s">
        <v>489</v>
      </c>
      <c r="G505" s="7" t="s">
        <v>496</v>
      </c>
      <c r="H505" s="8" t="s">
        <v>491</v>
      </c>
      <c r="I505" s="7" t="s">
        <v>492</v>
      </c>
      <c r="J505" s="8">
        <v>504</v>
      </c>
      <c r="K505" s="44"/>
    </row>
    <row r="506" spans="1:11">
      <c r="A506" s="8" t="s">
        <v>1227</v>
      </c>
      <c r="B506" s="7" t="s">
        <v>1228</v>
      </c>
      <c r="C506" s="7" t="s">
        <v>648</v>
      </c>
      <c r="D506" s="8" t="s">
        <v>494</v>
      </c>
      <c r="E506" s="8" t="s">
        <v>488</v>
      </c>
      <c r="F506" s="8" t="s">
        <v>489</v>
      </c>
      <c r="G506" s="7" t="s">
        <v>496</v>
      </c>
      <c r="H506" s="8" t="s">
        <v>491</v>
      </c>
      <c r="I506" s="7" t="s">
        <v>492</v>
      </c>
      <c r="J506" s="8">
        <v>505</v>
      </c>
      <c r="K506" s="44"/>
    </row>
    <row r="507" spans="1:11">
      <c r="A507" s="8" t="s">
        <v>384</v>
      </c>
      <c r="B507" s="7" t="s">
        <v>1229</v>
      </c>
      <c r="C507" s="7" t="s">
        <v>1230</v>
      </c>
      <c r="D507" s="8" t="s">
        <v>487</v>
      </c>
      <c r="E507" s="8" t="s">
        <v>488</v>
      </c>
      <c r="F507" s="8" t="s">
        <v>489</v>
      </c>
      <c r="G507" s="7" t="s">
        <v>490</v>
      </c>
      <c r="H507" s="8" t="s">
        <v>491</v>
      </c>
      <c r="I507" s="7" t="s">
        <v>492</v>
      </c>
      <c r="J507" s="8">
        <v>506</v>
      </c>
      <c r="K507" s="44"/>
    </row>
    <row r="508" spans="1:11">
      <c r="A508" s="8" t="s">
        <v>385</v>
      </c>
      <c r="B508" s="7" t="s">
        <v>1231</v>
      </c>
      <c r="C508" s="7" t="s">
        <v>648</v>
      </c>
      <c r="D508" s="8" t="s">
        <v>494</v>
      </c>
      <c r="E508" s="8" t="s">
        <v>488</v>
      </c>
      <c r="F508" s="8" t="s">
        <v>489</v>
      </c>
      <c r="G508" s="7" t="s">
        <v>496</v>
      </c>
      <c r="H508" s="8" t="s">
        <v>491</v>
      </c>
      <c r="I508" s="7" t="s">
        <v>492</v>
      </c>
      <c r="J508" s="8">
        <v>507</v>
      </c>
      <c r="K508" s="44"/>
    </row>
    <row r="509" spans="1:11">
      <c r="A509" s="8" t="s">
        <v>386</v>
      </c>
      <c r="B509" s="7" t="s">
        <v>1232</v>
      </c>
      <c r="C509" s="7" t="s">
        <v>1233</v>
      </c>
      <c r="D509" s="8" t="s">
        <v>487</v>
      </c>
      <c r="E509" s="8" t="s">
        <v>488</v>
      </c>
      <c r="F509" s="8" t="s">
        <v>489</v>
      </c>
      <c r="G509" s="7" t="s">
        <v>490</v>
      </c>
      <c r="H509" s="8" t="s">
        <v>491</v>
      </c>
      <c r="I509" s="7" t="s">
        <v>492</v>
      </c>
      <c r="J509" s="8">
        <v>508</v>
      </c>
      <c r="K509" s="44"/>
    </row>
    <row r="510" spans="1:11">
      <c r="A510" s="8" t="s">
        <v>387</v>
      </c>
      <c r="B510" s="7" t="s">
        <v>1234</v>
      </c>
      <c r="C510" s="7" t="s">
        <v>648</v>
      </c>
      <c r="D510" s="8" t="s">
        <v>494</v>
      </c>
      <c r="E510" s="8" t="s">
        <v>488</v>
      </c>
      <c r="F510" s="8" t="s">
        <v>489</v>
      </c>
      <c r="G510" s="7" t="s">
        <v>496</v>
      </c>
      <c r="H510" s="8" t="s">
        <v>491</v>
      </c>
      <c r="I510" s="7" t="s">
        <v>492</v>
      </c>
      <c r="J510" s="8">
        <v>509</v>
      </c>
      <c r="K510" s="44"/>
    </row>
    <row r="511" spans="1:11">
      <c r="A511" s="8" t="s">
        <v>388</v>
      </c>
      <c r="B511" s="7" t="s">
        <v>1235</v>
      </c>
      <c r="C511" s="7" t="s">
        <v>1236</v>
      </c>
      <c r="D511" s="8" t="s">
        <v>487</v>
      </c>
      <c r="E511" s="8" t="s">
        <v>488</v>
      </c>
      <c r="F511" s="8" t="s">
        <v>489</v>
      </c>
      <c r="G511" s="7" t="s">
        <v>490</v>
      </c>
      <c r="H511" s="8" t="s">
        <v>491</v>
      </c>
      <c r="I511" s="7" t="s">
        <v>492</v>
      </c>
      <c r="J511" s="8">
        <v>510</v>
      </c>
      <c r="K511" s="44"/>
    </row>
    <row r="512" spans="1:11">
      <c r="A512" s="8" t="s">
        <v>389</v>
      </c>
      <c r="B512" s="7" t="s">
        <v>632</v>
      </c>
      <c r="C512" s="7" t="s">
        <v>649</v>
      </c>
      <c r="D512" s="8" t="s">
        <v>487</v>
      </c>
      <c r="E512" s="8" t="s">
        <v>488</v>
      </c>
      <c r="F512" s="8" t="s">
        <v>489</v>
      </c>
      <c r="G512" s="7" t="s">
        <v>490</v>
      </c>
      <c r="H512" s="8" t="s">
        <v>491</v>
      </c>
      <c r="I512" s="7" t="s">
        <v>492</v>
      </c>
      <c r="J512" s="8">
        <v>511</v>
      </c>
      <c r="K512" s="44"/>
    </row>
    <row r="513" spans="1:11">
      <c r="A513" s="8" t="s">
        <v>390</v>
      </c>
      <c r="B513" s="7" t="s">
        <v>633</v>
      </c>
      <c r="C513" s="7" t="s">
        <v>648</v>
      </c>
      <c r="D513" s="8" t="s">
        <v>494</v>
      </c>
      <c r="E513" s="8" t="s">
        <v>488</v>
      </c>
      <c r="F513" s="8" t="s">
        <v>489</v>
      </c>
      <c r="G513" s="7" t="s">
        <v>496</v>
      </c>
      <c r="H513" s="8" t="s">
        <v>491</v>
      </c>
      <c r="I513" s="7" t="s">
        <v>492</v>
      </c>
      <c r="J513" s="8">
        <v>512</v>
      </c>
      <c r="K513" s="44"/>
    </row>
    <row r="514" spans="1:11">
      <c r="A514" s="8" t="s">
        <v>1237</v>
      </c>
      <c r="B514" s="7" t="s">
        <v>1238</v>
      </c>
      <c r="C514" s="7" t="s">
        <v>648</v>
      </c>
      <c r="D514" s="8" t="s">
        <v>494</v>
      </c>
      <c r="E514" s="8" t="s">
        <v>488</v>
      </c>
      <c r="F514" s="8" t="s">
        <v>489</v>
      </c>
      <c r="G514" s="7" t="s">
        <v>496</v>
      </c>
      <c r="H514" s="8" t="s">
        <v>491</v>
      </c>
      <c r="I514" s="7" t="s">
        <v>492</v>
      </c>
      <c r="J514" s="8">
        <v>513</v>
      </c>
      <c r="K514" s="44"/>
    </row>
    <row r="515" spans="1:11">
      <c r="A515" s="8" t="s">
        <v>1239</v>
      </c>
      <c r="B515" s="7" t="s">
        <v>1240</v>
      </c>
      <c r="C515" s="7" t="s">
        <v>1241</v>
      </c>
      <c r="D515" s="8" t="s">
        <v>487</v>
      </c>
      <c r="E515" s="8" t="s">
        <v>488</v>
      </c>
      <c r="F515" s="8" t="s">
        <v>489</v>
      </c>
      <c r="G515" s="7" t="s">
        <v>490</v>
      </c>
      <c r="H515" s="8" t="s">
        <v>491</v>
      </c>
      <c r="I515" s="7" t="s">
        <v>492</v>
      </c>
      <c r="J515" s="8">
        <v>514</v>
      </c>
      <c r="K515" s="44"/>
    </row>
    <row r="516" spans="1:11">
      <c r="A516" s="8" t="s">
        <v>1242</v>
      </c>
      <c r="B516" s="7" t="s">
        <v>1243</v>
      </c>
      <c r="C516" s="7" t="s">
        <v>648</v>
      </c>
      <c r="D516" s="8" t="s">
        <v>494</v>
      </c>
      <c r="E516" s="8" t="s">
        <v>488</v>
      </c>
      <c r="F516" s="8" t="s">
        <v>489</v>
      </c>
      <c r="G516" s="7" t="s">
        <v>496</v>
      </c>
      <c r="H516" s="8" t="s">
        <v>491</v>
      </c>
      <c r="I516" s="7" t="s">
        <v>492</v>
      </c>
      <c r="J516" s="8">
        <v>515</v>
      </c>
    </row>
    <row r="517" spans="1:11">
      <c r="A517" s="8" t="s">
        <v>391</v>
      </c>
      <c r="B517" s="7" t="s">
        <v>1244</v>
      </c>
      <c r="C517" s="7" t="s">
        <v>1245</v>
      </c>
      <c r="D517" s="8" t="s">
        <v>635</v>
      </c>
      <c r="E517" s="8" t="s">
        <v>495</v>
      </c>
      <c r="F517" s="8" t="s">
        <v>1246</v>
      </c>
      <c r="G517" s="7" t="s">
        <v>636</v>
      </c>
      <c r="H517" s="8" t="s">
        <v>491</v>
      </c>
      <c r="I517" s="7" t="s">
        <v>492</v>
      </c>
      <c r="J517" s="8">
        <v>516</v>
      </c>
    </row>
    <row r="518" spans="1:11">
      <c r="A518" s="8" t="s">
        <v>392</v>
      </c>
      <c r="B518" s="7" t="s">
        <v>1247</v>
      </c>
      <c r="C518" s="7" t="s">
        <v>648</v>
      </c>
      <c r="D518" s="8" t="s">
        <v>494</v>
      </c>
      <c r="E518" s="8" t="s">
        <v>488</v>
      </c>
      <c r="F518" s="8" t="s">
        <v>489</v>
      </c>
      <c r="G518" s="7" t="s">
        <v>496</v>
      </c>
      <c r="H518" s="8" t="s">
        <v>491</v>
      </c>
      <c r="I518" s="7" t="s">
        <v>492</v>
      </c>
      <c r="J518" s="8">
        <v>517</v>
      </c>
    </row>
    <row r="519" spans="1:11">
      <c r="A519" s="8" t="s">
        <v>393</v>
      </c>
      <c r="B519" s="7" t="s">
        <v>1248</v>
      </c>
      <c r="C519" s="7" t="s">
        <v>1249</v>
      </c>
      <c r="D519" s="8" t="s">
        <v>487</v>
      </c>
      <c r="E519" s="8" t="s">
        <v>504</v>
      </c>
      <c r="F519" s="8" t="s">
        <v>489</v>
      </c>
      <c r="G519" s="7" t="s">
        <v>490</v>
      </c>
      <c r="H519" s="8" t="s">
        <v>491</v>
      </c>
      <c r="I519" s="7" t="s">
        <v>492</v>
      </c>
      <c r="J519" s="8">
        <v>518</v>
      </c>
    </row>
    <row r="520" spans="1:11">
      <c r="A520" s="8" t="s">
        <v>394</v>
      </c>
      <c r="B520" s="7" t="s">
        <v>1250</v>
      </c>
      <c r="C520" s="7" t="s">
        <v>1251</v>
      </c>
      <c r="D520" s="8" t="s">
        <v>487</v>
      </c>
      <c r="E520" s="8" t="s">
        <v>504</v>
      </c>
      <c r="F520" s="8" t="s">
        <v>489</v>
      </c>
      <c r="G520" s="7" t="s">
        <v>490</v>
      </c>
      <c r="H520" s="8" t="s">
        <v>491</v>
      </c>
      <c r="I520" s="7" t="s">
        <v>492</v>
      </c>
      <c r="J520" s="8">
        <v>519</v>
      </c>
    </row>
    <row r="521" spans="1:11">
      <c r="A521" s="8" t="s">
        <v>395</v>
      </c>
      <c r="B521" s="7" t="s">
        <v>1252</v>
      </c>
      <c r="C521" s="7" t="s">
        <v>1253</v>
      </c>
      <c r="D521" s="8" t="s">
        <v>487</v>
      </c>
      <c r="E521" s="8" t="s">
        <v>504</v>
      </c>
      <c r="F521" s="8" t="s">
        <v>489</v>
      </c>
      <c r="G521" s="7" t="s">
        <v>490</v>
      </c>
      <c r="H521" s="8" t="s">
        <v>491</v>
      </c>
      <c r="I521" s="7" t="s">
        <v>492</v>
      </c>
      <c r="J521" s="8">
        <v>520</v>
      </c>
    </row>
    <row r="522" spans="1:11">
      <c r="A522" s="8" t="s">
        <v>396</v>
      </c>
      <c r="B522" s="7" t="s">
        <v>1254</v>
      </c>
      <c r="C522" s="7" t="s">
        <v>648</v>
      </c>
      <c r="D522" s="8" t="s">
        <v>494</v>
      </c>
      <c r="E522" s="8" t="s">
        <v>488</v>
      </c>
      <c r="F522" s="8" t="s">
        <v>489</v>
      </c>
      <c r="G522" s="7" t="s">
        <v>496</v>
      </c>
      <c r="H522" s="8" t="s">
        <v>491</v>
      </c>
      <c r="I522" s="7" t="s">
        <v>492</v>
      </c>
      <c r="J522" s="8">
        <v>521</v>
      </c>
    </row>
    <row r="523" spans="1:11">
      <c r="A523" s="8" t="s">
        <v>397</v>
      </c>
      <c r="B523" s="7" t="s">
        <v>1255</v>
      </c>
      <c r="C523" s="7" t="s">
        <v>1256</v>
      </c>
      <c r="D523" s="8" t="s">
        <v>487</v>
      </c>
      <c r="E523" s="8" t="s">
        <v>504</v>
      </c>
      <c r="F523" s="8" t="s">
        <v>489</v>
      </c>
      <c r="G523" s="7" t="s">
        <v>490</v>
      </c>
      <c r="H523" s="8" t="s">
        <v>491</v>
      </c>
      <c r="I523" s="7" t="s">
        <v>492</v>
      </c>
      <c r="J523" s="8">
        <v>522</v>
      </c>
    </row>
    <row r="524" spans="1:11">
      <c r="A524" s="8" t="s">
        <v>398</v>
      </c>
      <c r="B524" s="7" t="s">
        <v>1257</v>
      </c>
      <c r="C524" s="7" t="s">
        <v>1258</v>
      </c>
      <c r="D524" s="8" t="s">
        <v>487</v>
      </c>
      <c r="E524" s="8" t="s">
        <v>504</v>
      </c>
      <c r="F524" s="8" t="s">
        <v>489</v>
      </c>
      <c r="G524" s="7" t="s">
        <v>490</v>
      </c>
      <c r="H524" s="8" t="s">
        <v>491</v>
      </c>
      <c r="I524" s="7" t="s">
        <v>492</v>
      </c>
      <c r="J524" s="8">
        <v>523</v>
      </c>
    </row>
    <row r="525" spans="1:11">
      <c r="A525" s="8" t="s">
        <v>399</v>
      </c>
      <c r="B525" s="7" t="s">
        <v>1259</v>
      </c>
      <c r="C525" s="7" t="s">
        <v>1260</v>
      </c>
      <c r="D525" s="8" t="s">
        <v>487</v>
      </c>
      <c r="E525" s="8" t="s">
        <v>504</v>
      </c>
      <c r="F525" s="8" t="s">
        <v>489</v>
      </c>
      <c r="G525" s="7" t="s">
        <v>490</v>
      </c>
      <c r="H525" s="8" t="s">
        <v>491</v>
      </c>
      <c r="I525" s="7" t="s">
        <v>492</v>
      </c>
      <c r="J525" s="8">
        <v>524</v>
      </c>
    </row>
    <row r="526" spans="1:11">
      <c r="A526" s="8" t="s">
        <v>400</v>
      </c>
      <c r="B526" s="7" t="s">
        <v>1261</v>
      </c>
      <c r="C526" s="7" t="s">
        <v>1262</v>
      </c>
      <c r="D526" s="8" t="s">
        <v>487</v>
      </c>
      <c r="E526" s="8" t="s">
        <v>495</v>
      </c>
      <c r="F526" s="8" t="s">
        <v>501</v>
      </c>
      <c r="G526" s="7" t="s">
        <v>490</v>
      </c>
      <c r="H526" s="8" t="s">
        <v>1263</v>
      </c>
      <c r="I526" s="7" t="s">
        <v>492</v>
      </c>
      <c r="J526" s="8">
        <v>525</v>
      </c>
    </row>
    <row r="527" spans="1:11">
      <c r="A527" s="8" t="s">
        <v>401</v>
      </c>
      <c r="B527" s="7" t="s">
        <v>1264</v>
      </c>
      <c r="C527" s="7" t="s">
        <v>648</v>
      </c>
      <c r="D527" s="8" t="s">
        <v>494</v>
      </c>
      <c r="E527" s="8" t="s">
        <v>488</v>
      </c>
      <c r="F527" s="8" t="s">
        <v>489</v>
      </c>
      <c r="G527" s="7" t="s">
        <v>496</v>
      </c>
      <c r="H527" s="8" t="s">
        <v>491</v>
      </c>
      <c r="I527" s="7" t="s">
        <v>492</v>
      </c>
      <c r="J527" s="8">
        <v>526</v>
      </c>
    </row>
    <row r="528" spans="1:11">
      <c r="A528" s="8" t="s">
        <v>402</v>
      </c>
      <c r="B528" s="7" t="s">
        <v>1265</v>
      </c>
      <c r="C528" s="7" t="s">
        <v>1266</v>
      </c>
      <c r="D528" s="8" t="s">
        <v>635</v>
      </c>
      <c r="E528" s="8" t="s">
        <v>495</v>
      </c>
      <c r="F528" s="8" t="s">
        <v>501</v>
      </c>
      <c r="G528" s="7" t="s">
        <v>636</v>
      </c>
      <c r="H528" s="8" t="s">
        <v>1267</v>
      </c>
      <c r="I528" s="7" t="s">
        <v>492</v>
      </c>
      <c r="J528" s="8">
        <v>527</v>
      </c>
    </row>
    <row r="529" spans="1:10">
      <c r="A529" s="8" t="s">
        <v>403</v>
      </c>
      <c r="B529" s="7" t="s">
        <v>1268</v>
      </c>
      <c r="C529" s="7" t="s">
        <v>1269</v>
      </c>
      <c r="D529" s="8" t="s">
        <v>635</v>
      </c>
      <c r="E529" s="8" t="s">
        <v>495</v>
      </c>
      <c r="F529" s="8" t="s">
        <v>501</v>
      </c>
      <c r="G529" s="7" t="s">
        <v>636</v>
      </c>
      <c r="H529" s="8" t="s">
        <v>1267</v>
      </c>
      <c r="I529" s="7" t="s">
        <v>492</v>
      </c>
      <c r="J529" s="8">
        <v>528</v>
      </c>
    </row>
    <row r="530" spans="1:10">
      <c r="A530" s="8" t="s">
        <v>404</v>
      </c>
      <c r="B530" s="7" t="s">
        <v>1270</v>
      </c>
      <c r="C530" s="7" t="s">
        <v>1271</v>
      </c>
      <c r="D530" s="8" t="s">
        <v>487</v>
      </c>
      <c r="E530" s="8" t="s">
        <v>504</v>
      </c>
      <c r="F530" s="8" t="s">
        <v>489</v>
      </c>
      <c r="G530" s="7" t="s">
        <v>490</v>
      </c>
      <c r="H530" s="8" t="s">
        <v>491</v>
      </c>
      <c r="I530" s="7" t="s">
        <v>492</v>
      </c>
      <c r="J530" s="8">
        <v>529</v>
      </c>
    </row>
    <row r="531" spans="1:10">
      <c r="A531" s="8" t="s">
        <v>405</v>
      </c>
      <c r="B531" s="7" t="s">
        <v>634</v>
      </c>
      <c r="C531" s="7" t="s">
        <v>1272</v>
      </c>
      <c r="D531" s="8" t="s">
        <v>635</v>
      </c>
      <c r="E531" s="8" t="s">
        <v>504</v>
      </c>
      <c r="F531" s="8" t="s">
        <v>489</v>
      </c>
      <c r="G531" s="7" t="s">
        <v>636</v>
      </c>
      <c r="H531" s="8" t="s">
        <v>491</v>
      </c>
      <c r="I531" s="7" t="s">
        <v>492</v>
      </c>
      <c r="J531" s="8">
        <v>530</v>
      </c>
    </row>
    <row r="532" spans="1:10">
      <c r="A532" s="8" t="s">
        <v>406</v>
      </c>
      <c r="B532" s="7" t="s">
        <v>637</v>
      </c>
      <c r="C532" s="7" t="s">
        <v>649</v>
      </c>
      <c r="D532" s="8" t="s">
        <v>487</v>
      </c>
      <c r="E532" s="8" t="s">
        <v>504</v>
      </c>
      <c r="F532" s="8" t="s">
        <v>489</v>
      </c>
      <c r="G532" s="7" t="s">
        <v>490</v>
      </c>
      <c r="H532" s="8" t="s">
        <v>491</v>
      </c>
      <c r="I532" s="7" t="s">
        <v>492</v>
      </c>
      <c r="J532" s="8">
        <v>531</v>
      </c>
    </row>
    <row r="533" spans="1:10">
      <c r="A533" s="8" t="s">
        <v>407</v>
      </c>
      <c r="B533" s="7" t="s">
        <v>1273</v>
      </c>
      <c r="C533" s="7" t="s">
        <v>1274</v>
      </c>
      <c r="D533" s="8" t="s">
        <v>487</v>
      </c>
      <c r="E533" s="8" t="s">
        <v>504</v>
      </c>
      <c r="F533" s="8" t="s">
        <v>489</v>
      </c>
      <c r="G533" s="7" t="s">
        <v>490</v>
      </c>
      <c r="H533" s="8" t="s">
        <v>491</v>
      </c>
      <c r="I533" s="7" t="s">
        <v>492</v>
      </c>
      <c r="J533" s="8">
        <v>532</v>
      </c>
    </row>
    <row r="534" spans="1:10">
      <c r="A534" s="8" t="s">
        <v>1275</v>
      </c>
      <c r="B534" s="7" t="s">
        <v>1276</v>
      </c>
      <c r="C534" s="7" t="s">
        <v>1274</v>
      </c>
      <c r="D534" s="8" t="s">
        <v>487</v>
      </c>
      <c r="E534" s="8" t="s">
        <v>504</v>
      </c>
      <c r="F534" s="8" t="s">
        <v>489</v>
      </c>
      <c r="G534" s="7" t="s">
        <v>490</v>
      </c>
      <c r="H534" s="8" t="s">
        <v>491</v>
      </c>
      <c r="I534" s="7" t="s">
        <v>492</v>
      </c>
      <c r="J534" s="8">
        <v>533</v>
      </c>
    </row>
    <row r="535" spans="1:10">
      <c r="A535" s="8" t="s">
        <v>1277</v>
      </c>
      <c r="B535" s="7" t="s">
        <v>1278</v>
      </c>
      <c r="C535" s="7" t="s">
        <v>1274</v>
      </c>
      <c r="D535" s="8" t="s">
        <v>487</v>
      </c>
      <c r="E535" s="8" t="s">
        <v>504</v>
      </c>
      <c r="F535" s="8" t="s">
        <v>489</v>
      </c>
      <c r="G535" s="7" t="s">
        <v>490</v>
      </c>
      <c r="H535" s="8" t="s">
        <v>491</v>
      </c>
      <c r="I535" s="7" t="s">
        <v>492</v>
      </c>
      <c r="J535" s="8">
        <v>534</v>
      </c>
    </row>
    <row r="536" spans="1:10">
      <c r="A536" s="8" t="s">
        <v>408</v>
      </c>
      <c r="B536" s="7" t="s">
        <v>1279</v>
      </c>
      <c r="C536" s="7" t="s">
        <v>1280</v>
      </c>
      <c r="D536" s="8" t="s">
        <v>487</v>
      </c>
      <c r="E536" s="8" t="s">
        <v>504</v>
      </c>
      <c r="F536" s="8" t="s">
        <v>489</v>
      </c>
      <c r="G536" s="7" t="s">
        <v>490</v>
      </c>
      <c r="H536" s="8" t="s">
        <v>491</v>
      </c>
      <c r="I536" s="7" t="s">
        <v>492</v>
      </c>
      <c r="J536" s="8">
        <v>535</v>
      </c>
    </row>
    <row r="537" spans="1:10">
      <c r="A537" s="8" t="s">
        <v>1281</v>
      </c>
      <c r="B537" s="7" t="s">
        <v>1282</v>
      </c>
      <c r="C537" s="7" t="s">
        <v>648</v>
      </c>
      <c r="D537" s="8" t="s">
        <v>494</v>
      </c>
      <c r="E537" s="8" t="s">
        <v>488</v>
      </c>
      <c r="F537" s="8" t="s">
        <v>489</v>
      </c>
      <c r="G537" s="7" t="s">
        <v>496</v>
      </c>
      <c r="H537" s="8" t="s">
        <v>491</v>
      </c>
      <c r="I537" s="7" t="s">
        <v>492</v>
      </c>
      <c r="J537" s="8">
        <v>536</v>
      </c>
    </row>
    <row r="538" spans="1:10">
      <c r="A538" s="8" t="s">
        <v>409</v>
      </c>
      <c r="B538" s="7" t="s">
        <v>1283</v>
      </c>
      <c r="C538" s="7" t="s">
        <v>1280</v>
      </c>
      <c r="D538" s="8" t="s">
        <v>487</v>
      </c>
      <c r="E538" s="8" t="s">
        <v>488</v>
      </c>
      <c r="F538" s="8" t="s">
        <v>489</v>
      </c>
      <c r="G538" s="7" t="s">
        <v>490</v>
      </c>
      <c r="H538" s="8" t="s">
        <v>491</v>
      </c>
      <c r="I538" s="7" t="s">
        <v>492</v>
      </c>
      <c r="J538" s="8">
        <v>537</v>
      </c>
    </row>
    <row r="539" spans="1:10">
      <c r="A539" s="8" t="s">
        <v>1284</v>
      </c>
      <c r="B539" s="7" t="s">
        <v>1285</v>
      </c>
      <c r="C539" s="7" t="s">
        <v>1286</v>
      </c>
      <c r="D539" s="8" t="s">
        <v>487</v>
      </c>
      <c r="E539" s="8" t="s">
        <v>488</v>
      </c>
      <c r="F539" s="8" t="s">
        <v>489</v>
      </c>
      <c r="G539" s="7" t="s">
        <v>490</v>
      </c>
      <c r="H539" s="8" t="s">
        <v>491</v>
      </c>
      <c r="I539" s="7" t="s">
        <v>492</v>
      </c>
      <c r="J539" s="8">
        <v>538</v>
      </c>
    </row>
    <row r="540" spans="1:10">
      <c r="A540" s="8" t="s">
        <v>410</v>
      </c>
      <c r="B540" s="7" t="s">
        <v>638</v>
      </c>
      <c r="C540" s="7" t="s">
        <v>1286</v>
      </c>
      <c r="D540" s="8" t="s">
        <v>487</v>
      </c>
      <c r="E540" s="8" t="s">
        <v>488</v>
      </c>
      <c r="F540" s="8" t="s">
        <v>489</v>
      </c>
      <c r="G540" s="7" t="s">
        <v>490</v>
      </c>
      <c r="H540" s="8" t="s">
        <v>491</v>
      </c>
      <c r="I540" s="7" t="s">
        <v>492</v>
      </c>
      <c r="J540" s="8">
        <v>539</v>
      </c>
    </row>
    <row r="541" spans="1:10">
      <c r="A541" s="8" t="s">
        <v>411</v>
      </c>
      <c r="B541" s="7" t="s">
        <v>1287</v>
      </c>
      <c r="C541" s="7" t="s">
        <v>1288</v>
      </c>
      <c r="D541" s="8" t="s">
        <v>487</v>
      </c>
      <c r="E541" s="8" t="s">
        <v>488</v>
      </c>
      <c r="F541" s="8" t="s">
        <v>489</v>
      </c>
      <c r="G541" s="7" t="s">
        <v>490</v>
      </c>
      <c r="H541" s="8" t="s">
        <v>491</v>
      </c>
      <c r="I541" s="7" t="s">
        <v>492</v>
      </c>
      <c r="J541" s="8">
        <v>540</v>
      </c>
    </row>
    <row r="542" spans="1:10">
      <c r="A542" s="8" t="s">
        <v>1289</v>
      </c>
      <c r="B542" s="7" t="s">
        <v>1290</v>
      </c>
      <c r="C542" s="7" t="s">
        <v>648</v>
      </c>
      <c r="D542" s="8" t="s">
        <v>494</v>
      </c>
      <c r="E542" s="8" t="s">
        <v>488</v>
      </c>
      <c r="F542" s="8" t="s">
        <v>489</v>
      </c>
      <c r="G542" s="7" t="s">
        <v>496</v>
      </c>
      <c r="H542" s="8" t="s">
        <v>491</v>
      </c>
      <c r="I542" s="7" t="s">
        <v>492</v>
      </c>
      <c r="J542" s="8">
        <v>541</v>
      </c>
    </row>
    <row r="543" spans="1:10">
      <c r="A543" s="8" t="s">
        <v>1291</v>
      </c>
      <c r="B543" s="7" t="s">
        <v>1292</v>
      </c>
      <c r="C543" s="7" t="s">
        <v>648</v>
      </c>
      <c r="D543" s="8" t="s">
        <v>494</v>
      </c>
      <c r="E543" s="8" t="s">
        <v>488</v>
      </c>
      <c r="F543" s="8" t="s">
        <v>489</v>
      </c>
      <c r="G543" s="7" t="s">
        <v>496</v>
      </c>
      <c r="H543" s="8" t="s">
        <v>491</v>
      </c>
      <c r="I543" s="7" t="s">
        <v>492</v>
      </c>
      <c r="J543" s="8">
        <v>542</v>
      </c>
    </row>
    <row r="544" spans="1:10">
      <c r="A544" s="8" t="s">
        <v>1293</v>
      </c>
      <c r="B544" s="7" t="s">
        <v>1294</v>
      </c>
      <c r="C544" s="7" t="s">
        <v>648</v>
      </c>
      <c r="D544" s="8" t="s">
        <v>494</v>
      </c>
      <c r="E544" s="8" t="s">
        <v>488</v>
      </c>
      <c r="F544" s="8" t="s">
        <v>489</v>
      </c>
      <c r="G544" s="7" t="s">
        <v>496</v>
      </c>
      <c r="H544" s="8" t="s">
        <v>491</v>
      </c>
      <c r="I544" s="7" t="s">
        <v>492</v>
      </c>
      <c r="J544" s="8">
        <v>543</v>
      </c>
    </row>
    <row r="545" spans="1:10">
      <c r="A545" s="8" t="s">
        <v>412</v>
      </c>
      <c r="B545" s="7" t="s">
        <v>1295</v>
      </c>
      <c r="C545" s="7" t="s">
        <v>1280</v>
      </c>
      <c r="D545" s="8" t="s">
        <v>487</v>
      </c>
      <c r="E545" s="8" t="s">
        <v>615</v>
      </c>
      <c r="F545" s="8" t="s">
        <v>501</v>
      </c>
      <c r="G545" s="7" t="s">
        <v>490</v>
      </c>
      <c r="H545" s="8" t="s">
        <v>1197</v>
      </c>
      <c r="I545" s="7" t="s">
        <v>492</v>
      </c>
      <c r="J545" s="8">
        <v>544</v>
      </c>
    </row>
    <row r="546" spans="1:10">
      <c r="A546" s="8" t="s">
        <v>413</v>
      </c>
      <c r="B546" s="7" t="s">
        <v>1296</v>
      </c>
      <c r="C546" s="7" t="s">
        <v>648</v>
      </c>
      <c r="D546" s="8" t="s">
        <v>494</v>
      </c>
      <c r="E546" s="8" t="s">
        <v>488</v>
      </c>
      <c r="F546" s="8" t="s">
        <v>489</v>
      </c>
      <c r="G546" s="7" t="s">
        <v>496</v>
      </c>
      <c r="H546" s="8" t="s">
        <v>491</v>
      </c>
      <c r="I546" s="7" t="s">
        <v>492</v>
      </c>
      <c r="J546" s="8">
        <v>545</v>
      </c>
    </row>
    <row r="547" spans="1:10">
      <c r="A547" s="8" t="s">
        <v>414</v>
      </c>
      <c r="B547" s="7" t="s">
        <v>1297</v>
      </c>
      <c r="C547" s="7" t="s">
        <v>1298</v>
      </c>
      <c r="D547" s="8" t="s">
        <v>487</v>
      </c>
      <c r="E547" s="8" t="s">
        <v>504</v>
      </c>
      <c r="F547" s="8" t="s">
        <v>489</v>
      </c>
      <c r="G547" s="7" t="s">
        <v>490</v>
      </c>
      <c r="H547" s="8" t="s">
        <v>491</v>
      </c>
      <c r="I547" s="7" t="s">
        <v>492</v>
      </c>
      <c r="J547" s="8">
        <v>546</v>
      </c>
    </row>
    <row r="548" spans="1:10">
      <c r="A548" s="8" t="s">
        <v>415</v>
      </c>
      <c r="B548" s="7" t="s">
        <v>1299</v>
      </c>
      <c r="C548" s="7" t="s">
        <v>648</v>
      </c>
      <c r="D548" s="8" t="s">
        <v>494</v>
      </c>
      <c r="E548" s="8" t="s">
        <v>488</v>
      </c>
      <c r="F548" s="8" t="s">
        <v>489</v>
      </c>
      <c r="G548" s="7" t="s">
        <v>496</v>
      </c>
      <c r="H548" s="8" t="s">
        <v>491</v>
      </c>
      <c r="I548" s="7" t="s">
        <v>492</v>
      </c>
      <c r="J548" s="8">
        <v>547</v>
      </c>
    </row>
    <row r="549" spans="1:10">
      <c r="A549" s="8" t="s">
        <v>416</v>
      </c>
      <c r="B549" s="7" t="s">
        <v>1300</v>
      </c>
      <c r="C549" s="7" t="s">
        <v>1301</v>
      </c>
      <c r="D549" s="8" t="s">
        <v>487</v>
      </c>
      <c r="E549" s="8" t="s">
        <v>495</v>
      </c>
      <c r="F549" s="8" t="s">
        <v>501</v>
      </c>
      <c r="G549" s="7" t="s">
        <v>490</v>
      </c>
      <c r="H549" s="8" t="s">
        <v>1302</v>
      </c>
      <c r="I549" s="7" t="s">
        <v>492</v>
      </c>
      <c r="J549" s="8">
        <v>548</v>
      </c>
    </row>
    <row r="550" spans="1:10">
      <c r="A550" s="8" t="s">
        <v>417</v>
      </c>
      <c r="B550" s="7" t="s">
        <v>1303</v>
      </c>
      <c r="C550" s="7" t="s">
        <v>1304</v>
      </c>
      <c r="D550" s="8" t="s">
        <v>487</v>
      </c>
      <c r="E550" s="8" t="s">
        <v>495</v>
      </c>
      <c r="F550" s="8" t="s">
        <v>501</v>
      </c>
      <c r="G550" s="7" t="s">
        <v>490</v>
      </c>
      <c r="H550" s="8" t="s">
        <v>1302</v>
      </c>
      <c r="I550" s="7" t="s">
        <v>492</v>
      </c>
      <c r="J550" s="8">
        <v>549</v>
      </c>
    </row>
    <row r="551" spans="1:10">
      <c r="A551" s="8" t="s">
        <v>418</v>
      </c>
      <c r="B551" s="7" t="s">
        <v>1305</v>
      </c>
      <c r="C551" s="7" t="s">
        <v>648</v>
      </c>
      <c r="D551" s="8" t="s">
        <v>494</v>
      </c>
      <c r="E551" s="8" t="s">
        <v>488</v>
      </c>
      <c r="F551" s="8" t="s">
        <v>489</v>
      </c>
      <c r="G551" s="7" t="s">
        <v>496</v>
      </c>
      <c r="H551" s="8" t="s">
        <v>491</v>
      </c>
      <c r="I551" s="7" t="s">
        <v>492</v>
      </c>
      <c r="J551" s="8">
        <v>550</v>
      </c>
    </row>
    <row r="552" spans="1:10">
      <c r="A552" s="8" t="s">
        <v>419</v>
      </c>
      <c r="B552" s="7" t="s">
        <v>1306</v>
      </c>
      <c r="C552" s="7" t="s">
        <v>1286</v>
      </c>
      <c r="D552" s="8" t="s">
        <v>487</v>
      </c>
      <c r="E552" s="8" t="s">
        <v>504</v>
      </c>
      <c r="F552" s="8" t="s">
        <v>489</v>
      </c>
      <c r="G552" s="7" t="s">
        <v>490</v>
      </c>
      <c r="H552" s="8" t="s">
        <v>491</v>
      </c>
      <c r="I552" s="7" t="s">
        <v>492</v>
      </c>
      <c r="J552" s="8">
        <v>551</v>
      </c>
    </row>
    <row r="553" spans="1:10">
      <c r="A553" s="8" t="s">
        <v>420</v>
      </c>
      <c r="B553" s="7" t="s">
        <v>1307</v>
      </c>
      <c r="C553" s="7" t="s">
        <v>1286</v>
      </c>
      <c r="D553" s="8" t="s">
        <v>487</v>
      </c>
      <c r="E553" s="8" t="s">
        <v>504</v>
      </c>
      <c r="F553" s="8" t="s">
        <v>489</v>
      </c>
      <c r="G553" s="7" t="s">
        <v>490</v>
      </c>
      <c r="H553" s="8" t="s">
        <v>491</v>
      </c>
      <c r="I553" s="7" t="s">
        <v>492</v>
      </c>
      <c r="J553" s="8">
        <v>552</v>
      </c>
    </row>
    <row r="554" spans="1:10">
      <c r="A554" s="8" t="s">
        <v>421</v>
      </c>
      <c r="B554" s="7" t="s">
        <v>1308</v>
      </c>
      <c r="C554" s="7" t="s">
        <v>648</v>
      </c>
      <c r="D554" s="8" t="s">
        <v>494</v>
      </c>
      <c r="E554" s="8" t="s">
        <v>488</v>
      </c>
      <c r="F554" s="8" t="s">
        <v>489</v>
      </c>
      <c r="G554" s="7" t="s">
        <v>496</v>
      </c>
      <c r="H554" s="8" t="s">
        <v>491</v>
      </c>
      <c r="I554" s="7" t="s">
        <v>492</v>
      </c>
      <c r="J554" s="8">
        <v>553</v>
      </c>
    </row>
    <row r="555" spans="1:10">
      <c r="A555" s="8" t="s">
        <v>422</v>
      </c>
      <c r="B555" s="7" t="s">
        <v>1309</v>
      </c>
      <c r="C555" s="7" t="s">
        <v>1286</v>
      </c>
      <c r="D555" s="8" t="s">
        <v>487</v>
      </c>
      <c r="E555" s="8" t="s">
        <v>488</v>
      </c>
      <c r="F555" s="8" t="s">
        <v>489</v>
      </c>
      <c r="G555" s="7" t="s">
        <v>490</v>
      </c>
      <c r="H555" s="8" t="s">
        <v>491</v>
      </c>
      <c r="I555" s="7" t="s">
        <v>492</v>
      </c>
      <c r="J555" s="8">
        <v>554</v>
      </c>
    </row>
    <row r="556" spans="1:10">
      <c r="A556" s="8" t="s">
        <v>423</v>
      </c>
      <c r="B556" s="7" t="s">
        <v>1310</v>
      </c>
      <c r="C556" s="7" t="s">
        <v>648</v>
      </c>
      <c r="D556" s="8" t="s">
        <v>494</v>
      </c>
      <c r="E556" s="8" t="s">
        <v>488</v>
      </c>
      <c r="F556" s="8" t="s">
        <v>489</v>
      </c>
      <c r="G556" s="7" t="s">
        <v>496</v>
      </c>
      <c r="H556" s="8" t="s">
        <v>491</v>
      </c>
      <c r="I556" s="7" t="s">
        <v>492</v>
      </c>
      <c r="J556" s="8">
        <v>555</v>
      </c>
    </row>
    <row r="557" spans="1:10">
      <c r="A557" s="8" t="s">
        <v>424</v>
      </c>
      <c r="B557" s="7" t="s">
        <v>1311</v>
      </c>
      <c r="C557" s="7" t="s">
        <v>1286</v>
      </c>
      <c r="D557" s="8" t="s">
        <v>487</v>
      </c>
      <c r="E557" s="8" t="s">
        <v>488</v>
      </c>
      <c r="F557" s="8" t="s">
        <v>489</v>
      </c>
      <c r="G557" s="7" t="s">
        <v>490</v>
      </c>
      <c r="H557" s="8" t="s">
        <v>491</v>
      </c>
      <c r="I557" s="7" t="s">
        <v>492</v>
      </c>
      <c r="J557" s="8">
        <v>556</v>
      </c>
    </row>
    <row r="558" spans="1:10">
      <c r="A558" s="8" t="s">
        <v>425</v>
      </c>
      <c r="B558" s="7" t="s">
        <v>1312</v>
      </c>
      <c r="C558" s="7" t="s">
        <v>1313</v>
      </c>
      <c r="D558" s="8" t="s">
        <v>487</v>
      </c>
      <c r="E558" s="8" t="s">
        <v>488</v>
      </c>
      <c r="F558" s="8" t="s">
        <v>489</v>
      </c>
      <c r="G558" s="7" t="s">
        <v>490</v>
      </c>
      <c r="H558" s="8" t="s">
        <v>491</v>
      </c>
      <c r="I558" s="7" t="s">
        <v>492</v>
      </c>
      <c r="J558" s="8">
        <v>557</v>
      </c>
    </row>
    <row r="559" spans="1:10">
      <c r="A559" s="8" t="s">
        <v>426</v>
      </c>
      <c r="B559" s="7" t="s">
        <v>639</v>
      </c>
      <c r="C559" s="7" t="s">
        <v>1314</v>
      </c>
      <c r="D559" s="8" t="s">
        <v>487</v>
      </c>
      <c r="E559" s="8" t="s">
        <v>488</v>
      </c>
      <c r="F559" s="8" t="s">
        <v>489</v>
      </c>
      <c r="G559" s="7" t="s">
        <v>490</v>
      </c>
      <c r="H559" s="8" t="s">
        <v>491</v>
      </c>
      <c r="I559" s="7" t="s">
        <v>492</v>
      </c>
      <c r="J559" s="8">
        <v>558</v>
      </c>
    </row>
    <row r="560" spans="1:10">
      <c r="A560" s="8" t="s">
        <v>427</v>
      </c>
      <c r="B560" s="7" t="s">
        <v>640</v>
      </c>
      <c r="C560" s="7" t="s">
        <v>1315</v>
      </c>
      <c r="D560" s="8" t="s">
        <v>487</v>
      </c>
      <c r="E560" s="8" t="s">
        <v>495</v>
      </c>
      <c r="F560" s="8" t="s">
        <v>501</v>
      </c>
      <c r="G560" s="7" t="s">
        <v>490</v>
      </c>
      <c r="H560" s="8" t="s">
        <v>641</v>
      </c>
      <c r="I560" s="7" t="s">
        <v>492</v>
      </c>
      <c r="J560" s="8">
        <v>559</v>
      </c>
    </row>
    <row r="561" spans="1:10">
      <c r="A561" s="8" t="s">
        <v>428</v>
      </c>
      <c r="B561" s="7" t="s">
        <v>642</v>
      </c>
      <c r="C561" s="7" t="s">
        <v>648</v>
      </c>
      <c r="D561" s="8" t="s">
        <v>494</v>
      </c>
      <c r="E561" s="8" t="s">
        <v>488</v>
      </c>
      <c r="F561" s="8" t="s">
        <v>489</v>
      </c>
      <c r="G561" s="7" t="s">
        <v>496</v>
      </c>
      <c r="H561" s="8" t="s">
        <v>491</v>
      </c>
      <c r="I561" s="7" t="s">
        <v>492</v>
      </c>
      <c r="J561" s="8">
        <v>560</v>
      </c>
    </row>
    <row r="562" spans="1:10">
      <c r="A562" s="8" t="s">
        <v>429</v>
      </c>
      <c r="B562" s="7" t="s">
        <v>643</v>
      </c>
      <c r="C562" s="7" t="s">
        <v>648</v>
      </c>
      <c r="D562" s="8" t="s">
        <v>494</v>
      </c>
      <c r="E562" s="8" t="s">
        <v>488</v>
      </c>
      <c r="F562" s="8" t="s">
        <v>489</v>
      </c>
      <c r="G562" s="7" t="s">
        <v>496</v>
      </c>
      <c r="H562" s="8" t="s">
        <v>491</v>
      </c>
      <c r="I562" s="7" t="s">
        <v>492</v>
      </c>
      <c r="J562" s="8">
        <v>561</v>
      </c>
    </row>
    <row r="563" spans="1:10">
      <c r="A563" s="8" t="s">
        <v>430</v>
      </c>
      <c r="B563" s="7" t="s">
        <v>1316</v>
      </c>
      <c r="C563" s="7" t="s">
        <v>648</v>
      </c>
      <c r="D563" s="8" t="s">
        <v>494</v>
      </c>
      <c r="E563" s="8" t="s">
        <v>488</v>
      </c>
      <c r="F563" s="8" t="s">
        <v>489</v>
      </c>
      <c r="G563" s="7" t="s">
        <v>496</v>
      </c>
      <c r="H563" s="8" t="s">
        <v>491</v>
      </c>
      <c r="I563" s="7" t="s">
        <v>492</v>
      </c>
      <c r="J563" s="8">
        <v>562</v>
      </c>
    </row>
    <row r="564" spans="1:10">
      <c r="A564" s="8" t="s">
        <v>1317</v>
      </c>
      <c r="B564" s="7" t="s">
        <v>1318</v>
      </c>
      <c r="C564" s="7" t="s">
        <v>648</v>
      </c>
      <c r="D564" s="8" t="s">
        <v>494</v>
      </c>
      <c r="E564" s="8" t="s">
        <v>488</v>
      </c>
      <c r="F564" s="8" t="s">
        <v>489</v>
      </c>
      <c r="G564" s="7" t="s">
        <v>496</v>
      </c>
      <c r="H564" s="8" t="s">
        <v>491</v>
      </c>
      <c r="I564" s="7" t="s">
        <v>492</v>
      </c>
      <c r="J564" s="8">
        <v>563</v>
      </c>
    </row>
    <row r="565" spans="1:10">
      <c r="A565" s="8" t="s">
        <v>1319</v>
      </c>
      <c r="B565" s="7" t="s">
        <v>1320</v>
      </c>
      <c r="C565" s="7" t="s">
        <v>648</v>
      </c>
      <c r="D565" s="8" t="s">
        <v>494</v>
      </c>
      <c r="E565" s="8" t="s">
        <v>488</v>
      </c>
      <c r="F565" s="8" t="s">
        <v>489</v>
      </c>
      <c r="G565" s="7" t="s">
        <v>496</v>
      </c>
      <c r="H565" s="8" t="s">
        <v>491</v>
      </c>
      <c r="I565" s="7" t="s">
        <v>492</v>
      </c>
      <c r="J565" s="8">
        <v>564</v>
      </c>
    </row>
    <row r="566" spans="1:10">
      <c r="A566" s="8" t="s">
        <v>1321</v>
      </c>
      <c r="B566" s="7" t="s">
        <v>1322</v>
      </c>
      <c r="C566" s="7" t="s">
        <v>648</v>
      </c>
      <c r="D566" s="8" t="s">
        <v>494</v>
      </c>
      <c r="E566" s="8" t="s">
        <v>488</v>
      </c>
      <c r="F566" s="8" t="s">
        <v>489</v>
      </c>
      <c r="G566" s="7" t="s">
        <v>496</v>
      </c>
      <c r="H566" s="8" t="s">
        <v>491</v>
      </c>
      <c r="I566" s="7" t="s">
        <v>492</v>
      </c>
      <c r="J566" s="8">
        <v>565</v>
      </c>
    </row>
    <row r="567" spans="1:10">
      <c r="A567" s="8" t="s">
        <v>1323</v>
      </c>
      <c r="B567" s="7" t="s">
        <v>1324</v>
      </c>
      <c r="C567" s="7" t="s">
        <v>648</v>
      </c>
      <c r="D567" s="8" t="s">
        <v>494</v>
      </c>
      <c r="E567" s="8" t="s">
        <v>488</v>
      </c>
      <c r="F567" s="8" t="s">
        <v>489</v>
      </c>
      <c r="G567" s="7" t="s">
        <v>496</v>
      </c>
      <c r="H567" s="8" t="s">
        <v>491</v>
      </c>
      <c r="I567" s="7" t="s">
        <v>492</v>
      </c>
      <c r="J567" s="8">
        <v>566</v>
      </c>
    </row>
    <row r="568" spans="1:10">
      <c r="A568" s="8" t="s">
        <v>431</v>
      </c>
      <c r="B568" s="7" t="s">
        <v>1325</v>
      </c>
      <c r="C568" s="7" t="s">
        <v>648</v>
      </c>
      <c r="D568" s="8" t="s">
        <v>494</v>
      </c>
      <c r="E568" s="8" t="s">
        <v>488</v>
      </c>
      <c r="F568" s="8" t="s">
        <v>489</v>
      </c>
      <c r="G568" s="7" t="s">
        <v>496</v>
      </c>
      <c r="H568" s="8" t="s">
        <v>491</v>
      </c>
      <c r="I568" s="7" t="s">
        <v>492</v>
      </c>
      <c r="J568" s="8">
        <v>567</v>
      </c>
    </row>
    <row r="569" spans="1:10">
      <c r="A569" s="8" t="s">
        <v>432</v>
      </c>
      <c r="B569" s="7" t="s">
        <v>1326</v>
      </c>
      <c r="C569" s="7" t="s">
        <v>648</v>
      </c>
      <c r="D569" s="8" t="s">
        <v>494</v>
      </c>
      <c r="E569" s="8" t="s">
        <v>488</v>
      </c>
      <c r="F569" s="8" t="s">
        <v>489</v>
      </c>
      <c r="G569" s="7" t="s">
        <v>496</v>
      </c>
      <c r="H569" s="8" t="s">
        <v>491</v>
      </c>
      <c r="I569" s="7" t="s">
        <v>492</v>
      </c>
      <c r="J569" s="8">
        <v>568</v>
      </c>
    </row>
    <row r="570" spans="1:10">
      <c r="A570" s="8" t="s">
        <v>433</v>
      </c>
      <c r="B570" s="7" t="s">
        <v>1327</v>
      </c>
      <c r="C570" s="7" t="s">
        <v>648</v>
      </c>
      <c r="D570" s="8" t="s">
        <v>494</v>
      </c>
      <c r="E570" s="8" t="s">
        <v>488</v>
      </c>
      <c r="F570" s="8" t="s">
        <v>489</v>
      </c>
      <c r="G570" s="7" t="s">
        <v>496</v>
      </c>
      <c r="H570" s="8" t="s">
        <v>491</v>
      </c>
      <c r="I570" s="7" t="s">
        <v>492</v>
      </c>
      <c r="J570" s="8">
        <v>569</v>
      </c>
    </row>
    <row r="571" spans="1:10">
      <c r="A571" s="8" t="s">
        <v>434</v>
      </c>
      <c r="B571" s="7" t="s">
        <v>1328</v>
      </c>
      <c r="C571" s="7" t="s">
        <v>1329</v>
      </c>
      <c r="D571" s="8" t="s">
        <v>487</v>
      </c>
      <c r="E571" s="8" t="s">
        <v>495</v>
      </c>
      <c r="F571" s="8" t="s">
        <v>489</v>
      </c>
      <c r="G571" s="7" t="s">
        <v>490</v>
      </c>
      <c r="H571" s="8" t="s">
        <v>491</v>
      </c>
      <c r="I571" s="7" t="s">
        <v>492</v>
      </c>
      <c r="J571" s="8">
        <v>570</v>
      </c>
    </row>
    <row r="572" spans="1:10">
      <c r="A572" s="8" t="s">
        <v>435</v>
      </c>
      <c r="B572" s="7" t="s">
        <v>1330</v>
      </c>
      <c r="C572" s="7" t="s">
        <v>648</v>
      </c>
      <c r="D572" s="8" t="s">
        <v>494</v>
      </c>
      <c r="E572" s="8" t="s">
        <v>488</v>
      </c>
      <c r="F572" s="8" t="s">
        <v>489</v>
      </c>
      <c r="G572" s="7" t="s">
        <v>496</v>
      </c>
      <c r="H572" s="8" t="s">
        <v>491</v>
      </c>
      <c r="I572" s="7" t="s">
        <v>492</v>
      </c>
      <c r="J572" s="8">
        <v>571</v>
      </c>
    </row>
    <row r="573" spans="1:10">
      <c r="A573" s="8" t="s">
        <v>436</v>
      </c>
      <c r="B573" s="7" t="s">
        <v>1331</v>
      </c>
      <c r="C573" s="7" t="s">
        <v>1332</v>
      </c>
      <c r="D573" s="8" t="s">
        <v>487</v>
      </c>
      <c r="E573" s="8" t="s">
        <v>495</v>
      </c>
      <c r="F573" s="8" t="s">
        <v>489</v>
      </c>
      <c r="G573" s="7" t="s">
        <v>490</v>
      </c>
      <c r="H573" s="8" t="s">
        <v>491</v>
      </c>
      <c r="I573" s="7" t="s">
        <v>492</v>
      </c>
      <c r="J573" s="8">
        <v>572</v>
      </c>
    </row>
    <row r="574" spans="1:10">
      <c r="A574" s="8" t="s">
        <v>437</v>
      </c>
      <c r="B574" s="7" t="s">
        <v>1333</v>
      </c>
      <c r="C574" s="7" t="s">
        <v>648</v>
      </c>
      <c r="D574" s="8" t="s">
        <v>494</v>
      </c>
      <c r="E574" s="8" t="s">
        <v>488</v>
      </c>
      <c r="F574" s="8" t="s">
        <v>489</v>
      </c>
      <c r="G574" s="7" t="s">
        <v>496</v>
      </c>
      <c r="H574" s="8" t="s">
        <v>491</v>
      </c>
      <c r="I574" s="7" t="s">
        <v>492</v>
      </c>
      <c r="J574" s="8">
        <v>573</v>
      </c>
    </row>
    <row r="575" spans="1:10">
      <c r="A575" s="8" t="s">
        <v>1334</v>
      </c>
      <c r="B575" s="7" t="s">
        <v>1335</v>
      </c>
      <c r="C575" s="7" t="s">
        <v>648</v>
      </c>
      <c r="D575" s="8" t="s">
        <v>494</v>
      </c>
      <c r="E575" s="8" t="s">
        <v>495</v>
      </c>
      <c r="F575" s="8" t="s">
        <v>501</v>
      </c>
      <c r="G575" s="7" t="s">
        <v>496</v>
      </c>
      <c r="H575" s="8" t="s">
        <v>491</v>
      </c>
      <c r="I575" s="7" t="s">
        <v>492</v>
      </c>
      <c r="J575" s="8">
        <v>574</v>
      </c>
    </row>
    <row r="576" spans="1:10">
      <c r="A576" s="8" t="s">
        <v>438</v>
      </c>
      <c r="B576" s="7" t="s">
        <v>1336</v>
      </c>
      <c r="C576" s="7" t="s">
        <v>1337</v>
      </c>
      <c r="D576" s="8" t="s">
        <v>487</v>
      </c>
      <c r="E576" s="8" t="s">
        <v>495</v>
      </c>
      <c r="F576" s="8" t="s">
        <v>489</v>
      </c>
      <c r="G576" s="7" t="s">
        <v>490</v>
      </c>
      <c r="H576" s="8" t="s">
        <v>491</v>
      </c>
      <c r="I576" s="7" t="s">
        <v>492</v>
      </c>
      <c r="J576" s="8">
        <v>575</v>
      </c>
    </row>
    <row r="577" spans="1:10">
      <c r="A577" s="8" t="s">
        <v>439</v>
      </c>
      <c r="B577" s="7" t="s">
        <v>1338</v>
      </c>
      <c r="C577" s="7" t="s">
        <v>1339</v>
      </c>
      <c r="D577" s="8" t="s">
        <v>635</v>
      </c>
      <c r="E577" s="8" t="s">
        <v>495</v>
      </c>
      <c r="F577" s="8" t="s">
        <v>501</v>
      </c>
      <c r="G577" s="7" t="s">
        <v>636</v>
      </c>
      <c r="H577" s="8" t="s">
        <v>1263</v>
      </c>
      <c r="I577" s="7" t="s">
        <v>492</v>
      </c>
      <c r="J577" s="8">
        <v>576</v>
      </c>
    </row>
    <row r="578" spans="1:10">
      <c r="A578" s="8" t="s">
        <v>440</v>
      </c>
      <c r="B578" s="7" t="s">
        <v>1340</v>
      </c>
      <c r="C578" s="7" t="s">
        <v>1341</v>
      </c>
      <c r="D578" s="8" t="s">
        <v>487</v>
      </c>
      <c r="E578" s="8" t="s">
        <v>495</v>
      </c>
      <c r="F578" s="8" t="s">
        <v>501</v>
      </c>
      <c r="G578" s="7" t="s">
        <v>490</v>
      </c>
      <c r="H578" s="8" t="s">
        <v>1263</v>
      </c>
      <c r="I578" s="7" t="s">
        <v>492</v>
      </c>
      <c r="J578" s="8">
        <v>577</v>
      </c>
    </row>
    <row r="579" spans="1:10">
      <c r="A579" s="8" t="s">
        <v>441</v>
      </c>
      <c r="B579" s="7" t="s">
        <v>1342</v>
      </c>
      <c r="C579" s="7" t="s">
        <v>1343</v>
      </c>
      <c r="D579" s="8" t="s">
        <v>487</v>
      </c>
      <c r="E579" s="8" t="s">
        <v>495</v>
      </c>
      <c r="F579" s="8" t="s">
        <v>501</v>
      </c>
      <c r="G579" s="7" t="s">
        <v>490</v>
      </c>
      <c r="H579" s="8" t="s">
        <v>1263</v>
      </c>
      <c r="I579" s="7" t="s">
        <v>492</v>
      </c>
      <c r="J579" s="8">
        <v>578</v>
      </c>
    </row>
    <row r="580" spans="1:10">
      <c r="A580" s="8" t="s">
        <v>1344</v>
      </c>
      <c r="B580" s="7" t="s">
        <v>1345</v>
      </c>
      <c r="C580" s="7" t="s">
        <v>648</v>
      </c>
      <c r="D580" s="8" t="s">
        <v>494</v>
      </c>
      <c r="E580" s="8" t="s">
        <v>488</v>
      </c>
      <c r="F580" s="8" t="s">
        <v>489</v>
      </c>
      <c r="G580" s="7" t="s">
        <v>496</v>
      </c>
      <c r="H580" s="8" t="s">
        <v>491</v>
      </c>
      <c r="I580" s="7" t="s">
        <v>492</v>
      </c>
      <c r="J580" s="8">
        <v>579</v>
      </c>
    </row>
    <row r="581" spans="1:10">
      <c r="A581" s="8" t="s">
        <v>442</v>
      </c>
      <c r="B581" s="7" t="s">
        <v>1346</v>
      </c>
      <c r="C581" s="7" t="s">
        <v>648</v>
      </c>
      <c r="D581" s="8" t="s">
        <v>494</v>
      </c>
      <c r="E581" s="8" t="s">
        <v>488</v>
      </c>
      <c r="F581" s="8" t="s">
        <v>489</v>
      </c>
      <c r="G581" s="7" t="s">
        <v>496</v>
      </c>
      <c r="H581" s="8" t="s">
        <v>491</v>
      </c>
      <c r="I581" s="7" t="s">
        <v>492</v>
      </c>
      <c r="J581" s="8">
        <v>580</v>
      </c>
    </row>
    <row r="582" spans="1:10">
      <c r="A582" s="8" t="s">
        <v>443</v>
      </c>
      <c r="B582" s="7" t="s">
        <v>1347</v>
      </c>
      <c r="C582" s="7" t="s">
        <v>1348</v>
      </c>
      <c r="D582" s="8" t="s">
        <v>635</v>
      </c>
      <c r="E582" s="8" t="s">
        <v>495</v>
      </c>
      <c r="F582" s="8" t="s">
        <v>501</v>
      </c>
      <c r="G582" s="7" t="s">
        <v>636</v>
      </c>
      <c r="H582" s="8" t="s">
        <v>1263</v>
      </c>
      <c r="I582" s="7" t="s">
        <v>492</v>
      </c>
      <c r="J582" s="8">
        <v>581</v>
      </c>
    </row>
    <row r="583" spans="1:10">
      <c r="A583" s="8" t="s">
        <v>444</v>
      </c>
      <c r="B583" s="7" t="s">
        <v>1349</v>
      </c>
      <c r="C583" s="7" t="s">
        <v>1350</v>
      </c>
      <c r="D583" s="8" t="s">
        <v>487</v>
      </c>
      <c r="E583" s="8" t="s">
        <v>495</v>
      </c>
      <c r="F583" s="8" t="s">
        <v>501</v>
      </c>
      <c r="G583" s="7" t="s">
        <v>490</v>
      </c>
      <c r="H583" s="8" t="s">
        <v>1267</v>
      </c>
      <c r="I583" s="7" t="s">
        <v>492</v>
      </c>
      <c r="J583" s="8">
        <v>582</v>
      </c>
    </row>
    <row r="584" spans="1:10">
      <c r="A584" s="8" t="s">
        <v>445</v>
      </c>
      <c r="B584" s="7" t="s">
        <v>1351</v>
      </c>
      <c r="C584" s="7" t="s">
        <v>1352</v>
      </c>
      <c r="D584" s="8" t="s">
        <v>487</v>
      </c>
      <c r="E584" s="8" t="s">
        <v>495</v>
      </c>
      <c r="F584" s="8" t="s">
        <v>501</v>
      </c>
      <c r="G584" s="7" t="s">
        <v>490</v>
      </c>
      <c r="H584" s="8" t="s">
        <v>502</v>
      </c>
      <c r="I584" s="7" t="s">
        <v>492</v>
      </c>
      <c r="J584" s="8">
        <v>583</v>
      </c>
    </row>
    <row r="585" spans="1:10">
      <c r="A585" s="8" t="s">
        <v>446</v>
      </c>
      <c r="B585" s="7" t="s">
        <v>1353</v>
      </c>
      <c r="C585" s="7" t="s">
        <v>1354</v>
      </c>
      <c r="D585" s="8" t="s">
        <v>635</v>
      </c>
      <c r="E585" s="8" t="s">
        <v>495</v>
      </c>
      <c r="F585" s="8" t="s">
        <v>501</v>
      </c>
      <c r="G585" s="7" t="s">
        <v>636</v>
      </c>
      <c r="H585" s="8" t="s">
        <v>1267</v>
      </c>
      <c r="I585" s="7" t="s">
        <v>492</v>
      </c>
      <c r="J585" s="8">
        <v>584</v>
      </c>
    </row>
    <row r="586" spans="1:10">
      <c r="A586" s="8" t="s">
        <v>447</v>
      </c>
      <c r="B586" s="7" t="s">
        <v>1355</v>
      </c>
      <c r="C586" s="7" t="s">
        <v>1356</v>
      </c>
      <c r="D586" s="8" t="s">
        <v>635</v>
      </c>
      <c r="E586" s="8" t="s">
        <v>495</v>
      </c>
      <c r="F586" s="8" t="s">
        <v>501</v>
      </c>
      <c r="G586" s="7" t="s">
        <v>636</v>
      </c>
      <c r="H586" s="8" t="s">
        <v>502</v>
      </c>
      <c r="I586" s="7" t="s">
        <v>492</v>
      </c>
      <c r="J586" s="8">
        <v>585</v>
      </c>
    </row>
    <row r="587" spans="1:10">
      <c r="A587" s="8" t="s">
        <v>1357</v>
      </c>
      <c r="B587" s="7" t="s">
        <v>1358</v>
      </c>
      <c r="C587" s="7" t="s">
        <v>648</v>
      </c>
      <c r="D587" s="8" t="s">
        <v>494</v>
      </c>
      <c r="E587" s="8" t="s">
        <v>488</v>
      </c>
      <c r="F587" s="8" t="s">
        <v>489</v>
      </c>
      <c r="G587" s="7" t="s">
        <v>496</v>
      </c>
      <c r="H587" s="8" t="s">
        <v>491</v>
      </c>
      <c r="I587" s="7" t="s">
        <v>492</v>
      </c>
      <c r="J587" s="8">
        <v>586</v>
      </c>
    </row>
    <row r="588" spans="1:10">
      <c r="A588" s="8" t="s">
        <v>1359</v>
      </c>
      <c r="B588" s="7" t="s">
        <v>1360</v>
      </c>
      <c r="C588" s="7" t="s">
        <v>648</v>
      </c>
      <c r="D588" s="8" t="s">
        <v>494</v>
      </c>
      <c r="E588" s="8" t="s">
        <v>488</v>
      </c>
      <c r="F588" s="8" t="s">
        <v>489</v>
      </c>
      <c r="G588" s="7" t="s">
        <v>496</v>
      </c>
      <c r="H588" s="8" t="s">
        <v>491</v>
      </c>
      <c r="I588" s="7" t="s">
        <v>492</v>
      </c>
      <c r="J588" s="8">
        <v>587</v>
      </c>
    </row>
    <row r="589" spans="1:10">
      <c r="A589" s="8" t="s">
        <v>448</v>
      </c>
      <c r="B589" s="7" t="s">
        <v>1361</v>
      </c>
      <c r="C589" s="7" t="s">
        <v>1362</v>
      </c>
      <c r="D589" s="8" t="s">
        <v>487</v>
      </c>
      <c r="E589" s="8" t="s">
        <v>495</v>
      </c>
      <c r="F589" s="8" t="s">
        <v>501</v>
      </c>
      <c r="G589" s="7" t="s">
        <v>490</v>
      </c>
      <c r="H589" s="8" t="s">
        <v>1267</v>
      </c>
      <c r="I589" s="7" t="s">
        <v>492</v>
      </c>
      <c r="J589" s="8">
        <v>588</v>
      </c>
    </row>
    <row r="590" spans="1:10">
      <c r="A590" s="8" t="s">
        <v>449</v>
      </c>
      <c r="B590" s="7" t="s">
        <v>1363</v>
      </c>
      <c r="C590" s="7" t="s">
        <v>1364</v>
      </c>
      <c r="D590" s="8" t="s">
        <v>487</v>
      </c>
      <c r="E590" s="8" t="s">
        <v>495</v>
      </c>
      <c r="F590" s="8" t="s">
        <v>501</v>
      </c>
      <c r="G590" s="7" t="s">
        <v>490</v>
      </c>
      <c r="H590" s="8" t="s">
        <v>1267</v>
      </c>
      <c r="I590" s="7" t="s">
        <v>492</v>
      </c>
      <c r="J590" s="8">
        <v>589</v>
      </c>
    </row>
    <row r="591" spans="1:10">
      <c r="A591" s="8" t="s">
        <v>450</v>
      </c>
      <c r="B591" s="7" t="s">
        <v>1365</v>
      </c>
      <c r="C591" s="7" t="s">
        <v>1366</v>
      </c>
      <c r="D591" s="8" t="s">
        <v>487</v>
      </c>
      <c r="E591" s="8" t="s">
        <v>495</v>
      </c>
      <c r="F591" s="8" t="s">
        <v>501</v>
      </c>
      <c r="G591" s="7" t="s">
        <v>490</v>
      </c>
      <c r="H591" s="8" t="s">
        <v>502</v>
      </c>
      <c r="I591" s="7" t="s">
        <v>492</v>
      </c>
      <c r="J591" s="8">
        <v>590</v>
      </c>
    </row>
    <row r="592" spans="1:10">
      <c r="A592" s="8" t="s">
        <v>451</v>
      </c>
      <c r="B592" s="7" t="s">
        <v>1367</v>
      </c>
      <c r="C592" s="7" t="s">
        <v>1368</v>
      </c>
      <c r="D592" s="8" t="s">
        <v>487</v>
      </c>
      <c r="E592" s="8" t="s">
        <v>495</v>
      </c>
      <c r="F592" s="8" t="s">
        <v>501</v>
      </c>
      <c r="G592" s="7" t="s">
        <v>490</v>
      </c>
      <c r="H592" s="8" t="s">
        <v>1369</v>
      </c>
      <c r="I592" s="7" t="s">
        <v>492</v>
      </c>
      <c r="J592" s="8">
        <v>591</v>
      </c>
    </row>
    <row r="593" spans="1:10">
      <c r="A593" s="8" t="s">
        <v>452</v>
      </c>
      <c r="B593" s="7" t="s">
        <v>1370</v>
      </c>
      <c r="C593" s="7" t="s">
        <v>1371</v>
      </c>
      <c r="D593" s="8" t="s">
        <v>487</v>
      </c>
      <c r="E593" s="8" t="s">
        <v>495</v>
      </c>
      <c r="F593" s="8" t="s">
        <v>501</v>
      </c>
      <c r="G593" s="7" t="s">
        <v>490</v>
      </c>
      <c r="H593" s="8" t="s">
        <v>1369</v>
      </c>
      <c r="I593" s="7" t="s">
        <v>492</v>
      </c>
      <c r="J593" s="8">
        <v>592</v>
      </c>
    </row>
    <row r="594" spans="1:10">
      <c r="A594" s="8" t="s">
        <v>453</v>
      </c>
      <c r="B594" s="7" t="s">
        <v>1372</v>
      </c>
      <c r="C594" s="7" t="s">
        <v>648</v>
      </c>
      <c r="D594" s="8" t="s">
        <v>494</v>
      </c>
      <c r="E594" s="8" t="s">
        <v>488</v>
      </c>
      <c r="F594" s="8" t="s">
        <v>489</v>
      </c>
      <c r="G594" s="7" t="s">
        <v>496</v>
      </c>
      <c r="H594" s="8" t="s">
        <v>491</v>
      </c>
      <c r="I594" s="7" t="s">
        <v>492</v>
      </c>
      <c r="J594" s="8">
        <v>593</v>
      </c>
    </row>
    <row r="595" spans="1:10">
      <c r="A595" s="8" t="s">
        <v>454</v>
      </c>
      <c r="B595" s="7" t="s">
        <v>1373</v>
      </c>
      <c r="C595" s="7" t="s">
        <v>1374</v>
      </c>
      <c r="D595" s="8" t="s">
        <v>487</v>
      </c>
      <c r="E595" s="8" t="s">
        <v>504</v>
      </c>
      <c r="F595" s="8" t="s">
        <v>489</v>
      </c>
      <c r="G595" s="7" t="s">
        <v>490</v>
      </c>
      <c r="H595" s="8" t="s">
        <v>491</v>
      </c>
      <c r="I595" s="7" t="s">
        <v>492</v>
      </c>
      <c r="J595" s="8">
        <v>594</v>
      </c>
    </row>
    <row r="596" spans="1:10">
      <c r="A596" s="8" t="s">
        <v>455</v>
      </c>
      <c r="B596" s="7" t="s">
        <v>1375</v>
      </c>
      <c r="C596" s="7" t="s">
        <v>648</v>
      </c>
      <c r="D596" s="8" t="s">
        <v>494</v>
      </c>
      <c r="E596" s="8" t="s">
        <v>488</v>
      </c>
      <c r="F596" s="8" t="s">
        <v>489</v>
      </c>
      <c r="G596" s="7" t="s">
        <v>496</v>
      </c>
      <c r="H596" s="8" t="s">
        <v>491</v>
      </c>
      <c r="I596" s="7" t="s">
        <v>492</v>
      </c>
      <c r="J596" s="8">
        <v>595</v>
      </c>
    </row>
    <row r="597" spans="1:10">
      <c r="A597" s="8" t="s">
        <v>456</v>
      </c>
      <c r="B597" s="7" t="s">
        <v>1376</v>
      </c>
      <c r="C597" s="7" t="s">
        <v>1377</v>
      </c>
      <c r="D597" s="8" t="s">
        <v>487</v>
      </c>
      <c r="E597" s="8" t="s">
        <v>504</v>
      </c>
      <c r="F597" s="8" t="s">
        <v>489</v>
      </c>
      <c r="G597" s="7" t="s">
        <v>490</v>
      </c>
      <c r="H597" s="8" t="s">
        <v>491</v>
      </c>
      <c r="I597" s="7" t="s">
        <v>492</v>
      </c>
      <c r="J597" s="8">
        <v>596</v>
      </c>
    </row>
    <row r="598" spans="1:10">
      <c r="A598" s="8" t="s">
        <v>457</v>
      </c>
      <c r="B598" s="7" t="s">
        <v>1378</v>
      </c>
      <c r="C598" s="7" t="s">
        <v>1379</v>
      </c>
      <c r="D598" s="8" t="s">
        <v>487</v>
      </c>
      <c r="E598" s="8" t="s">
        <v>495</v>
      </c>
      <c r="F598" s="8" t="s">
        <v>501</v>
      </c>
      <c r="G598" s="7" t="s">
        <v>490</v>
      </c>
      <c r="H598" s="8" t="s">
        <v>1263</v>
      </c>
      <c r="I598" s="7" t="s">
        <v>492</v>
      </c>
      <c r="J598" s="8">
        <v>597</v>
      </c>
    </row>
    <row r="599" spans="1:10">
      <c r="A599" s="8" t="s">
        <v>458</v>
      </c>
      <c r="B599" s="7" t="s">
        <v>1380</v>
      </c>
      <c r="C599" s="7" t="s">
        <v>1381</v>
      </c>
      <c r="D599" s="8" t="s">
        <v>487</v>
      </c>
      <c r="E599" s="8" t="s">
        <v>495</v>
      </c>
      <c r="F599" s="8" t="s">
        <v>489</v>
      </c>
      <c r="G599" s="7" t="s">
        <v>490</v>
      </c>
      <c r="H599" s="8" t="s">
        <v>491</v>
      </c>
      <c r="I599" s="7" t="s">
        <v>492</v>
      </c>
      <c r="J599" s="8">
        <v>598</v>
      </c>
    </row>
    <row r="600" spans="1:10">
      <c r="A600" s="8" t="s">
        <v>459</v>
      </c>
      <c r="B600" s="7" t="s">
        <v>1382</v>
      </c>
      <c r="C600" s="7" t="s">
        <v>1383</v>
      </c>
      <c r="D600" s="8" t="s">
        <v>487</v>
      </c>
      <c r="E600" s="8" t="s">
        <v>504</v>
      </c>
      <c r="F600" s="8" t="s">
        <v>489</v>
      </c>
      <c r="G600" s="7" t="s">
        <v>490</v>
      </c>
      <c r="H600" s="8" t="s">
        <v>491</v>
      </c>
      <c r="I600" s="7" t="s">
        <v>492</v>
      </c>
      <c r="J600" s="8">
        <v>599</v>
      </c>
    </row>
    <row r="601" spans="1:10">
      <c r="A601" s="8" t="s">
        <v>460</v>
      </c>
      <c r="B601" s="7" t="s">
        <v>1384</v>
      </c>
      <c r="C601" s="7" t="s">
        <v>1385</v>
      </c>
      <c r="D601" s="8" t="s">
        <v>487</v>
      </c>
      <c r="E601" s="8" t="s">
        <v>504</v>
      </c>
      <c r="F601" s="8" t="s">
        <v>489</v>
      </c>
      <c r="G601" s="7" t="s">
        <v>490</v>
      </c>
      <c r="H601" s="8" t="s">
        <v>491</v>
      </c>
      <c r="I601" s="7" t="s">
        <v>492</v>
      </c>
      <c r="J601" s="8">
        <v>600</v>
      </c>
    </row>
    <row r="602" spans="1:10">
      <c r="A602" s="8" t="s">
        <v>461</v>
      </c>
      <c r="B602" s="7" t="s">
        <v>1386</v>
      </c>
      <c r="C602" s="7" t="s">
        <v>648</v>
      </c>
      <c r="D602" s="8" t="s">
        <v>494</v>
      </c>
      <c r="E602" s="8" t="s">
        <v>488</v>
      </c>
      <c r="F602" s="8" t="s">
        <v>489</v>
      </c>
      <c r="G602" s="7" t="s">
        <v>496</v>
      </c>
      <c r="H602" s="8" t="s">
        <v>491</v>
      </c>
      <c r="I602" s="7" t="s">
        <v>492</v>
      </c>
      <c r="J602" s="8">
        <v>601</v>
      </c>
    </row>
    <row r="603" spans="1:10">
      <c r="A603" s="8" t="s">
        <v>462</v>
      </c>
      <c r="B603" s="7" t="s">
        <v>1387</v>
      </c>
      <c r="C603" s="7" t="s">
        <v>1388</v>
      </c>
      <c r="D603" s="8" t="s">
        <v>487</v>
      </c>
      <c r="E603" s="8" t="s">
        <v>488</v>
      </c>
      <c r="F603" s="8" t="s">
        <v>489</v>
      </c>
      <c r="G603" s="7" t="s">
        <v>490</v>
      </c>
      <c r="H603" s="8" t="s">
        <v>491</v>
      </c>
      <c r="I603" s="7" t="s">
        <v>492</v>
      </c>
      <c r="J603" s="8">
        <v>602</v>
      </c>
    </row>
    <row r="604" spans="1:10">
      <c r="A604" s="8" t="s">
        <v>463</v>
      </c>
      <c r="B604" s="7" t="s">
        <v>1389</v>
      </c>
      <c r="C604" s="7" t="s">
        <v>1390</v>
      </c>
      <c r="D604" s="8" t="s">
        <v>487</v>
      </c>
      <c r="E604" s="8" t="s">
        <v>488</v>
      </c>
      <c r="F604" s="8" t="s">
        <v>489</v>
      </c>
      <c r="G604" s="7" t="s">
        <v>490</v>
      </c>
      <c r="H604" s="8" t="s">
        <v>491</v>
      </c>
      <c r="I604" s="7" t="s">
        <v>492</v>
      </c>
      <c r="J604" s="8">
        <v>603</v>
      </c>
    </row>
    <row r="605" spans="1:10">
      <c r="A605" s="8" t="s">
        <v>464</v>
      </c>
      <c r="B605" s="7" t="s">
        <v>1391</v>
      </c>
      <c r="C605" s="7" t="s">
        <v>784</v>
      </c>
      <c r="D605" s="8" t="s">
        <v>487</v>
      </c>
      <c r="E605" s="8" t="s">
        <v>495</v>
      </c>
      <c r="F605" s="8" t="s">
        <v>501</v>
      </c>
      <c r="G605" s="7" t="s">
        <v>490</v>
      </c>
      <c r="H605" s="8" t="s">
        <v>502</v>
      </c>
      <c r="I605" s="7" t="s">
        <v>492</v>
      </c>
      <c r="J605" s="8">
        <v>604</v>
      </c>
    </row>
    <row r="606" spans="1:10">
      <c r="A606" s="8" t="s">
        <v>465</v>
      </c>
      <c r="B606" s="7" t="s">
        <v>1392</v>
      </c>
      <c r="C606" s="7" t="s">
        <v>1393</v>
      </c>
      <c r="D606" s="8" t="s">
        <v>487</v>
      </c>
      <c r="E606" s="8" t="s">
        <v>495</v>
      </c>
      <c r="F606" s="8" t="s">
        <v>501</v>
      </c>
      <c r="G606" s="7" t="s">
        <v>490</v>
      </c>
      <c r="H606" s="8" t="s">
        <v>502</v>
      </c>
      <c r="I606" s="7" t="s">
        <v>492</v>
      </c>
      <c r="J606" s="8">
        <v>605</v>
      </c>
    </row>
    <row r="607" spans="1:10">
      <c r="A607" s="8" t="s">
        <v>466</v>
      </c>
      <c r="B607" s="7" t="s">
        <v>1394</v>
      </c>
      <c r="C607" s="7" t="s">
        <v>648</v>
      </c>
      <c r="D607" s="8" t="s">
        <v>494</v>
      </c>
      <c r="E607" s="8" t="s">
        <v>488</v>
      </c>
      <c r="F607" s="8" t="s">
        <v>489</v>
      </c>
      <c r="G607" s="7" t="s">
        <v>496</v>
      </c>
      <c r="H607" s="8" t="s">
        <v>491</v>
      </c>
      <c r="I607" s="7" t="s">
        <v>492</v>
      </c>
      <c r="J607" s="8">
        <v>606</v>
      </c>
    </row>
    <row r="608" spans="1:10">
      <c r="A608" s="8" t="s">
        <v>467</v>
      </c>
      <c r="B608" s="7" t="s">
        <v>1395</v>
      </c>
      <c r="C608" s="7" t="s">
        <v>648</v>
      </c>
      <c r="D608" s="8" t="s">
        <v>494</v>
      </c>
      <c r="E608" s="8" t="s">
        <v>488</v>
      </c>
      <c r="F608" s="8" t="s">
        <v>489</v>
      </c>
      <c r="G608" s="7" t="s">
        <v>496</v>
      </c>
      <c r="H608" s="8" t="s">
        <v>491</v>
      </c>
      <c r="I608" s="7" t="s">
        <v>492</v>
      </c>
      <c r="J608" s="8">
        <v>607</v>
      </c>
    </row>
    <row r="609" spans="1:10">
      <c r="A609" s="8" t="s">
        <v>468</v>
      </c>
      <c r="B609" s="7" t="s">
        <v>1396</v>
      </c>
      <c r="C609" s="7" t="s">
        <v>1397</v>
      </c>
      <c r="D609" s="8" t="s">
        <v>487</v>
      </c>
      <c r="E609" s="8" t="s">
        <v>495</v>
      </c>
      <c r="F609" s="8" t="s">
        <v>501</v>
      </c>
      <c r="G609" s="7" t="s">
        <v>490</v>
      </c>
      <c r="H609" s="8" t="s">
        <v>502</v>
      </c>
      <c r="I609" s="7" t="s">
        <v>492</v>
      </c>
      <c r="J609" s="8">
        <v>608</v>
      </c>
    </row>
    <row r="610" spans="1:10">
      <c r="A610" s="8" t="s">
        <v>1398</v>
      </c>
      <c r="B610" s="7" t="s">
        <v>1399</v>
      </c>
      <c r="C610" s="7" t="s">
        <v>648</v>
      </c>
      <c r="D610" s="8" t="s">
        <v>494</v>
      </c>
      <c r="E610" s="8" t="s">
        <v>488</v>
      </c>
      <c r="F610" s="8" t="s">
        <v>489</v>
      </c>
      <c r="G610" s="7" t="s">
        <v>496</v>
      </c>
      <c r="H610" s="8" t="s">
        <v>491</v>
      </c>
      <c r="I610" s="7" t="s">
        <v>492</v>
      </c>
      <c r="J610" s="8">
        <v>609</v>
      </c>
    </row>
    <row r="611" spans="1:10">
      <c r="A611" s="8" t="s">
        <v>1400</v>
      </c>
      <c r="B611" s="7" t="s">
        <v>1401</v>
      </c>
      <c r="C611" s="7" t="s">
        <v>648</v>
      </c>
      <c r="D611" s="8" t="s">
        <v>494</v>
      </c>
      <c r="E611" s="8" t="s">
        <v>488</v>
      </c>
      <c r="F611" s="8" t="s">
        <v>489</v>
      </c>
      <c r="G611" s="7" t="s">
        <v>496</v>
      </c>
      <c r="H611" s="8" t="s">
        <v>491</v>
      </c>
      <c r="I611" s="7" t="s">
        <v>492</v>
      </c>
      <c r="J611" s="8">
        <v>610</v>
      </c>
    </row>
    <row r="612" spans="1:10">
      <c r="A612" s="8" t="s">
        <v>1402</v>
      </c>
      <c r="B612" s="7" t="s">
        <v>1403</v>
      </c>
      <c r="C612" s="7" t="s">
        <v>648</v>
      </c>
      <c r="D612" s="8" t="s">
        <v>494</v>
      </c>
      <c r="E612" s="8" t="s">
        <v>488</v>
      </c>
      <c r="F612" s="8" t="s">
        <v>489</v>
      </c>
      <c r="G612" s="7" t="s">
        <v>496</v>
      </c>
      <c r="H612" s="8" t="s">
        <v>491</v>
      </c>
      <c r="I612" s="7" t="s">
        <v>492</v>
      </c>
      <c r="J612" s="8">
        <v>611</v>
      </c>
    </row>
    <row r="613" spans="1:10">
      <c r="A613" s="8" t="s">
        <v>1404</v>
      </c>
      <c r="B613" s="7" t="s">
        <v>1405</v>
      </c>
      <c r="C613" s="7" t="s">
        <v>648</v>
      </c>
      <c r="D613" s="8" t="s">
        <v>494</v>
      </c>
      <c r="E613" s="8" t="s">
        <v>488</v>
      </c>
      <c r="F613" s="8" t="s">
        <v>489</v>
      </c>
      <c r="G613" s="7" t="s">
        <v>496</v>
      </c>
      <c r="H613" s="8" t="s">
        <v>491</v>
      </c>
      <c r="I613" s="7" t="s">
        <v>492</v>
      </c>
      <c r="J613" s="8">
        <v>612</v>
      </c>
    </row>
    <row r="614" spans="1:10">
      <c r="A614" s="8" t="s">
        <v>469</v>
      </c>
      <c r="B614" s="7" t="s">
        <v>1406</v>
      </c>
      <c r="C614" s="7" t="s">
        <v>1407</v>
      </c>
      <c r="D614" s="8" t="s">
        <v>487</v>
      </c>
      <c r="E614" s="8" t="s">
        <v>488</v>
      </c>
      <c r="F614" s="8" t="s">
        <v>489</v>
      </c>
      <c r="G614" s="7" t="s">
        <v>490</v>
      </c>
      <c r="H614" s="8" t="s">
        <v>491</v>
      </c>
      <c r="I614" s="7" t="s">
        <v>492</v>
      </c>
      <c r="J614" s="8">
        <v>613</v>
      </c>
    </row>
    <row r="615" spans="1:10">
      <c r="A615" s="8" t="s">
        <v>1408</v>
      </c>
      <c r="B615" s="7" t="s">
        <v>1409</v>
      </c>
      <c r="C615" s="7" t="s">
        <v>648</v>
      </c>
      <c r="D615" s="8" t="s">
        <v>494</v>
      </c>
      <c r="E615" s="8" t="s">
        <v>488</v>
      </c>
      <c r="F615" s="8" t="s">
        <v>489</v>
      </c>
      <c r="G615" s="7" t="s">
        <v>496</v>
      </c>
      <c r="H615" s="8" t="s">
        <v>491</v>
      </c>
      <c r="I615" s="7" t="s">
        <v>492</v>
      </c>
      <c r="J615" s="8">
        <v>614</v>
      </c>
    </row>
    <row r="616" spans="1:10">
      <c r="A616" s="8" t="s">
        <v>470</v>
      </c>
      <c r="B616" s="7" t="s">
        <v>1410</v>
      </c>
      <c r="C616" s="7" t="s">
        <v>648</v>
      </c>
      <c r="D616" s="8" t="s">
        <v>494</v>
      </c>
      <c r="E616" s="8" t="s">
        <v>488</v>
      </c>
      <c r="F616" s="8" t="s">
        <v>489</v>
      </c>
      <c r="G616" s="7" t="s">
        <v>496</v>
      </c>
      <c r="H616" s="8" t="s">
        <v>491</v>
      </c>
      <c r="I616" s="7" t="s">
        <v>492</v>
      </c>
      <c r="J616" s="8">
        <v>615</v>
      </c>
    </row>
    <row r="617" spans="1:10">
      <c r="A617" s="8" t="s">
        <v>471</v>
      </c>
      <c r="B617" s="7" t="s">
        <v>1411</v>
      </c>
      <c r="C617" s="7" t="s">
        <v>648</v>
      </c>
      <c r="D617" s="8" t="s">
        <v>494</v>
      </c>
      <c r="E617" s="8" t="s">
        <v>488</v>
      </c>
      <c r="F617" s="8" t="s">
        <v>489</v>
      </c>
      <c r="G617" s="7" t="s">
        <v>496</v>
      </c>
      <c r="H617" s="8" t="s">
        <v>491</v>
      </c>
      <c r="I617" s="7" t="s">
        <v>492</v>
      </c>
      <c r="J617" s="8">
        <v>616</v>
      </c>
    </row>
    <row r="618" spans="1:10">
      <c r="A618" s="8" t="s">
        <v>472</v>
      </c>
      <c r="B618" s="7" t="s">
        <v>1412</v>
      </c>
      <c r="C618" s="7" t="s">
        <v>648</v>
      </c>
      <c r="D618" s="8" t="s">
        <v>494</v>
      </c>
      <c r="E618" s="8" t="s">
        <v>488</v>
      </c>
      <c r="F618" s="8" t="s">
        <v>489</v>
      </c>
      <c r="G618" s="7" t="s">
        <v>496</v>
      </c>
      <c r="H618" s="8" t="s">
        <v>491</v>
      </c>
      <c r="I618" s="7" t="s">
        <v>492</v>
      </c>
      <c r="J618" s="8">
        <v>617</v>
      </c>
    </row>
    <row r="619" spans="1:10">
      <c r="A619" s="8" t="s">
        <v>473</v>
      </c>
      <c r="B619" s="7" t="s">
        <v>1413</v>
      </c>
      <c r="C619" s="7" t="s">
        <v>1414</v>
      </c>
      <c r="D619" s="8" t="s">
        <v>487</v>
      </c>
      <c r="E619" s="8" t="s">
        <v>488</v>
      </c>
      <c r="F619" s="8" t="s">
        <v>489</v>
      </c>
      <c r="G619" s="7" t="s">
        <v>490</v>
      </c>
      <c r="H619" s="8" t="s">
        <v>491</v>
      </c>
      <c r="I619" s="7" t="s">
        <v>492</v>
      </c>
      <c r="J619" s="8">
        <v>618</v>
      </c>
    </row>
    <row r="620" spans="1:10">
      <c r="A620" s="8" t="s">
        <v>474</v>
      </c>
      <c r="B620" s="7" t="s">
        <v>1415</v>
      </c>
      <c r="C620" s="7" t="s">
        <v>1416</v>
      </c>
      <c r="D620" s="8" t="s">
        <v>487</v>
      </c>
      <c r="E620" s="8" t="s">
        <v>488</v>
      </c>
      <c r="F620" s="8" t="s">
        <v>489</v>
      </c>
      <c r="G620" s="7" t="s">
        <v>490</v>
      </c>
      <c r="H620" s="8" t="s">
        <v>491</v>
      </c>
      <c r="I620" s="7" t="s">
        <v>492</v>
      </c>
      <c r="J620" s="8">
        <v>619</v>
      </c>
    </row>
    <row r="621" spans="1:10">
      <c r="A621" s="8" t="s">
        <v>475</v>
      </c>
      <c r="B621" s="7" t="s">
        <v>1417</v>
      </c>
      <c r="C621" s="7" t="s">
        <v>1418</v>
      </c>
      <c r="D621" s="8" t="s">
        <v>487</v>
      </c>
      <c r="E621" s="8" t="s">
        <v>488</v>
      </c>
      <c r="F621" s="8" t="s">
        <v>489</v>
      </c>
      <c r="G621" s="7" t="s">
        <v>490</v>
      </c>
      <c r="H621" s="8" t="s">
        <v>491</v>
      </c>
      <c r="I621" s="7" t="s">
        <v>492</v>
      </c>
      <c r="J621" s="8">
        <v>620</v>
      </c>
    </row>
    <row r="622" spans="1:10">
      <c r="A622" s="8" t="s">
        <v>476</v>
      </c>
      <c r="B622" s="7" t="s">
        <v>1419</v>
      </c>
      <c r="C622" s="7" t="s">
        <v>1420</v>
      </c>
      <c r="D622" s="8" t="s">
        <v>487</v>
      </c>
      <c r="E622" s="8" t="s">
        <v>488</v>
      </c>
      <c r="F622" s="8" t="s">
        <v>489</v>
      </c>
      <c r="G622" s="7" t="s">
        <v>490</v>
      </c>
      <c r="H622" s="8" t="s">
        <v>491</v>
      </c>
      <c r="I622" s="7" t="s">
        <v>492</v>
      </c>
      <c r="J622" s="8">
        <v>621</v>
      </c>
    </row>
    <row r="623" spans="1:10">
      <c r="A623" s="8" t="s">
        <v>1421</v>
      </c>
      <c r="B623" s="7" t="s">
        <v>1422</v>
      </c>
      <c r="C623" s="7" t="s">
        <v>648</v>
      </c>
      <c r="D623" s="8" t="s">
        <v>494</v>
      </c>
      <c r="E623" s="8" t="s">
        <v>488</v>
      </c>
      <c r="F623" s="8" t="s">
        <v>489</v>
      </c>
      <c r="G623" s="7" t="s">
        <v>496</v>
      </c>
      <c r="H623" s="8" t="s">
        <v>491</v>
      </c>
      <c r="I623" s="7" t="s">
        <v>492</v>
      </c>
      <c r="J623" s="8">
        <v>622</v>
      </c>
    </row>
    <row r="624" spans="1:10">
      <c r="A624" s="8" t="s">
        <v>1423</v>
      </c>
      <c r="B624" s="7" t="s">
        <v>1424</v>
      </c>
      <c r="C624" s="7" t="s">
        <v>648</v>
      </c>
      <c r="D624" s="8" t="s">
        <v>494</v>
      </c>
      <c r="E624" s="8" t="s">
        <v>488</v>
      </c>
      <c r="F624" s="8" t="s">
        <v>489</v>
      </c>
      <c r="G624" s="7" t="s">
        <v>496</v>
      </c>
      <c r="H624" s="8" t="s">
        <v>491</v>
      </c>
      <c r="I624" s="7" t="s">
        <v>492</v>
      </c>
      <c r="J624" s="8">
        <v>623</v>
      </c>
    </row>
    <row r="625" spans="1:10">
      <c r="A625" s="8" t="s">
        <v>477</v>
      </c>
      <c r="B625" s="7" t="s">
        <v>1425</v>
      </c>
      <c r="C625" s="7" t="s">
        <v>1426</v>
      </c>
      <c r="D625" s="8" t="s">
        <v>487</v>
      </c>
      <c r="E625" s="8" t="s">
        <v>488</v>
      </c>
      <c r="F625" s="8" t="s">
        <v>489</v>
      </c>
      <c r="G625" s="7" t="s">
        <v>490</v>
      </c>
      <c r="H625" s="8" t="s">
        <v>491</v>
      </c>
      <c r="I625" s="7" t="s">
        <v>492</v>
      </c>
      <c r="J625" s="8">
        <v>624</v>
      </c>
    </row>
    <row r="626" spans="1:10">
      <c r="A626" s="8" t="s">
        <v>1427</v>
      </c>
      <c r="B626" s="7" t="s">
        <v>1428</v>
      </c>
      <c r="C626" s="7" t="s">
        <v>648</v>
      </c>
      <c r="D626" s="8" t="s">
        <v>494</v>
      </c>
      <c r="E626" s="8" t="s">
        <v>488</v>
      </c>
      <c r="F626" s="8" t="s">
        <v>489</v>
      </c>
      <c r="G626" s="7" t="s">
        <v>496</v>
      </c>
      <c r="H626" s="8" t="s">
        <v>491</v>
      </c>
      <c r="I626" s="7" t="s">
        <v>492</v>
      </c>
      <c r="J626" s="8">
        <v>625</v>
      </c>
    </row>
    <row r="627" spans="1:10">
      <c r="A627" s="8" t="s">
        <v>478</v>
      </c>
      <c r="B627" s="7" t="s">
        <v>1429</v>
      </c>
      <c r="C627" s="7" t="s">
        <v>648</v>
      </c>
      <c r="D627" s="8" t="s">
        <v>494</v>
      </c>
      <c r="E627" s="8" t="s">
        <v>488</v>
      </c>
      <c r="F627" s="8" t="s">
        <v>489</v>
      </c>
      <c r="G627" s="7" t="s">
        <v>496</v>
      </c>
      <c r="H627" s="8" t="s">
        <v>491</v>
      </c>
      <c r="I627" s="7" t="s">
        <v>492</v>
      </c>
      <c r="J627" s="8">
        <v>626</v>
      </c>
    </row>
    <row r="628" spans="1:10">
      <c r="A628" s="8" t="s">
        <v>1430</v>
      </c>
      <c r="B628" s="7" t="s">
        <v>1431</v>
      </c>
      <c r="C628" s="7" t="s">
        <v>648</v>
      </c>
      <c r="D628" s="8" t="s">
        <v>494</v>
      </c>
      <c r="E628" s="8" t="s">
        <v>488</v>
      </c>
      <c r="F628" s="8" t="s">
        <v>489</v>
      </c>
      <c r="G628" s="7" t="s">
        <v>496</v>
      </c>
      <c r="H628" s="8" t="s">
        <v>491</v>
      </c>
      <c r="I628" s="7" t="s">
        <v>492</v>
      </c>
      <c r="J628" s="8">
        <v>627</v>
      </c>
    </row>
    <row r="629" spans="1:10">
      <c r="A629" s="8" t="s">
        <v>479</v>
      </c>
      <c r="B629" s="7" t="s">
        <v>1432</v>
      </c>
      <c r="C629" s="7" t="s">
        <v>648</v>
      </c>
      <c r="D629" s="8" t="s">
        <v>494</v>
      </c>
      <c r="E629" s="8" t="s">
        <v>488</v>
      </c>
      <c r="F629" s="8" t="s">
        <v>489</v>
      </c>
      <c r="G629" s="7" t="s">
        <v>496</v>
      </c>
      <c r="H629" s="8" t="s">
        <v>491</v>
      </c>
      <c r="I629" s="7" t="s">
        <v>492</v>
      </c>
      <c r="J629" s="8">
        <v>628</v>
      </c>
    </row>
    <row r="630" spans="1:10">
      <c r="A630" s="8" t="s">
        <v>480</v>
      </c>
      <c r="B630" s="7" t="s">
        <v>1433</v>
      </c>
      <c r="C630" s="7" t="s">
        <v>648</v>
      </c>
      <c r="D630" s="8" t="s">
        <v>494</v>
      </c>
      <c r="E630" s="8" t="s">
        <v>488</v>
      </c>
      <c r="F630" s="8" t="s">
        <v>489</v>
      </c>
      <c r="G630" s="7" t="s">
        <v>496</v>
      </c>
      <c r="H630" s="8" t="s">
        <v>491</v>
      </c>
      <c r="I630" s="7" t="s">
        <v>492</v>
      </c>
      <c r="J630" s="8">
        <v>629</v>
      </c>
    </row>
    <row r="631" spans="1:10">
      <c r="A631" s="8" t="s">
        <v>481</v>
      </c>
      <c r="B631" s="7" t="s">
        <v>1434</v>
      </c>
      <c r="C631" s="7" t="s">
        <v>648</v>
      </c>
      <c r="D631" s="8" t="s">
        <v>494</v>
      </c>
      <c r="E631" s="8" t="s">
        <v>488</v>
      </c>
      <c r="F631" s="8" t="s">
        <v>489</v>
      </c>
      <c r="G631" s="7" t="s">
        <v>496</v>
      </c>
      <c r="H631" s="8" t="s">
        <v>491</v>
      </c>
      <c r="I631" s="7" t="s">
        <v>492</v>
      </c>
      <c r="J631" s="8">
        <v>630</v>
      </c>
    </row>
    <row r="632" spans="1:10">
      <c r="A632" s="8" t="s">
        <v>482</v>
      </c>
      <c r="B632" s="7" t="s">
        <v>1435</v>
      </c>
      <c r="C632" s="7" t="s">
        <v>648</v>
      </c>
      <c r="D632" s="8" t="s">
        <v>494</v>
      </c>
      <c r="E632" s="8" t="s">
        <v>488</v>
      </c>
      <c r="F632" s="8" t="s">
        <v>489</v>
      </c>
      <c r="G632" s="7" t="s">
        <v>496</v>
      </c>
      <c r="H632" s="8" t="s">
        <v>491</v>
      </c>
      <c r="I632" s="7" t="s">
        <v>492</v>
      </c>
      <c r="J632" s="8">
        <v>631</v>
      </c>
    </row>
    <row r="633" spans="1:10">
      <c r="A633" s="8" t="s">
        <v>483</v>
      </c>
      <c r="B633" s="7" t="s">
        <v>1436</v>
      </c>
      <c r="C633" s="7" t="s">
        <v>648</v>
      </c>
      <c r="D633" s="8" t="s">
        <v>494</v>
      </c>
      <c r="E633" s="8" t="s">
        <v>488</v>
      </c>
      <c r="F633" s="8" t="s">
        <v>489</v>
      </c>
      <c r="G633" s="7" t="s">
        <v>496</v>
      </c>
      <c r="H633" s="8" t="s">
        <v>491</v>
      </c>
      <c r="I633" s="7" t="s">
        <v>492</v>
      </c>
      <c r="J633" s="8">
        <v>632</v>
      </c>
    </row>
  </sheetData>
  <sheetProtection algorithmName="SHA-512" hashValue="VNtWi6kaw8wqIoHuopedzyd3y7q+CTWfjmyWRN3GCre1KbP3IL2P02cgSw0NIukxGaoMrPxbBfEhFefr91kiiA==" saltValue="hqJcnCE2XxQTyAeLdt9rAQ==" spinCount="100000" sheet="1" objects="1" scenarios="1" sort="0" autoFilter="0"/>
  <autoFilter ref="A1:J633" xr:uid="{00000000-0009-0000-0000-000002000000}"/>
  <conditionalFormatting sqref="D1:D473 D475:D1048576">
    <cfRule type="cellIs" dxfId="5" priority="6" operator="equal">
      <formula>"CRWG Red Criticality Control"</formula>
    </cfRule>
    <cfRule type="cellIs" dxfId="4" priority="7" operator="equal">
      <formula>"CRWG Yellow Criticality Control"</formula>
    </cfRule>
    <cfRule type="cellIs" dxfId="3" priority="9" operator="equal">
      <formula>"CRWG White Criticality Control"</formula>
    </cfRule>
  </conditionalFormatting>
  <conditionalFormatting sqref="E1:E473 E475:E1048576">
    <cfRule type="cellIs" priority="5" operator="equal">
      <formula>"CRWG Yellow Criticality Control"</formula>
    </cfRule>
  </conditionalFormatting>
  <conditionalFormatting sqref="D474">
    <cfRule type="cellIs" dxfId="2" priority="2" operator="equal">
      <formula>"CRWG Red Criticality Control"</formula>
    </cfRule>
    <cfRule type="cellIs" dxfId="1" priority="3" operator="equal">
      <formula>"CRWG Yellow Criticality Control"</formula>
    </cfRule>
    <cfRule type="cellIs" dxfId="0" priority="4" operator="equal">
      <formula>"CRWG White Criticality Control"</formula>
    </cfRule>
  </conditionalFormatting>
  <conditionalFormatting sqref="E474">
    <cfRule type="cellIs" priority="1" operator="equal">
      <formula>"CRWG Yellow Criticality Control"</formula>
    </cfRule>
  </conditionalFormatting>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0F49752AC10904F89A34388DFED89FC" ma:contentTypeVersion="19" ma:contentTypeDescription="Create a new document." ma:contentTypeScope="" ma:versionID="04dfeef592f498ede7090b428c3976b1">
  <xsd:schema xmlns:xsd="http://www.w3.org/2001/XMLSchema" xmlns:xs="http://www.w3.org/2001/XMLSchema" xmlns:p="http://schemas.microsoft.com/office/2006/metadata/properties" xmlns:ns2="86cfb58d-f8fa-40ba-876d-e933016bd159" xmlns:ns3="5a049f82-c6d5-4b5f-afa3-06f7db0bc8be" targetNamespace="http://schemas.microsoft.com/office/2006/metadata/properties" ma:root="true" ma:fieldsID="5385bf93ba0f548b0b9d8d9ed85ab74c" ns2:_="" ns3:_="">
    <xsd:import namespace="86cfb58d-f8fa-40ba-876d-e933016bd159"/>
    <xsd:import namespace="5a049f82-c6d5-4b5f-afa3-06f7db0bc8be"/>
    <xsd:element name="properties">
      <xsd:complexType>
        <xsd:sequence>
          <xsd:element name="documentManagement">
            <xsd:complexType>
              <xsd:all>
                <xsd:element ref="ns2:RMF_x0020_Step" minOccurs="0"/>
                <xsd:element ref="ns2:Template_x0020_Description" minOccurs="0"/>
                <xsd:element ref="ns2:Update_x0020_Notes" minOccurs="0"/>
                <xsd:element ref="ns2:Publish" minOccurs="0"/>
                <xsd:element ref="ns2:Archive" minOccurs="0"/>
                <xsd:element ref="ns2:Template_x0020_Type" minOccurs="0"/>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GenerationTime" minOccurs="0"/>
                <xsd:element ref="ns2:MediaServiceEventHashCode" minOccurs="0"/>
                <xsd:element ref="ns2:MediaServiceSearchPropertie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cfb58d-f8fa-40ba-876d-e933016bd159" elementFormDefault="qualified">
    <xsd:import namespace="http://schemas.microsoft.com/office/2006/documentManagement/types"/>
    <xsd:import namespace="http://schemas.microsoft.com/office/infopath/2007/PartnerControls"/>
    <xsd:element name="RMF_x0020_Step" ma:index="1" nillable="true" ma:displayName="RMF Step" ma:default="Step 0 - Prepare" ma:format="Dropdown" ma:internalName="RMF_x0020_Step">
      <xsd:simpleType>
        <xsd:restriction base="dms:Choice">
          <xsd:enumeration value="Step 0 - Prepare"/>
          <xsd:enumeration value="Step 1 - Categorize"/>
          <xsd:enumeration value="Step 2 - Select"/>
          <xsd:enumeration value="Step 3 - Implement"/>
          <xsd:enumeration value="Step 4 - Assess"/>
          <xsd:enumeration value="Step 5 - Authorize"/>
          <xsd:enumeration value="Step 6 - Monitor"/>
        </xsd:restriction>
      </xsd:simpleType>
    </xsd:element>
    <xsd:element name="Template_x0020_Description" ma:index="2" nillable="true" ma:displayName="Description" ma:internalName="Template_x0020_Description">
      <xsd:simpleType>
        <xsd:restriction base="dms:Note"/>
      </xsd:simpleType>
    </xsd:element>
    <xsd:element name="Update_x0020_Notes" ma:index="3" nillable="true" ma:displayName="Update Notes" ma:internalName="Update_x0020_Notes">
      <xsd:simpleType>
        <xsd:restriction base="dms:Note"/>
      </xsd:simpleType>
    </xsd:element>
    <xsd:element name="Publish" ma:index="4" nillable="true" ma:displayName="Publish" ma:default="In Review" ma:format="Dropdown" ma:internalName="Publish">
      <xsd:simpleType>
        <xsd:restriction base="dms:Choice">
          <xsd:enumeration value="In Review"/>
          <xsd:enumeration value="Published"/>
        </xsd:restriction>
      </xsd:simpleType>
    </xsd:element>
    <xsd:element name="Archive" ma:index="5" nillable="true" ma:displayName="Archive" ma:default="No" ma:format="Dropdown" ma:internalName="Archive">
      <xsd:simpleType>
        <xsd:restriction base="dms:Choice">
          <xsd:enumeration value="No"/>
          <xsd:enumeration value="Yes"/>
        </xsd:restriction>
      </xsd:simpleType>
    </xsd:element>
    <xsd:element name="Template_x0020_Type" ma:index="13" nillable="true" ma:displayName="Template Type" ma:default="Not Yet Selected" ma:description="Select the type of template the document falls under." ma:format="Dropdown" ma:internalName="Template_x0020_Type">
      <xsd:simpleType>
        <xsd:restriction base="dms:Choice">
          <xsd:enumeration value="Not Yet Selected"/>
          <xsd:enumeration value="Administrative"/>
          <xsd:enumeration value="Agreements"/>
          <xsd:enumeration value="Initial Artifacts"/>
          <xsd:enumeration value="Bulk Upload"/>
          <xsd:enumeration value="Categorization"/>
          <xsd:enumeration value="Forms"/>
          <xsd:enumeration value="POA&amp;M"/>
          <xsd:enumeration value="Privacy"/>
          <xsd:enumeration value="Security Plans"/>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c871f771-ab78-46b7-810c-7667649bb902" ma:termSetId="09814cd3-568e-fe90-9814-8d621ff8fb84" ma:anchorId="fba54fb3-c3e1-fe81-a776-ca4b69148c4d" ma:open="true" ma:isKeyword="false">
      <xsd:complexType>
        <xsd:sequence>
          <xsd:element ref="pc:Terms" minOccurs="0" maxOccurs="1"/>
        </xsd:sequence>
      </xsd:complex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a049f82-c6d5-4b5f-afa3-06f7db0bc8be"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0b5ae7e-c45b-4805-a3cf-3889f8ae647f}" ma:internalName="TaxCatchAll" ma:showField="CatchAllData" ma:web="5a049f82-c6d5-4b5f-afa3-06f7db0bc8be">
      <xsd:complexType>
        <xsd:complexContent>
          <xsd:extension base="dms:MultiChoiceLookup">
            <xsd:sequence>
              <xsd:element name="Value" type="dms:Lookup" maxOccurs="unbounded" minOccurs="0" nillable="true"/>
            </xsd:sequence>
          </xsd:extension>
        </xsd:complexContent>
      </xsd:complexType>
    </xsd:element>
    <xsd:element name="SharedWithUsers" ma:index="2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pdate_x0020_Notes xmlns="86cfb58d-f8fa-40ba-876d-e933016bd159" xsi:nil="true"/>
    <Archive xmlns="86cfb58d-f8fa-40ba-876d-e933016bd159">No</Archive>
    <Template_x0020_Description xmlns="86cfb58d-f8fa-40ba-876d-e933016bd159">An System-Level Continuous Monitoring Plan identifies processes that will be leveraged for continuous monitoring of security control compliance/non-compliance and areas where additional tools or processes are needed in support of Risk Management Framework Step 6</Template_x0020_Description>
    <Template_x0020_Type xmlns="86cfb58d-f8fa-40ba-876d-e933016bd159">Security Plans</Template_x0020_Type>
    <Publish xmlns="86cfb58d-f8fa-40ba-876d-e933016bd159">Published</Publish>
    <RMF_x0020_Step xmlns="86cfb58d-f8fa-40ba-876d-e933016bd159">Step 3 - Implement</RMF_x0020_Step>
    <TaxCatchAll xmlns="5a049f82-c6d5-4b5f-afa3-06f7db0bc8be" xsi:nil="true"/>
    <lcf76f155ced4ddcb4097134ff3c332f xmlns="86cfb58d-f8fa-40ba-876d-e933016bd15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5D50F51-4BD5-4467-BFB9-67487973BEA7}"/>
</file>

<file path=customXml/itemProps2.xml><?xml version="1.0" encoding="utf-8"?>
<ds:datastoreItem xmlns:ds="http://schemas.openxmlformats.org/officeDocument/2006/customXml" ds:itemID="{385F60B6-4BA2-473C-8963-7D0046247A9F}"/>
</file>

<file path=customXml/itemProps3.xml><?xml version="1.0" encoding="utf-8"?>
<ds:datastoreItem xmlns:ds="http://schemas.openxmlformats.org/officeDocument/2006/customXml" ds:itemID="{F2B61DBB-484B-4CCC-A434-07D71243494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Damte-Dapaah, Exodus O CTR DCSA DCSA (USA)</cp:lastModifiedBy>
  <cp:revision/>
  <dcterms:created xsi:type="dcterms:W3CDTF">2020-03-02T13:23:54Z</dcterms:created>
  <dcterms:modified xsi:type="dcterms:W3CDTF">2025-01-30T16:18:48Z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flowChangePath">
    <vt:lpwstr>596e6ad8-dbdd-47fc-a485-2472943fed1a,6;596e6ad8-dbdd-47fc-a485-2472943fed1a,9;596e6ad8-dbdd-47fc-a485-2472943fed1a,11;596e6ad8-dbdd-47fc-a485-2472943fed1a,14;596e6ad8-dbdd-47fc-a485-2472943fed1a,3;596e6ad8-dbdd-47fc-a485-2472943fed1a,5;596e6ad8-dbdd-47fc-a485-2472943fed1a,7;</vt:lpwstr>
  </property>
  <property fmtid="{D5CDD505-2E9C-101B-9397-08002B2CF9AE}" pid="3" name="ContentTypeId">
    <vt:lpwstr>0x01010050F49752AC10904F89A34388DFED89FC</vt:lpwstr>
  </property>
  <property fmtid="{D5CDD505-2E9C-101B-9397-08002B2CF9AE}" pid="4" name="Order">
    <vt:r8>13100</vt:r8>
  </property>
  <property fmtid="{D5CDD505-2E9C-101B-9397-08002B2CF9AE}" pid="5" name="MediaServiceImageTags">
    <vt:lpwstr/>
  </property>
</Properties>
</file>