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https://parsonsus365-my.sharepoint.us/personal/joanelle_baptiste_parsons_us/Documents/Desktop/Def_Cyber_Ops/Dynamis/Categorization/"/>
    </mc:Choice>
  </mc:AlternateContent>
  <xr:revisionPtr revIDLastSave="32" documentId="11_8B2F08A60ACBCCB093EEAC9C967EEC5C137CCEF5" xr6:coauthVersionLast="47" xr6:coauthVersionMax="47" xr10:uidLastSave="{E2350705-B49B-43B4-87B2-5226B2C55A4C}"/>
  <bookViews>
    <workbookView xWindow="28680" yWindow="-120" windowWidth="29040" windowHeight="15720" activeTab="1" xr2:uid="{00000000-000D-0000-FFFF-FFFF00000000}"/>
  </bookViews>
  <sheets>
    <sheet name="Step 1 - Instructions" sheetId="3" r:id="rId1"/>
    <sheet name="Mission Types" sheetId="1" r:id="rId2"/>
  </sheets>
  <definedNames>
    <definedName name="_xlnm._FilterDatabase" localSheetId="1" hidden="1">'Mission Types'!$A$4:$L$122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6" i="1" l="1"/>
  <c r="F97" i="1"/>
  <c r="E97" i="1"/>
  <c r="D97" i="1"/>
  <c r="E92" i="1"/>
  <c r="E89" i="1"/>
  <c r="E86" i="1"/>
  <c r="F80" i="1"/>
  <c r="E80" i="1"/>
  <c r="D80" i="1"/>
  <c r="F71" i="1"/>
  <c r="E71" i="1"/>
  <c r="D71" i="1"/>
  <c r="F65" i="1"/>
  <c r="E65" i="1"/>
  <c r="D65" i="1"/>
  <c r="E59" i="1"/>
  <c r="F45" i="1"/>
  <c r="E45" i="1"/>
  <c r="F40" i="1"/>
  <c r="E40" i="1"/>
  <c r="D35" i="1"/>
  <c r="E31" i="1"/>
  <c r="D31" i="1"/>
  <c r="F26" i="1"/>
  <c r="E26" i="1"/>
  <c r="D26" i="1"/>
  <c r="F17" i="1"/>
  <c r="E17" i="1"/>
  <c r="D17" i="1"/>
  <c r="F12" i="1"/>
  <c r="E12" i="1"/>
  <c r="D12" i="1"/>
  <c r="F6" i="1"/>
  <c r="E6" i="1"/>
  <c r="D6" i="1"/>
  <c r="F1" i="1"/>
  <c r="E1" i="1"/>
  <c r="D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Griffin CTR Cody R.</author>
  </authors>
  <commentList>
    <comment ref="A5" authorId="0" shapeId="0" xr:uid="{00000000-0006-0000-0100-000001000000}">
      <text>
        <r>
          <rPr>
            <sz val="9"/>
            <color indexed="81"/>
            <rFont val="Tahoma"/>
            <family val="2"/>
          </rPr>
          <t>Defense and national security operations protect and advance U.S. National Security interests and, if deterrence fails, decisively defeat threats to those interests. Defense and national security activities include military operations, border protection, and intelligence gathering.</t>
        </r>
      </text>
    </comment>
    <comment ref="A6" authorId="0" shapeId="0" xr:uid="{00000000-0006-0000-0100-000002000000}">
      <text>
        <r>
          <rPr>
            <sz val="10"/>
            <color indexed="81"/>
            <rFont val="Tahoma"/>
            <family val="2"/>
          </rPr>
          <t>Homeland Security involves protecting the nation against terrorist attacks. This includes analyzing threats and intelligence, guarding borders and airports, protecting critical infrastructure, and coordinating the response emergencies. The Homeland Security Line of Business is defined by the President’s Strategy on Homeland Security. Note: Some of the Critical Mission Areas from the President’s strategy are included in other information classes and categories.</t>
        </r>
      </text>
    </comment>
    <comment ref="B7" authorId="0" shapeId="0" xr:uid="{00000000-0006-0000-0100-000003000000}">
      <text>
        <r>
          <rPr>
            <sz val="9"/>
            <color indexed="81"/>
            <rFont val="Tahoma"/>
            <family val="2"/>
          </rPr>
          <t>Border and Transportation Security includes facilitating or deterring entry and exit of people, goods, and conveyances at and between U.S. ports of entry, as well as ensuring the security of transportation and infrastructure networks, facilities, vehicles, and personnel within the United States. Border control involves enforcing the laws regulating the admission of foreign-born persons (i.e., aliens) to the United States. This includes patrolling and monitoring borders and deportation of illegal aliens. Some border control information is also associated with other mission information types (e.g., criminal apprehension, and criminal investigation and surveillance information). In such cases, the impact levels of the associated mission information may determine impact levels associated with border control information. Some aspects of ensuring security of transportation and infrastructure networks, facilities, vehicles, and personnel within the United States are also covered under the information types associated with the transportation mission. In some cases the border control information may be classified. Any classified information is treated under separate rules established for national security information.</t>
        </r>
      </text>
    </comment>
    <comment ref="B8" authorId="0" shapeId="0" xr:uid="{00000000-0006-0000-0100-000004000000}">
      <text>
        <r>
          <rPr>
            <sz val="9"/>
            <color indexed="81"/>
            <rFont val="Tahoma"/>
            <family val="2"/>
          </rPr>
          <t xml:space="preserve">Key Asset and Critical Infrastructure Protection involves assessing key asset and critical infrastructure vulnerabilities and taking direct action to mitigate vulnerabilities, enhance security, and ensure continuity and necessary redundancy in government operations and personnel. The Critical Infrastructure Information Protection Act of 2002 (6 U.S.C. 131-134) places specific controls on the dissemination of critical infrastructure information (see Volume I, 3.5.2.3). Under the provisions of Executive Order 13292, some anti-terrorism information is subject to security classification. National security information is outside the scope of this guideline. </t>
        </r>
      </text>
    </comment>
    <comment ref="B9" authorId="0" shapeId="0" xr:uid="{00000000-0006-0000-0100-000005000000}">
      <text>
        <r>
          <rPr>
            <sz val="10"/>
            <color indexed="81"/>
            <rFont val="Tahoma"/>
            <family val="2"/>
          </rPr>
          <t>Catastrophic Defense involves the development of technological countermeasures (chemical, biological, radiological and nuclear [CBRN]) to terrorist threats, conducting laboratory testing on new and promising devices, and conducting basic and applied science that can lead to the development of countermeasures. Under the provisions of Executive Order 13292, some anti-terrorism information is subject to security classification. National security information is outside the scope of this guideline.</t>
        </r>
      </text>
    </comment>
    <comment ref="B10" authorId="0" shapeId="0" xr:uid="{00000000-0006-0000-0100-000006000000}">
      <text>
        <r>
          <rPr>
            <sz val="9"/>
            <color indexed="81"/>
            <rFont val="Tahoma"/>
            <family val="2"/>
          </rPr>
          <t>Executive Functions involve the Executive Office of the President (EOP).</t>
        </r>
      </text>
    </comment>
    <comment ref="A11" authorId="0" shapeId="0" xr:uid="{00000000-0006-0000-0100-000007000000}">
      <text>
        <r>
          <rPr>
            <sz val="9"/>
            <color indexed="81"/>
            <rFont val="Tahoma"/>
            <family val="2"/>
          </rPr>
          <t>Intelligence operations involve the development and management of accurate, comprehensive, and timely foreign intelligence on national security topics. Information systems, the function, operation, or use of, which involve intelligence activities or are critical to the direct fulfillment of intelligence missions are defined under Public Law as national security systems. National security information and national security systems are outside the scope of this guideline. Security objectives and impact levels associated with national security systems are determined by the head of each agency exercising control of the system.
Intelligence operations are subdivided into the following sub-elements:
• Intelligence Planning Information Type – Intelligence Planning involves developing strategies focused on intelligence requirements, prioritizing these requirements, and managing these requirements (adding, deleting and modifying).
• Intelligence Collection Information Type – Intelligence Collection involves acquiring raw data and provisioning the data to processing elements.
• Intelligence Analysis and Production Information Type – Intelligence Analysis and Production consists of integrating, evaluating, and/or interpreting information from single or multiple sources into intelligence satisfying consumer needs and preparing intelligence products in support of known or anticipated consumers.
• Intelligence Dissemination Information Type – Intelligence Dissemination consists of delivering the intelligence products to consumers.
• Intelligence Processing Information Type – Intelligence processing involves converting collected raw data into forms suitable for analysis.
Some agencies are charged with gathering domestic intelligence. Much domestic intelligence information is classified. Other domestic intelligence information may not be classified (e.g., some information obtained from state and local government sources). All classified information is treated under separate rules established for national security information.</t>
        </r>
      </text>
    </comment>
    <comment ref="A12" authorId="0" shapeId="0" xr:uid="{00000000-0006-0000-0100-000008000000}">
      <text>
        <r>
          <rPr>
            <sz val="9"/>
            <color indexed="81"/>
            <rFont val="Tahoma"/>
            <family val="2"/>
          </rPr>
          <t>Disaster management involves the activities required to prepare for, mitigate, respond to, and repair the effects of all physical and humanitarian disasters whether natural or man-made. Compromise of much information associated with any of the missions within the disaster management mission area may seriously impact the security of a broad range of critical infrastructures and key national assets.</t>
        </r>
      </text>
    </comment>
    <comment ref="B13" authorId="0" shapeId="0" xr:uid="{00000000-0006-0000-0100-000009000000}">
      <text>
        <r>
          <rPr>
            <sz val="9"/>
            <color indexed="81"/>
            <rFont val="Tahoma"/>
            <family val="2"/>
          </rPr>
          <t>Disaster monitoring and prediction involves the actions taken to predict when and where a disaster may take place and communicate that information to affected parties. [Some disaster management information occurs in humanitarian aid systems under the International Affairs and Commerce line of business (e.g., State Department disaster preparedness and planning).]</t>
        </r>
      </text>
    </comment>
    <comment ref="B14" authorId="0" shapeId="0" xr:uid="{00000000-0006-0000-0100-00000A000000}">
      <text>
        <r>
          <rPr>
            <sz val="9"/>
            <color indexed="81"/>
            <rFont val="Tahoma"/>
            <family val="2"/>
          </rPr>
          <t>Disaster preparedness and planning involves the development of response programs to be used in case of a disaster. This involves the development of emergency management programs and activities as well as staffing and equipping regional response centers</t>
        </r>
      </text>
    </comment>
    <comment ref="B15" authorId="0" shapeId="0" xr:uid="{00000000-0006-0000-0100-00000B000000}">
      <text>
        <r>
          <rPr>
            <sz val="9"/>
            <color indexed="81"/>
            <rFont val="Tahoma"/>
            <family val="2"/>
          </rPr>
          <t>Disaster repair and restoration involves the cleanup and restoration activities that take place after a disaster. This involves the cleanup and rebuilding of any homes, buildings, roads, environmental resources, or infrastructure that may be damaged due to a disaster.</t>
        </r>
      </text>
    </comment>
    <comment ref="B16" authorId="0" shapeId="0" xr:uid="{00000000-0006-0000-0100-00000C000000}">
      <text>
        <r>
          <rPr>
            <sz val="9"/>
            <color indexed="81"/>
            <rFont val="Tahoma"/>
            <family val="2"/>
          </rPr>
          <t>Emergency Response involves the immediate actions taken to respond to a disaster (e.g., wildfire management). These actions include providing mobile telecommunications, operational support, power generation, search and rescue, and medical life saving actions. Impacts to emergency response information and the information systems that process and store emergency response information could result in negative impacts on cross-jurisdictional coordination within the critical emergency services infrastructure and the general effectiveness of organizations tasked with emergency response missions.</t>
        </r>
      </text>
    </comment>
    <comment ref="A17" authorId="0" shapeId="0" xr:uid="{00000000-0006-0000-0100-00000D000000}">
      <text>
        <r>
          <rPr>
            <sz val="9"/>
            <color indexed="81"/>
            <rFont val="Tahoma"/>
            <family val="2"/>
          </rPr>
          <t>International Affairs and Commerce involves the non-military activities that promote U.S. policies and interests beyond our national borders, including the negotiation of conflict resolution, treaties, and agreements. In addition, this function includes: foreign economic development and social/political development; diplomatic relations with other Nations; humanitarian, technical and other developmental assistance to key Nations; and global trade. Information that is protected by procedures established and authorized under criteria specified in an Executive Order or an Act of Congress to be kept classified in the interests of foreign policy are national security related35. Security objectives and impact levels associated with such national security information are determined by the head of each agency exercising control of the system and are outside the scope of this guideline.</t>
        </r>
      </text>
    </comment>
    <comment ref="B18" authorId="0" shapeId="0" xr:uid="{00000000-0006-0000-0100-00000E000000}">
      <text>
        <r>
          <rPr>
            <sz val="9"/>
            <color indexed="81"/>
            <rFont val="Tahoma"/>
            <family val="2"/>
          </rPr>
          <t>Foreign Affairs refers to those activities associated with the implementation of foreign policy and diplomatic relations, including the operation of embassies, consulates, and other posts; ongoing membership in international organizations; the development of cooperative frameworks to improve relations with other Nations; and the development of treaties and agreements. Conflict resolution involves the mitigation and prevention of disputes stemming from inter and intra-state disagreements.
Some conflict resolution information is subject to security classification. This classified information is treated under separate rules established for national security information and is outside the scope of this guideline.
Treaties and agreements involves the negotiation and implementation of accords with foreign governments and organizations in efforts related to arms reduction and regulation, trade matters, criminal investigations and extraditions, and other various types of foreign policy. When treaties and agreements information affects intelligence gathering and/or law enforcement cooperation, impacts to such information and the information systems that process and store the information could result in negative impacts on protection of a broad range of critical infrastructures and key national assets.
Some information associated with treaties and agreements is subject to security classification. This classified information is treated under separate rules established for national security information.</t>
        </r>
      </text>
    </comment>
    <comment ref="B19" authorId="0" shapeId="0" xr:uid="{00000000-0006-0000-0100-00000F000000}">
      <text>
        <r>
          <rPr>
            <sz val="9"/>
            <color indexed="81"/>
            <rFont val="Tahoma"/>
            <family val="2"/>
          </rPr>
          <t>International Development and Humanitarian Aid refers to those activities related to the implementation of development and humanitarian assistance programs to developing and transitioning countries throughout the world. Development and aid may include technical assistance (the transfer of knowledge and expertise), and the delivery of equipment, commodities and humanitarian assistance including food aid. In some cases, international development and humanitarian aid information is subject to security classification. This classified information is treated under separate rules established for national security information.</t>
        </r>
      </text>
    </comment>
    <comment ref="B20" authorId="0" shapeId="0" xr:uid="{00000000-0006-0000-0100-000010000000}">
      <text>
        <r>
          <rPr>
            <sz val="9"/>
            <color indexed="81"/>
            <rFont val="Tahoma"/>
            <family val="2"/>
          </rPr>
          <t>Global Trade refers to those activities the Federal Government undertakes to advance worldwide economic prosperity by increasing trade through the opening of overseas markets and freeing the flow of goods, services, and capital. Trade encompasses all activities associated with the importing and exporting of goods to and from the United States. This includes goods declaration, fee payments, and delivery/shipment authorization. Export promotion involves the development of opportunities for the expansion of U.S. exports. Merchandise inspection includes the verification of goods and merchandise as well as the surveillance, interdiction, and investigation of imports/exports in violation of various Customs laws. Tariffs/quotas monitoring refers to the monitoring and modification of the schedules of items imported and exported to and from the United States.</t>
        </r>
      </text>
    </comment>
    <comment ref="A21" authorId="0" shapeId="0" xr:uid="{00000000-0006-0000-0100-000011000000}">
      <text>
        <r>
          <rPr>
            <sz val="9"/>
            <color indexed="81"/>
            <rFont val="Tahoma"/>
            <family val="2"/>
          </rPr>
          <t>The Natural Resources mission area includes all activities involved in conservation planning, land management, and national park/monument tourism that affect the nation's natural and recreational resources, both private and federal. Note: Energy-related natural resources are covered in the Energy Management mission area.</t>
        </r>
      </text>
    </comment>
    <comment ref="B22" authorId="0" shapeId="0" xr:uid="{00000000-0006-0000-0100-000012000000}">
      <text>
        <r>
          <rPr>
            <sz val="9"/>
            <color indexed="81"/>
            <rFont val="Tahoma"/>
            <family val="2"/>
          </rPr>
          <t xml:space="preserve">Water Resource Management includes all activities that promote the effective use and management of the nation’s water resources. Notes: Environmental protection of water resources is included in the Environmental Management Line of Business. Hydroelectric energy production is included under the Energy Production mission.
</t>
        </r>
      </text>
    </comment>
    <comment ref="B23" authorId="0" shapeId="0" xr:uid="{00000000-0006-0000-0100-000013000000}">
      <text>
        <r>
          <rPr>
            <sz val="9"/>
            <color indexed="81"/>
            <rFont val="Tahoma"/>
            <family val="2"/>
          </rPr>
          <t>Conservation, Marine and Land Management involves the responsibilities of surveying, maintaining, and operating public lands and monuments, as well as activities devoted to ensuring the preservation of land, water, wildlife, and natural resources, both domestically and internationally. It also includes the sustainable stewardship of natural resources on federally owned/controlled lands for commercial use (mineral mining, grazing, forestry, fishing, etc.).</t>
        </r>
      </text>
    </comment>
    <comment ref="B24" authorId="0" shapeId="0" xr:uid="{00000000-0006-0000-0100-000014000000}">
      <text>
        <r>
          <rPr>
            <sz val="9"/>
            <color indexed="81"/>
            <rFont val="Tahoma"/>
            <family val="2"/>
          </rPr>
          <t>Recreational Resource Management and Tourism involves the management of national parks, monuments, and tourist attractions as well as visitor centers, campsites, and park service facilities. Impacts to some information and information systems associated with tourism management may affect the security of some key national assets (e.g., some national monuments and icons).</t>
        </r>
      </text>
    </comment>
    <comment ref="B25" authorId="0" shapeId="0" xr:uid="{00000000-0006-0000-0100-000015000000}">
      <text>
        <r>
          <rPr>
            <sz val="9"/>
            <color indexed="81"/>
            <rFont val="Tahoma"/>
            <family val="2"/>
          </rPr>
          <t>Agricultural Innovation and Services involves the creation and dissemination of better methods for farming and the development of better and healthier crops.</t>
        </r>
      </text>
    </comment>
    <comment ref="A26" authorId="0" shapeId="0" xr:uid="{00000000-0006-0000-0100-000016000000}">
      <text>
        <r>
          <rPr>
            <sz val="9"/>
            <color indexed="81"/>
            <rFont val="Tahoma"/>
            <family val="2"/>
          </rPr>
          <t>Energy refers to all actions performed by the government to ensure the procurement and management of energy resources, including the production, sale and distribution of energy, as well as the management of spent fuel resources. Energy management includes all types of mass-produced energy (e.g., hydroelectric, nuclear, wind, solar, or fossil fuels). Also included in this mission area is the oversight of private industry.</t>
        </r>
      </text>
    </comment>
    <comment ref="B27" authorId="0" shapeId="0" xr:uid="{00000000-0006-0000-0100-000017000000}">
      <text>
        <r>
          <rPr>
            <sz val="9"/>
            <color indexed="81"/>
            <rFont val="Tahoma"/>
            <family val="2"/>
          </rPr>
          <t>Energy Supply involves all activities devoted to ensuring the availability of an adequate supply of energy for the United States and its citizens. Energy Supply includes the sale and transportation of commodity fuels such as coal, oil, natural gas, and radioactive materials. This function also includes distributing and transferring power, electric generation, and/or storage located near the point of use. Impacts to some information and information systems associated with energy supply may affect the security of critical infrastructures, particularly in the areas of energy transmission and transport.</t>
        </r>
      </text>
    </comment>
    <comment ref="B28" authorId="0" shapeId="0" xr:uid="{00000000-0006-0000-0100-000018000000}">
      <text>
        <r>
          <rPr>
            <sz val="9"/>
            <color indexed="81"/>
            <rFont val="Tahoma"/>
            <family val="2"/>
          </rPr>
          <t>Energy Conservation and Preparedness involves protection of energy resources from over-consumption to ensure the continued availability of fuel resources and to promote environmental protection. This mission also includes measures taken to ensure the provision of energy in the event of an emergency.</t>
        </r>
      </text>
    </comment>
    <comment ref="B29" authorId="0" shapeId="0" xr:uid="{00000000-0006-0000-0100-000019000000}">
      <text>
        <r>
          <rPr>
            <sz val="9"/>
            <color indexed="81"/>
            <rFont val="Tahoma"/>
            <family val="2"/>
          </rPr>
          <t>Energy resource management involves the management of energy producing resources including facilities, land, and offshore resources.</t>
        </r>
      </text>
    </comment>
    <comment ref="B30" authorId="0" shapeId="0" xr:uid="{00000000-0006-0000-0100-00001A000000}">
      <text>
        <r>
          <rPr>
            <sz val="9"/>
            <color indexed="81"/>
            <rFont val="Tahoma"/>
            <family val="2"/>
          </rPr>
          <t>Energy production involves the transformation of raw energy resources into useable, deliverable energy. Impacts to some information and information systems associated with energy production may affect the security of the critical energy infrastructure.</t>
        </r>
      </text>
    </comment>
    <comment ref="A31" authorId="0" shapeId="0" xr:uid="{00000000-0006-0000-0100-00001B000000}">
      <text>
        <r>
          <rPr>
            <sz val="9"/>
            <color indexed="81"/>
            <rFont val="Tahoma"/>
            <family val="2"/>
          </rPr>
          <t xml:space="preserve">Environmental management includes all functions required to determine proper environmental standards and ensure their compliance.
</t>
        </r>
      </text>
    </comment>
    <comment ref="B32" authorId="0" shapeId="0" xr:uid="{00000000-0006-0000-0100-00001C000000}">
      <text>
        <r>
          <rPr>
            <sz val="9"/>
            <color indexed="81"/>
            <rFont val="Tahoma"/>
            <family val="2"/>
          </rPr>
          <t xml:space="preserve">Environmental Monitoring and Forecasting involves the observation and prediction of environmental conditions. This includes b the monitoring and forecasting of water quality, water levels, ice sheets, air quality, regulated and non-regulated emissions, as well as the observation and prediction of weather patterns and conditions. </t>
        </r>
      </text>
    </comment>
    <comment ref="B33" authorId="0" shapeId="0" xr:uid="{00000000-0006-0000-0100-00001D000000}">
      <text>
        <r>
          <rPr>
            <sz val="9"/>
            <color indexed="81"/>
            <rFont val="Tahoma"/>
            <family val="2"/>
          </rPr>
          <t>Environmental remediation supports the immediate and long-term activities associated with the correcting and offsetting of environmental deficiencies or imbalances, including restoration activities.</t>
        </r>
      </text>
    </comment>
    <comment ref="B34" authorId="0" shapeId="0" xr:uid="{00000000-0006-0000-0100-00001E000000}">
      <text>
        <r>
          <rPr>
            <sz val="9"/>
            <color indexed="81"/>
            <rFont val="Tahoma"/>
            <family val="2"/>
          </rPr>
          <t>Pollution prevention and control includes activities associated with the establishment of environmental standards to control the levels of harmful substances emitted into the soil, water and atmosphere.</t>
        </r>
      </text>
    </comment>
    <comment ref="A35" authorId="0" shapeId="0" xr:uid="{00000000-0006-0000-0100-00001F000000}">
      <text>
        <r>
          <rPr>
            <sz val="9"/>
            <color indexed="81"/>
            <rFont val="Tahoma"/>
            <family val="2"/>
          </rPr>
          <t xml:space="preserve">Economic Development includes the activities required to promote commercial/industrial development and to regulate the American financial industry to protect investors. It also includes the management and control of the domestic economy and the money supply, and the protection of intellectual property and innovation.
</t>
        </r>
      </text>
    </comment>
    <comment ref="B36" authorId="0" shapeId="0" xr:uid="{00000000-0006-0000-0100-000020000000}">
      <text>
        <r>
          <rPr>
            <sz val="9"/>
            <color indexed="81"/>
            <rFont val="Tahoma"/>
            <family val="2"/>
          </rPr>
          <t>Business and industry development supports activities related to the creation of economic and business opportunities and stimulus, and the promotion of financial and economic stability for corporations and citizens involved in different types of business.</t>
        </r>
      </text>
    </comment>
    <comment ref="B37" authorId="0" shapeId="0" xr:uid="{00000000-0006-0000-0100-000021000000}">
      <text>
        <r>
          <rPr>
            <sz val="9"/>
            <color indexed="81"/>
            <rFont val="Tahoma"/>
            <family val="2"/>
          </rPr>
          <t xml:space="preserve">Intellectual property protection involves law enforcement activities involving the enforcement of intellectual property including inventions, literary and artistic works, and symbols, names, images, and designs used in commerce. Note that intellectual property protection is an exception to the often-close relationship between impacts to law enforcement information and information systems and the security of critical infrastructures and key national assets.
</t>
        </r>
      </text>
    </comment>
    <comment ref="B38" authorId="0" shapeId="0" xr:uid="{00000000-0006-0000-0100-000022000000}">
      <text>
        <r>
          <rPr>
            <sz val="9"/>
            <color indexed="81"/>
            <rFont val="Tahoma"/>
            <family val="2"/>
          </rPr>
          <t>Financial Sector Oversight involves the regulation of private sector firms and markets (stock exchanges, corporations, etc.) to protect investors from fraud, monopolies, and illegal behavior. This also includes deposit protection.</t>
        </r>
      </text>
    </comment>
    <comment ref="B39" authorId="0" shapeId="0" xr:uid="{00000000-0006-0000-0100-000023000000}">
      <text>
        <r>
          <rPr>
            <sz val="9"/>
            <color indexed="81"/>
            <rFont val="Tahoma"/>
            <family val="2"/>
          </rPr>
          <t>Industry Sector Income Stabilization involves all programs and activities devoted to assisting adversely impacted industrial sectors (farming, commercial transportation, etc.) to ensure the continued availability of their services for the American public and the long-term economic stability of these sectors.</t>
        </r>
      </text>
    </comment>
    <comment ref="A40" authorId="0" shapeId="0" xr:uid="{00000000-0006-0000-0100-000024000000}">
      <text>
        <r>
          <rPr>
            <sz val="9"/>
            <color indexed="81"/>
            <rFont val="Tahoma"/>
            <family val="2"/>
          </rPr>
          <t xml:space="preserve">Community and Social Services includes all activities aimed at creating, expanding, or improving community and social development, social relationships, and social services in the United States. This includes all activities aimed at locality-specific or nationwide social development and general social services and general community development and social services programs, as well as earned and unearned benefit programs that promote these objectives.
</t>
        </r>
      </text>
    </comment>
    <comment ref="B41" authorId="0" shapeId="0" xr:uid="{00000000-0006-0000-0100-000025000000}">
      <text>
        <r>
          <rPr>
            <sz val="9"/>
            <color indexed="81"/>
            <rFont val="Tahoma"/>
            <family val="2"/>
          </rPr>
          <t xml:space="preserve">Homeownership Promotion includes activities devoted to assisting citizens interested in buying homes and educating the public as to the benefits of homeownership. Note: Activities devoted to the provision of housing to low-income members of the public are covered under the Housing Assistance mission.
</t>
        </r>
      </text>
    </comment>
    <comment ref="B42" authorId="0" shapeId="0" xr:uid="{00000000-0006-0000-0100-000026000000}">
      <text>
        <r>
          <rPr>
            <sz val="9"/>
            <color indexed="81"/>
            <rFont val="Tahoma"/>
            <family val="2"/>
          </rPr>
          <t xml:space="preserve">The Community and Regional Development mission involves activities designed to assist communities in preventing and eliminating blight and deterioration, assist economically distressed communities, and encourage and foster economic development through improved public facilities and resources.
</t>
        </r>
      </text>
    </comment>
    <comment ref="B43" authorId="0" shapeId="0" xr:uid="{00000000-0006-0000-0100-000027000000}">
      <text>
        <r>
          <rPr>
            <sz val="9"/>
            <color indexed="81"/>
            <rFont val="Tahoma"/>
            <family val="2"/>
          </rPr>
          <t xml:space="preserve">Social Services are designed to provide meaningful opportunities for social and economic growth of the disadvantaged sector of the population in order to develop individuals into productive and self-reliant citizens and promote social equity. Included in this category are social welfare services extended to children and adults with special needs, such as the orphaned, neglected, abandoned, disabled, etc. Such services include family life education and counseling, adoption, guardianship, foster family care, rehabilitation services, etc. Note: This mission does not include services that are primarily for income support (Income Security) or are an integral part of some other mission area (e.g., Health, Workforce Management, etc.).
</t>
        </r>
      </text>
    </comment>
    <comment ref="B44" authorId="0" shapeId="0" xr:uid="{00000000-0006-0000-0100-000028000000}">
      <text>
        <r>
          <rPr>
            <sz val="9"/>
            <color indexed="81"/>
            <rFont val="Tahoma"/>
            <family val="2"/>
          </rPr>
          <t xml:space="preserve">Postal Services provide for the timely and consistent exchange and delivery of mail and packages between businesses, organizations, and residents of the United States or between businesses, organizations, and residents of the United States and the rest of the world. It also includes the nation-wide retail infrastructure required to make Postal Services easily accessible to customers. (Note: The commercial function of mail is more closely aligned with the “Business and Industry Development” mission in the “Economic Development mission area.” The international commercial function of mail is more closely aligned with the “Global Trade” mission in the “International Affairs” mission area).
</t>
        </r>
      </text>
    </comment>
    <comment ref="A45" authorId="0" shapeId="0" xr:uid="{00000000-0006-0000-0100-000029000000}">
      <text>
        <r>
          <rPr>
            <sz val="9"/>
            <color indexed="81"/>
            <rFont val="Tahoma"/>
            <family val="2"/>
          </rPr>
          <t xml:space="preserve">Transportation involves all federally supported activities related to the safe passage, conveyance, or transportation of goods and/or people. Note that impacts to some information and many information systems associated with transportation activities may affect the security of, not only the transportation infrastructure, but also to a broad range of other critical infrastructures and key national assets.
</t>
        </r>
      </text>
    </comment>
    <comment ref="B46" authorId="0" shapeId="0" xr:uid="{00000000-0006-0000-0100-00002A000000}">
      <text>
        <r>
          <rPr>
            <sz val="9"/>
            <color indexed="81"/>
            <rFont val="Tahoma"/>
            <family val="2"/>
          </rPr>
          <t xml:space="preserve">Ground Transportation involves the activities related to ensuring the availability of transit and the safe passage of passengers and goods over land. Water and fuel pipelines are included among ground transportation assets. Note: The protection of ground transportation from deliberate attack is included in the Transportation Security information type under the Homeland Security mission area.
</t>
        </r>
      </text>
    </comment>
    <comment ref="B47" authorId="0" shapeId="0" xr:uid="{00000000-0006-0000-0100-00002B000000}">
      <text>
        <r>
          <rPr>
            <sz val="9"/>
            <color indexed="81"/>
            <rFont val="Tahoma"/>
            <family val="2"/>
          </rPr>
          <t xml:space="preserve">Water Transportation involves the activities related to ensuring the availability of transit and the safe passage of passengers and goods over sea and water. Note: The protection of maritime transportation from deliberate attack is included in the Transportation Security information type under the Homeland Security mission area.
</t>
        </r>
      </text>
    </comment>
    <comment ref="B48" authorId="0" shapeId="0" xr:uid="{00000000-0006-0000-0100-00002C000000}">
      <text>
        <r>
          <rPr>
            <sz val="9"/>
            <color indexed="81"/>
            <rFont val="Tahoma"/>
            <family val="2"/>
          </rPr>
          <t xml:space="preserve">Air Transportation involves the activities related to the safe passage of passengers or goods through the air. It also includes command and control activities related to the safe movement of aircraft through all phases of flight for commercial and military operations. Note: The protection of air transportation from deliberate attack is included in the Transportation Security information type under the Homeland Security mission area.
</t>
        </r>
      </text>
    </comment>
    <comment ref="B49" authorId="0" shapeId="0" xr:uid="{00000000-0006-0000-0100-00002D000000}">
      <text>
        <r>
          <rPr>
            <sz val="9"/>
            <color indexed="81"/>
            <rFont val="Tahoma"/>
            <family val="2"/>
          </rPr>
          <t xml:space="preserve">Space Operations involves the activities related to the safe launches/missions of passengers or goods into aerospace and includes commercial, scientific, and military operations.
</t>
        </r>
      </text>
    </comment>
    <comment ref="A50" authorId="0" shapeId="0" xr:uid="{00000000-0006-0000-0100-00002E000000}">
      <text>
        <r>
          <rPr>
            <sz val="9"/>
            <color indexed="81"/>
            <rFont val="Tahoma"/>
            <family val="2"/>
          </rPr>
          <t xml:space="preserve">Education refers to those activities that impart knowledge or understanding of a particular subject to the public. Education can take place at a formal school, college, university or other training program. This mission area includes all government programs that promote the education of the public, including both earned and unearned benefit programs.
</t>
        </r>
      </text>
    </comment>
    <comment ref="B51" authorId="0" shapeId="0" xr:uid="{00000000-0006-0000-0100-00002F000000}">
      <text>
        <r>
          <rPr>
            <sz val="9"/>
            <color indexed="81"/>
            <rFont val="Tahoma"/>
            <family val="2"/>
          </rPr>
          <t xml:space="preserve">Elementary, secondary, and vocational education refers to the provision of education in elementary subjects (reading and writing and arithmetic); education provided by a high school or college preparatory school; and vocational and technical education and training. 
</t>
        </r>
      </text>
    </comment>
    <comment ref="B52" authorId="0" shapeId="0" xr:uid="{00000000-0006-0000-0100-000030000000}">
      <text>
        <r>
          <rPr>
            <sz val="9"/>
            <color indexed="81"/>
            <rFont val="Tahoma"/>
            <family val="2"/>
          </rPr>
          <t xml:space="preserve">Higher Education refers to education beyond the secondary level; specifically, education provided by a college or university. It includes external higher educational activities performed by the government (e.g., Military Academies, ROTC, and USDA Graduate School).
</t>
        </r>
      </text>
    </comment>
    <comment ref="B53" authorId="0" shapeId="0" xr:uid="{00000000-0006-0000-0100-000031000000}">
      <text>
        <r>
          <rPr>
            <sz val="9"/>
            <color indexed="81"/>
            <rFont val="Tahoma"/>
            <family val="2"/>
          </rPr>
          <t xml:space="preserve">Cultural and Historic Preservation involves all activities performed by the Federal Government to collect and preserve information and artifacts important to the culture and history of the United States and its citizenry and the education of U.S. citizens and the world.
</t>
        </r>
      </text>
    </comment>
    <comment ref="B54" authorId="0" shapeId="0" xr:uid="{00000000-0006-0000-0100-000032000000}">
      <text>
        <r>
          <rPr>
            <sz val="9"/>
            <color indexed="81"/>
            <rFont val="Tahoma"/>
            <family val="2"/>
          </rPr>
          <t xml:space="preserve">Cultural and Historic Exhibition includes all activities undertaken by the U.S. government to promote education through the exhibition of cultural, historical, and other information, archives, art, etc.
</t>
        </r>
      </text>
    </comment>
    <comment ref="A55" authorId="0" shapeId="0" xr:uid="{00000000-0006-0000-0100-000033000000}">
      <text>
        <r>
          <rPr>
            <sz val="9"/>
            <color indexed="81"/>
            <rFont val="Tahoma"/>
            <family val="2"/>
          </rPr>
          <t xml:space="preserve">Workforce Management includes those activities that promote the welfare and effectiveness of the Nation’s workforce by improving their proficiency, working conditions, advancing opportunities for profitable employment, and strengthening free collective bargaining.
</t>
        </r>
      </text>
    </comment>
    <comment ref="B56" authorId="0" shapeId="0" xr:uid="{00000000-0006-0000-0100-000034000000}">
      <text>
        <r>
          <rPr>
            <sz val="9"/>
            <color indexed="81"/>
            <rFont val="Tahoma"/>
            <family val="2"/>
          </rPr>
          <t xml:space="preserve">Training and Employment includes programs of job or skill training, employment services and placement, and programs to promote the hiring of marginal, unemployed, or low-income workers. Additionally, training information can include special training for personnel involved in Federal government operations (e.g., astronaut training).
</t>
        </r>
      </text>
    </comment>
    <comment ref="B57" authorId="0" shapeId="0" xr:uid="{00000000-0006-0000-0100-000035000000}">
      <text>
        <r>
          <rPr>
            <sz val="9"/>
            <color indexed="81"/>
            <rFont val="Tahoma"/>
            <family val="2"/>
          </rPr>
          <t xml:space="preserve">Labor Rights Management refers to those activities undertaken to ensure that employees and employers are aware of and comply with all statutes and regulations concerning labor rights, including those pertaining to wages, benefits, safety and health, whistleblower, and nondiscrimination policies.
</t>
        </r>
      </text>
    </comment>
    <comment ref="B58" authorId="0" shapeId="0" xr:uid="{00000000-0006-0000-0100-000036000000}">
      <text>
        <r>
          <rPr>
            <sz val="9"/>
            <color indexed="81"/>
            <rFont val="Tahoma"/>
            <family val="2"/>
          </rPr>
          <t xml:space="preserve">Worker Safety refers to those activities undertaken to save lives, prevent injuries, and protect the health of America's workers.
</t>
        </r>
      </text>
    </comment>
    <comment ref="A59" authorId="0" shapeId="0" xr:uid="{00000000-0006-0000-0100-000037000000}">
      <text>
        <r>
          <rPr>
            <sz val="9"/>
            <color indexed="81"/>
            <rFont val="Tahoma"/>
            <family val="2"/>
          </rPr>
          <t xml:space="preserve">Public Health involves Federal programs and activities charged with ensuring and providing for the health and well being of the public. This includes the direct provision of health care services and immunizations as well as the monitoring and tracking of public health indicators for the detection of trends and identification of widespread illnesses/diseases. It also includes both earned and unearned health care benefit programs. Note that impacts to some public health information and information systems may affect the security of critical elements of the public health infrastructure.
</t>
        </r>
      </text>
    </comment>
    <comment ref="B60" authorId="0" shapeId="0" xr:uid="{00000000-0006-0000-0100-000038000000}">
      <text>
        <r>
          <rPr>
            <sz val="9"/>
            <color indexed="81"/>
            <rFont val="Tahoma"/>
            <family val="2"/>
          </rPr>
          <t xml:space="preserve">Access to Care focuses on the access to appropriate care. This includes streamlining efforts to receive care; ensuring care is appropriate in terms of type, care, intensity, location and availability; providing seamless access to health knowledge, enrolling providers; performing eligibility determination, and managing patient movement.
</t>
        </r>
      </text>
    </comment>
    <comment ref="B61" authorId="0" shapeId="0" xr:uid="{00000000-0006-0000-0100-000039000000}">
      <text>
        <r>
          <rPr>
            <sz val="9"/>
            <color indexed="81"/>
            <rFont val="Tahoma"/>
            <family val="2"/>
          </rPr>
          <t xml:space="preserve">Population Health Management and Consumer Safety assesses health indicators and consumer products as a means to protect and promote the health of the general population. This includes monitoring of health, health planning, and health management of humans, animals, animal products, and plants, as well as tracking the spread of diseases and pests. It also includes evaluation of consumer products, drug, and foods to assess the potential risks and dangers; education of the consumer and the general population; and facilitation of health promotion and disease and injury prevention.
</t>
        </r>
      </text>
    </comment>
    <comment ref="B62" authorId="0" shapeId="0" xr:uid="{00000000-0006-0000-0100-00003A000000}">
      <text>
        <r>
          <rPr>
            <sz val="9"/>
            <color indexed="81"/>
            <rFont val="Tahoma"/>
            <family val="2"/>
          </rPr>
          <t xml:space="preserve">Health Care Administration assures that federal health care resources are expended effectively to ensure quality, safety, and efficiency. This includes managing health care quality, cost, workload, utilization, and fraud/abuse efforts.
</t>
        </r>
      </text>
    </comment>
    <comment ref="B63" authorId="0" shapeId="0" xr:uid="{00000000-0006-0000-0100-00003B000000}">
      <text>
        <r>
          <rPr>
            <sz val="9"/>
            <color indexed="81"/>
            <rFont val="Tahoma"/>
            <family val="2"/>
          </rPr>
          <t xml:space="preserve">Health Care Delivery Services provides and supports the delivery of health care to its beneficiaries. This includes assessing health status; planning health services; ensuring quality of services and continuity of care; and managing clinical information and documentation.
</t>
        </r>
      </text>
    </comment>
    <comment ref="B64" authorId="0" shapeId="0" xr:uid="{00000000-0006-0000-0100-00003C000000}">
      <text>
        <r>
          <rPr>
            <sz val="9"/>
            <color indexed="81"/>
            <rFont val="Tahoma"/>
            <family val="2"/>
          </rPr>
          <t xml:space="preserve">Health Care Research and Practitioner Education fosters advancement in health discovery and knowledge. This includes developing new strategies to handle diseases; promoting health knowledge advancement; identifying new means for delivery of services, methods, decision models and practices; making strides in quality improvement; managing clinical trials and research quality; and providing for practitioner education.
</t>
        </r>
      </text>
    </comment>
    <comment ref="A65" authorId="0" shapeId="0" xr:uid="{00000000-0006-0000-0100-00003D000000}">
      <text>
        <r>
          <rPr>
            <sz val="9"/>
            <color indexed="81"/>
            <rFont val="Tahoma"/>
            <family val="2"/>
          </rPr>
          <t xml:space="preserve">Income Security includes activities designed to ensure that members of the public are provided with the necessary means – both financial and otherwise – to sustain an adequate level of existence. This includes all benefit programs, both earned and unearned, that promote these goals for members of the public.
</t>
        </r>
      </text>
    </comment>
    <comment ref="B66" authorId="0" shapeId="0" xr:uid="{00000000-0006-0000-0100-00003E000000}">
      <text>
        <r>
          <rPr>
            <sz val="9"/>
            <color indexed="81"/>
            <rFont val="Tahoma"/>
            <family val="2"/>
          </rPr>
          <t xml:space="preserve">General Retirement and Disability involves the development and management of retirement benefits, pensions, and income security for those who are retired or disabled.
</t>
        </r>
      </text>
    </comment>
    <comment ref="B67" authorId="0" shapeId="0" xr:uid="{00000000-0006-0000-0100-00003F000000}">
      <text>
        <r>
          <rPr>
            <sz val="9"/>
            <color indexed="81"/>
            <rFont val="Tahoma"/>
            <family val="2"/>
          </rPr>
          <t xml:space="preserve">Unemployment Compensation provides income security to those who are no longer employed, while they seek new employment.
</t>
        </r>
      </text>
    </comment>
    <comment ref="B68" authorId="0" shapeId="0" xr:uid="{00000000-0006-0000-0100-000040000000}">
      <text>
        <r>
          <rPr>
            <sz val="9"/>
            <color indexed="81"/>
            <rFont val="Tahoma"/>
            <family val="2"/>
          </rPr>
          <t xml:space="preserve">to those who are unable to provide housing for themselves including the rental of single-family or multifamily properties, and the management and operation of federally supported housing properties.
</t>
        </r>
      </text>
    </comment>
    <comment ref="B69" authorId="0" shapeId="0" xr:uid="{00000000-0006-0000-0100-000041000000}">
      <text>
        <r>
          <rPr>
            <sz val="9"/>
            <color indexed="81"/>
            <rFont val="Tahoma"/>
            <family val="2"/>
          </rPr>
          <t xml:space="preserve">Food and Nutrition Assistance involves the development and management of programs that provide food and nutrition assistance to those members of the public who are unable to provide for these needs themselves.
</t>
        </r>
      </text>
    </comment>
    <comment ref="B70" authorId="0" shapeId="0" xr:uid="{00000000-0006-0000-0100-000042000000}">
      <text>
        <r>
          <rPr>
            <sz val="9"/>
            <color indexed="81"/>
            <rFont val="Tahoma"/>
            <family val="2"/>
          </rPr>
          <t xml:space="preserve">Survivor Compensation provides compensation to the survivors of individuals currently receiving or eligible to receive benefits from the Federal Government. This includes survivors such as spouses or children of veterans or wage earners eligible for social security payments.
</t>
        </r>
      </text>
    </comment>
    <comment ref="A71" authorId="0" shapeId="0" xr:uid="{00000000-0006-0000-0100-000043000000}">
      <text>
        <r>
          <rPr>
            <sz val="9"/>
            <color indexed="81"/>
            <rFont val="Tahoma"/>
            <family val="2"/>
          </rPr>
          <t xml:space="preserve">Law enforcement involves the protection of people, places, and things from criminal activity resulting from non-compliance with U.S. laws. This includes patrols, undercover operations, response to emergency calls, as well as arrests, raids, and seizures of property. Impacts to some information and information systems associated with law enforcement missions may affect the security of a broad range of critical infrastructures and key national assets. Some information associated with Federal law enforcement is categorized as national security information. Rules governing establishment of impact levels and controls associated with national security information are governed by a separate set of policies and are outside the scope of this guideline. Confidentiality and integrity impacts are often determined by statutory and regulatory requirements that vary by violation.
</t>
        </r>
      </text>
    </comment>
    <comment ref="B72" authorId="0" shapeId="0" xr:uid="{00000000-0006-0000-0100-000044000000}">
      <text>
        <r>
          <rPr>
            <sz val="9"/>
            <color indexed="81"/>
            <rFont val="Tahoma"/>
            <family val="2"/>
          </rPr>
          <t xml:space="preserve">Criminal apprehension supports activities associated with the tracking and capture of groups or individuals believed to be responsible for committing Federal crimes.
</t>
        </r>
      </text>
    </comment>
    <comment ref="B73" authorId="0" shapeId="0" xr:uid="{00000000-0006-0000-0100-000045000000}">
      <text>
        <r>
          <rPr>
            <sz val="9"/>
            <color indexed="81"/>
            <rFont val="Tahoma"/>
            <family val="2"/>
          </rPr>
          <t>Criminal investigation and surveillance includes the collection of evidence required to determine responsibility for a crime and the monitoring and questioning of affected parties.</t>
        </r>
      </text>
    </comment>
    <comment ref="B74" authorId="0" shapeId="0" xr:uid="{00000000-0006-0000-0100-000046000000}">
      <text>
        <r>
          <rPr>
            <sz val="9"/>
            <color indexed="81"/>
            <rFont val="Tahoma"/>
            <family val="2"/>
          </rPr>
          <t xml:space="preserve">Citizen protection involves all activities performed to protect the general population of the United States from criminal activity.
</t>
        </r>
      </text>
    </comment>
    <comment ref="B75" authorId="0" shapeId="0" xr:uid="{00000000-0006-0000-0100-000047000000}">
      <text>
        <r>
          <rPr>
            <sz val="9"/>
            <color indexed="81"/>
            <rFont val="Tahoma"/>
            <family val="2"/>
          </rPr>
          <t>Leadership protection involves all activities performed to protect the health and well being of the president, vice-president, their families, and other high-level government officials. Some leadership protection information may be classified. All classified information is treated under separate rules established for national security information and is outside the scope of this guideline.</t>
        </r>
      </text>
    </comment>
    <comment ref="B76" authorId="0" shapeId="0" xr:uid="{00000000-0006-0000-0100-000048000000}">
      <text>
        <r>
          <rPr>
            <sz val="9"/>
            <color indexed="81"/>
            <rFont val="Tahoma"/>
            <family val="2"/>
          </rPr>
          <t xml:space="preserve">Property protection entails all activities performed to ensure the security of civilian and government property.
</t>
        </r>
      </text>
    </comment>
    <comment ref="B77" authorId="0" shapeId="0" xr:uid="{00000000-0006-0000-0100-000049000000}">
      <text>
        <r>
          <rPr>
            <sz val="9"/>
            <color indexed="81"/>
            <rFont val="Tahoma"/>
            <family val="2"/>
          </rPr>
          <t xml:space="preserve">Substance control supports activities associated with the enforcement of legal substances (i.e., alcohol and tobacco) and illegal narcotics laws including trafficking, possession, sale, distribution, and other related activities.
</t>
        </r>
      </text>
    </comment>
    <comment ref="B78" authorId="0" shapeId="0" xr:uid="{00000000-0006-0000-0100-00004A000000}">
      <text>
        <r>
          <rPr>
            <sz val="9"/>
            <color indexed="81"/>
            <rFont val="Tahoma"/>
            <family val="2"/>
          </rPr>
          <t xml:space="preserve">Crime prevention entails all efforts designed to create safer communities through the control and reduction of crime by addressing the causes of crime and reducing the opportunities of crime.
</t>
        </r>
      </text>
    </comment>
    <comment ref="B79" authorId="0" shapeId="0" xr:uid="{00000000-0006-0000-0100-00004B000000}">
      <text>
        <r>
          <rPr>
            <sz val="9"/>
            <color indexed="81"/>
            <rFont val="Tahoma"/>
            <family val="2"/>
          </rPr>
          <t>Trade law enforcement refers to the enforcement of anti-boycott, international loan, and general trade laws.</t>
        </r>
      </text>
    </comment>
    <comment ref="A80" authorId="0" shapeId="0" xr:uid="{00000000-0006-0000-0100-00004C000000}">
      <text>
        <r>
          <rPr>
            <sz val="9"/>
            <color indexed="81"/>
            <rFont val="Tahoma"/>
            <family val="2"/>
          </rPr>
          <t xml:space="preserve">Litigation and judicial activities involve all activities necessary for the development and oversight of Federal programs
</t>
        </r>
      </text>
    </comment>
    <comment ref="B81" authorId="0" shapeId="0" xr:uid="{00000000-0006-0000-0100-00004D000000}">
      <text>
        <r>
          <rPr>
            <sz val="9"/>
            <color indexed="81"/>
            <rFont val="Tahoma"/>
            <family val="2"/>
          </rPr>
          <t xml:space="preserve">Judicial hearings include activities associated with conducting a hearing in a court of law to settle a dispute.
</t>
        </r>
      </text>
    </comment>
    <comment ref="B82" authorId="0" shapeId="0" xr:uid="{00000000-0006-0000-0100-00004E000000}">
      <text>
        <r>
          <rPr>
            <sz val="9"/>
            <color indexed="81"/>
            <rFont val="Tahoma"/>
            <family val="2"/>
          </rPr>
          <t xml:space="preserve">Legal defense refers to the representation of a defendant in a criminal/civil court of law in an attempt to provide constitutional guarantees to legal representation. The sensitivity of much legal information is highly lifecycle-dependent. From a confidentiality perspective, most information associated with litigation and judicial activities is in the public record after the information has been presented in court.
</t>
        </r>
      </text>
    </comment>
    <comment ref="B83" authorId="0" shapeId="0" xr:uid="{00000000-0006-0000-0100-00004F000000}">
      <text>
        <r>
          <rPr>
            <sz val="9"/>
            <color indexed="81"/>
            <rFont val="Tahoma"/>
            <family val="2"/>
          </rPr>
          <t xml:space="preserve">Legal investigation supports activities associated with gathering information about a given party (government agency, citizen, corporation) that would be admissible in a court of law, in an attempt to prove guilt or innocence. 
</t>
        </r>
      </text>
    </comment>
    <comment ref="B84" authorId="0" shapeId="0" xr:uid="{00000000-0006-0000-0100-000050000000}">
      <text>
        <r>
          <rPr>
            <sz val="9"/>
            <color indexed="81"/>
            <rFont val="Tahoma"/>
            <family val="2"/>
          </rPr>
          <t xml:space="preserve">Legal prosecution/litigation includes all activities involved with presenting a case in a legal proceeding both in a criminal or civil court of law in an attempt to prove guilt/responsibility.
</t>
        </r>
      </text>
    </comment>
    <comment ref="B85" authorId="0" shapeId="0" xr:uid="{00000000-0006-0000-0100-000051000000}">
      <text>
        <r>
          <rPr>
            <sz val="9"/>
            <color indexed="81"/>
            <rFont val="Tahoma"/>
            <family val="2"/>
          </rPr>
          <t xml:space="preserve">Resolution facilitation involves all activities outside of a court of law that may be used in an attempt to settle a dispute between two or more parties (government, citizen, corporation).
</t>
        </r>
      </text>
    </comment>
    <comment ref="A86" authorId="0" shapeId="0" xr:uid="{00000000-0006-0000-0100-000052000000}">
      <text>
        <r>
          <rPr>
            <sz val="9"/>
            <color indexed="81"/>
            <rFont val="Tahoma"/>
            <family val="2"/>
          </rPr>
          <t xml:space="preserve">Correctional Activities involves all Federal activities that ensure the effective incarceration and rehabilitation of convicted criminals. 
</t>
        </r>
      </text>
    </comment>
    <comment ref="B87" authorId="0" shapeId="0" xr:uid="{00000000-0006-0000-0100-000053000000}">
      <text>
        <r>
          <rPr>
            <sz val="9"/>
            <color indexed="81"/>
            <rFont val="Tahoma"/>
            <family val="2"/>
          </rPr>
          <t>Criminal incarceration includes activities associated with the housing, custody and general care of criminals sentenced to serve time in penitentiaries.</t>
        </r>
      </text>
    </comment>
    <comment ref="B88" authorId="0" shapeId="0" xr:uid="{00000000-0006-0000-0100-000054000000}">
      <text>
        <r>
          <rPr>
            <sz val="9"/>
            <color indexed="81"/>
            <rFont val="Tahoma"/>
            <family val="2"/>
          </rPr>
          <t xml:space="preserve">Criminal Rehabilitation includes all government activities devoted to providing convicted criminals with the educational resources and life skills necessary to rejoin society as responsible and contributing members.
</t>
        </r>
      </text>
    </comment>
    <comment ref="A89" authorId="0" shapeId="0" xr:uid="{00000000-0006-0000-0100-000055000000}">
      <text>
        <r>
          <rPr>
            <sz val="9"/>
            <color indexed="81"/>
            <rFont val="Tahoma"/>
            <family val="2"/>
          </rPr>
          <t xml:space="preserve">General Science and Innovation includes all Federal activities to meet the national need to advance knowledge in this area. This includes general research and technology programs, space exploration activities, and other research and technology programs that have diverse goals and cannot be readily classified into another mission area or information type.
</t>
        </r>
      </text>
    </comment>
    <comment ref="B90" authorId="0" shapeId="0" xr:uid="{00000000-0006-0000-0100-000056000000}">
      <text>
        <r>
          <rPr>
            <sz val="9"/>
            <color indexed="81"/>
            <rFont val="Tahoma"/>
            <family val="2"/>
          </rPr>
          <t xml:space="preserve">Scientific and Technological Research and Innovation includes all federal activities whose goal is the creation of new scientific and/or technological knowledge as a goal in itself, without a specific link to the other mission areas or information types identified in the BRM. Most sensitive information is developed under research and development programs that directly support another of the mission areas described in this Appendix and are not included here. Some information associated with scientific and technical research and innovation is national security information and is outside the scope of this guideline.
</t>
        </r>
      </text>
    </comment>
    <comment ref="B91" authorId="0" shapeId="0" xr:uid="{00000000-0006-0000-0100-000057000000}">
      <text>
        <r>
          <rPr>
            <sz val="9"/>
            <color indexed="81"/>
            <rFont val="Tahoma"/>
            <family val="2"/>
          </rPr>
          <t>Space Exploration and Innovation includes all activities devoted to innovations directed at human and robotic space flight and the development and operation of space launch and transportation systems, and the general research and exploration of outer space. While some space exploration and innovation is national security information, most sensitive information is developed under research and development programs that directly support another of the mission areas described in this Appendix and are not included here.</t>
        </r>
      </text>
    </comment>
    <comment ref="A92" authorId="0" shapeId="0" xr:uid="{00000000-0006-0000-0100-000058000000}">
      <text>
        <r>
          <rPr>
            <sz val="9"/>
            <color indexed="81"/>
            <rFont val="Tahoma"/>
            <family val="2"/>
          </rPr>
          <t xml:space="preserve">Knowledge Creation and Management involves the programs and activities in which the Federal Government creates or develops a body or set of knowledge, the manipulation and analysis of which can provide inherent benefits for both the Federal and private sector.
</t>
        </r>
      </text>
    </comment>
    <comment ref="B93" authorId="0" shapeId="0" xr:uid="{00000000-0006-0000-0100-000059000000}">
      <text>
        <r>
          <rPr>
            <sz val="9"/>
            <color indexed="81"/>
            <rFont val="Tahoma"/>
            <family val="2"/>
          </rPr>
          <t xml:space="preserve">Research and Development involves the gathering and analysis of data, dissemination of results, and development of new products, methodologies, and ideas. The sensitivity and criticality of most research and development information depends on the subject matter involved.
</t>
        </r>
      </text>
    </comment>
    <comment ref="B94" authorId="0" shapeId="0" xr:uid="{00000000-0006-0000-0100-00005A000000}">
      <text>
        <r>
          <rPr>
            <sz val="9"/>
            <color indexed="81"/>
            <rFont val="Tahoma"/>
            <family val="2"/>
          </rPr>
          <t xml:space="preserve">General purpose data and statistics includes activities performed in providing empirical, numerical, and related data and information pertaining to the current state of the nation in areas such as the economy, labor, weather, international trade, etc.
</t>
        </r>
      </text>
    </comment>
    <comment ref="B95" authorId="0" shapeId="0" xr:uid="{00000000-0006-0000-0100-00005B000000}">
      <text>
        <r>
          <rPr>
            <sz val="9"/>
            <color indexed="81"/>
            <rFont val="Tahoma"/>
            <family val="2"/>
          </rPr>
          <t>Advising and Consulting activities involve the guidance and consultative services provided by the Federal Government to support the implementation of a specific service provided to citizens.</t>
        </r>
      </text>
    </comment>
    <comment ref="B96" authorId="0" shapeId="0" xr:uid="{00000000-0006-0000-0100-00005C000000}">
      <text>
        <r>
          <rPr>
            <sz val="9"/>
            <color indexed="81"/>
            <rFont val="Tahoma"/>
            <family val="2"/>
          </rPr>
          <t>Knowledge Dissemination addresses those instances where the primary method used in delivering a service is through the publishing or broadcasting of information, such as the Voice of America or web-based museums maintained by the Smithsonian. Knowledge Dissemination is not intended to address circumstances where the publication of information is a by-product of a mission rather than the mission itself.</t>
        </r>
      </text>
    </comment>
    <comment ref="A97" authorId="0" shapeId="0" xr:uid="{00000000-0006-0000-0100-00005D000000}">
      <text>
        <r>
          <rPr>
            <sz val="9"/>
            <color indexed="81"/>
            <rFont val="Tahoma"/>
            <family val="2"/>
          </rPr>
          <t>Regulatory Compliance and Enforcement involves the direct monitoring and oversight of a specific individual, group, industry, or community participating in a regulated activity via market mechanisms, command and control features, or other means to control or govern conduct or behavior.</t>
        </r>
      </text>
    </comment>
    <comment ref="B98" authorId="0" shapeId="0" xr:uid="{00000000-0006-0000-0100-00005E000000}">
      <text>
        <r>
          <rPr>
            <sz val="9"/>
            <color indexed="81"/>
            <rFont val="Tahoma"/>
            <family val="2"/>
          </rPr>
          <t>Inspections and Auditing involves the methodical examination and review of regulated activities to ensure compliance with standards for regulated activity.</t>
        </r>
      </text>
    </comment>
    <comment ref="B99" authorId="0" shapeId="0" xr:uid="{00000000-0006-0000-0100-00005F000000}">
      <text>
        <r>
          <rPr>
            <sz val="9"/>
            <color indexed="81"/>
            <rFont val="Tahoma"/>
            <family val="2"/>
          </rPr>
          <t>Standard Setting/Reporting Guideline Development involves the establishment of allowable limits associated with a regulated activity and the development of reporting requirements necessary to monitor and control compliance with allowable limits. This includes the development of requirements for product sampling and testing, emissions monitoring and control, incident reporting, financial filings, etc.</t>
        </r>
      </text>
    </comment>
    <comment ref="B100" authorId="0" shapeId="0" xr:uid="{00000000-0006-0000-0100-000060000000}">
      <text>
        <r>
          <rPr>
            <sz val="9"/>
            <color indexed="81"/>
            <rFont val="Tahoma"/>
            <family val="2"/>
          </rPr>
          <t>Permits and Licensing involves activities associated with granting, revoking, and the overall management of the documented authority necessary to perform a regulated task or function.</t>
        </r>
      </text>
    </comment>
    <comment ref="A101" authorId="0" shapeId="0" xr:uid="{00000000-0006-0000-0100-000061000000}">
      <text>
        <r>
          <rPr>
            <sz val="9"/>
            <color indexed="81"/>
            <rFont val="Tahoma"/>
            <family val="2"/>
          </rPr>
          <t>The construction, manufacturing, administration, and/or management of goods, structures, facilities, common resources, etc. used for the general well being of the American public or society at large.</t>
        </r>
      </text>
    </comment>
    <comment ref="B102" authorId="0" shapeId="0" xr:uid="{00000000-0006-0000-0100-000062000000}">
      <text>
        <r>
          <rPr>
            <sz val="9"/>
            <color indexed="81"/>
            <rFont val="Tahoma"/>
            <family val="2"/>
          </rPr>
          <t>Manufacturing involves all programs and activities in which the Federal Government produces both marketable and non-marketable goods.</t>
        </r>
      </text>
    </comment>
    <comment ref="B103" authorId="0" shapeId="0" xr:uid="{00000000-0006-0000-0100-000063000000}">
      <text>
        <r>
          <rPr>
            <sz val="9"/>
            <color indexed="81"/>
            <rFont val="Tahoma"/>
            <family val="2"/>
          </rPr>
          <t>Construction involves all programs and activities in which the Federal Government builds or constructs facilities, roads, dams, etc.</t>
        </r>
      </text>
    </comment>
    <comment ref="B104" authorId="0" shapeId="0" xr:uid="{00000000-0006-0000-0100-000064000000}">
      <text>
        <r>
          <rPr>
            <sz val="9"/>
            <color indexed="81"/>
            <rFont val="Tahoma"/>
            <family val="2"/>
          </rPr>
          <t>Public Resources, Facility and Infrastructure Management involves the management and maintenance of government-owned capital goods and resources (natural or otherwise) on behalf of the public, usually with benefits to the community at large as well as to the direct user. Examples of facilities and infrastructure include schools, roads, bridges, dams, harbors, and public buildings. Examples of resources include parks, cultural artifacts and art, endangered species, oil reserves, etc.</t>
        </r>
      </text>
    </comment>
    <comment ref="B105" authorId="0" shapeId="0" xr:uid="{00000000-0006-0000-0100-000065000000}">
      <text>
        <r>
          <rPr>
            <sz val="9"/>
            <color indexed="81"/>
            <rFont val="Tahoma"/>
            <family val="2"/>
          </rPr>
          <t xml:space="preserve">Information Infrastructure Management involves the management and stewardship of a type of information by the Federal Government and/or the creation of physical communication infrastructures on behalf of the public in order to facilitate communication. This includes the management of large amounts of information (e.g., environmental and weather data, criminal records, etc.), the creation of information and data standards relating to a specific type of information (patient records), and the creation and management of physical communication infrastructures (networks) on behalf of the public. </t>
        </r>
      </text>
    </comment>
    <comment ref="A106" authorId="0" shapeId="0" xr:uid="{00000000-0006-0000-0100-000066000000}">
      <text>
        <r>
          <rPr>
            <sz val="9"/>
            <color indexed="81"/>
            <rFont val="Tahoma"/>
            <family val="2"/>
          </rPr>
          <t>Federal Financial Assistance is the provision of earned and unearned financial or monetary-like benefits to individuals, groups, or corporations.</t>
        </r>
      </text>
    </comment>
    <comment ref="B107" authorId="0" shapeId="0" xr:uid="{00000000-0006-0000-0100-000067000000}">
      <text>
        <r>
          <rPr>
            <sz val="9"/>
            <color indexed="81"/>
            <rFont val="Tahoma"/>
            <family val="2"/>
          </rPr>
          <t>Federal Grants involve the disbursement of funds by the Federal Government to a non-Federal entity to help fund projects or activities. This includes the processes associated with grant administration, including the publication of funds availability notices, development of the grant application guidance, determination of grantee eligibility, coordination of the peer review/evaluation process for competitive grants, the transfer of funds, and the monitoring/oversight as appropriate.</t>
        </r>
      </text>
    </comment>
    <comment ref="B108" authorId="0" shapeId="0" xr:uid="{00000000-0006-0000-0100-000068000000}">
      <text>
        <r>
          <rPr>
            <sz val="9"/>
            <color indexed="81"/>
            <rFont val="Tahoma"/>
            <family val="2"/>
          </rPr>
          <t>Direct Transfers to Individuals involves the disbursement of funds from the Federal Government directly to beneficiaries (individuals or organizations) who satisfy Federal eligibility requirements with no restrictions imposed on the recipient as to how the money is spent. Direct Transfers include both earned and unearned Federal Entitlement programs such as Medicare, Social Security, unemployment benefits, etc.</t>
        </r>
      </text>
    </comment>
    <comment ref="B109" authorId="0" shapeId="0" xr:uid="{00000000-0006-0000-0100-000069000000}">
      <text>
        <r>
          <rPr>
            <sz val="9"/>
            <color indexed="81"/>
            <rFont val="Tahoma"/>
            <family val="2"/>
          </rPr>
          <t>Subsidies involve Federal Government financial transfers that reduce costs and/or increase revenues of producers. Subsidies include the payment of funds from the government to affect the production or prices of various goods to benefit the public.</t>
        </r>
      </text>
    </comment>
    <comment ref="B110" authorId="0" shapeId="0" xr:uid="{00000000-0006-0000-0100-00006A000000}">
      <text>
        <r>
          <rPr>
            <sz val="9"/>
            <color indexed="81"/>
            <rFont val="Tahoma"/>
            <family val="2"/>
          </rPr>
          <t>Tax Credits allow a special exclusion, exemption, or deduction from gross income or which provide a special credit, a preferential rate of tax, or a deferral of tax liability designed to encourage certain kinds of activities or to aid taxpayers in special circumstances.</t>
        </r>
      </text>
    </comment>
    <comment ref="A111" authorId="0" shapeId="0" xr:uid="{00000000-0006-0000-0100-00006B000000}">
      <text>
        <r>
          <rPr>
            <sz val="9"/>
            <color indexed="81"/>
            <rFont val="Tahoma"/>
            <family val="2"/>
          </rPr>
          <t>Credit and Insurance involves the use of government funds to cover the subsidy cost of a direct loan or loan guarantee or to protect/indemnify members of the public from financial losses.</t>
        </r>
      </text>
    </comment>
    <comment ref="B112" authorId="0" shapeId="0" xr:uid="{00000000-0006-0000-0100-00006C000000}">
      <text>
        <r>
          <rPr>
            <sz val="9"/>
            <color indexed="81"/>
            <rFont val="Tahoma"/>
            <family val="2"/>
          </rPr>
          <t>Direct loans involve a disbursement of funds by the Government to a non-Federal borrower under a contract that requires the repayment of such funds with or without interest</t>
        </r>
      </text>
    </comment>
    <comment ref="B113" authorId="0" shapeId="0" xr:uid="{00000000-0006-0000-0100-00006D000000}">
      <text>
        <r>
          <rPr>
            <sz val="9"/>
            <color indexed="81"/>
            <rFont val="Tahoma"/>
            <family val="2"/>
          </rPr>
          <t>Loan guarantees involve any guarantee, insurance, or other pledge with respect to the payment of all or a part of the principal or interest on any debt obligation of a non-Federal borrower to a non-Federal lender, but does not include the insurance of deposits, shares, or other withdrawable accounts in financial institutions.</t>
        </r>
      </text>
    </comment>
    <comment ref="B114" authorId="0" shapeId="0" xr:uid="{00000000-0006-0000-0100-00006E000000}">
      <text>
        <r>
          <rPr>
            <sz val="9"/>
            <color indexed="81"/>
            <rFont val="Tahoma"/>
            <family val="2"/>
          </rPr>
          <t>General Insurance involves providing protection to individuals or entities against specified risks. The specified protection generally involves risks that private sector entities are unable or unwilling to assume or subsidize and where the provision of insurance is necessary to achieve social objectives.</t>
        </r>
      </text>
    </comment>
    <comment ref="A115" authorId="0" shapeId="0" xr:uid="{00000000-0006-0000-0100-00006F000000}">
      <text>
        <r>
          <rPr>
            <sz val="9"/>
            <color indexed="81"/>
            <rFont val="Tahoma"/>
            <family val="2"/>
          </rPr>
          <t>Transfers to States and Local Governments involve the transfer of funds or financial assistance from the Federal government to State and Local governments and Indian tribes.</t>
        </r>
      </text>
    </comment>
    <comment ref="B116" authorId="0" shapeId="0" xr:uid="{00000000-0006-0000-0100-000070000000}">
      <text>
        <r>
          <rPr>
            <sz val="9"/>
            <color indexed="81"/>
            <rFont val="Tahoma"/>
            <family val="2"/>
          </rPr>
          <t>Formula Grants involves the allocation of money to States or their subdivisions in accordance with distribution formulas prescribed by law or administrative regulation, for activities of a continuing nature.</t>
        </r>
      </text>
    </comment>
    <comment ref="B117" authorId="0" shapeId="0" xr:uid="{00000000-0006-0000-0100-000071000000}">
      <text>
        <r>
          <rPr>
            <sz val="9"/>
            <color indexed="81"/>
            <rFont val="Tahoma"/>
            <family val="2"/>
          </rPr>
          <t>Project/Competitive Grants involves the funding, for fixed or known periods, of projects. Project/Competitive grants can include fellowships, scholarships, research grants, training grants, traineeships, experimental and demonstration grants, evaluation grants, planning grants, technical assistance grants, survey grants, and construction grants.</t>
        </r>
      </text>
    </comment>
    <comment ref="B118" authorId="0" shapeId="0" xr:uid="{00000000-0006-0000-0100-000072000000}">
      <text>
        <r>
          <rPr>
            <sz val="9"/>
            <color indexed="81"/>
            <rFont val="Tahoma"/>
            <family val="2"/>
          </rPr>
          <t>Earmarked Grants involves the distribution of money to State and Local Governments for a named purpose or service usually specifically noted by Congress in appropriations language, or other program authorizing language.</t>
        </r>
      </text>
    </comment>
    <comment ref="B119" authorId="0" shapeId="0" xr:uid="{00000000-0006-0000-0100-000073000000}">
      <text>
        <r>
          <rPr>
            <sz val="9"/>
            <color indexed="81"/>
            <rFont val="Tahoma"/>
            <family val="2"/>
          </rPr>
          <t>State Loans involve all disbursement of funds by the Government to a State or Local Government (or Indian Tribe) entity under a contract that requires the repayment of such funds with or without interest.</t>
        </r>
      </text>
    </comment>
    <comment ref="A120" authorId="0" shapeId="0" xr:uid="{00000000-0006-0000-0100-000074000000}">
      <text>
        <r>
          <rPr>
            <sz val="9"/>
            <color indexed="81"/>
            <rFont val="Tahoma"/>
            <family val="2"/>
          </rPr>
          <t>Direct Services for Citizens refers to the delivery of a good or service to (or on behalf of) the citizenry by the federal government with no other intervening persons, conditions, or organizations.</t>
        </r>
      </text>
    </comment>
    <comment ref="B121" authorId="0" shapeId="0" xr:uid="{00000000-0006-0000-0100-000075000000}">
      <text>
        <r>
          <rPr>
            <sz val="9"/>
            <color indexed="81"/>
            <rFont val="Tahoma"/>
            <family val="2"/>
          </rPr>
          <t>The BRM provided in the FEA Consolidated Reference Model Document, Version 2.3, October 2007 does not define the Military Operations information type. For the purpose of this document, Military Operations describes the direct provision of military service for the citizens. Further, the BRM specifies Military Operations as a Mode of Delivery business area or a vehicle by which the federal government delivers it services to citizens. Therefore, agency personnel should consider the Military Operations information type as delivery mechanisms of the mission-based services information types [e.g., Catastrophic Defense, Emergency Response, Key Asset and Critical Infrastructure Protection] described heretofore.</t>
        </r>
      </text>
    </comment>
    <comment ref="B122" authorId="0" shapeId="0" xr:uid="{00000000-0006-0000-0100-000076000000}">
      <text>
        <r>
          <rPr>
            <sz val="9"/>
            <color indexed="81"/>
            <rFont val="Tahoma"/>
            <family val="2"/>
          </rPr>
          <t>Civilian Operations describes the direct provision of a non-military service for the citizen by government employees.</t>
        </r>
      </text>
    </comment>
  </commentList>
</comments>
</file>

<file path=xl/sharedStrings.xml><?xml version="1.0" encoding="utf-8"?>
<sst xmlns="http://schemas.openxmlformats.org/spreadsheetml/2006/main" count="530" uniqueCount="178">
  <si>
    <t>Risk Management Framework</t>
  </si>
  <si>
    <t>Step 1 - Categorize</t>
  </si>
  <si>
    <t>Purpose</t>
  </si>
  <si>
    <t>Determine impact to security objectives of confidentiality, integrity, and availability referred to as CIA.</t>
  </si>
  <si>
    <t>Required Participants</t>
  </si>
  <si>
    <t>Program Manager (PM)</t>
  </si>
  <si>
    <t>Information Systems Security Officer (ISSO)</t>
  </si>
  <si>
    <t>User Representative (UR)</t>
  </si>
  <si>
    <t>Mission owners</t>
  </si>
  <si>
    <t>Procedure</t>
  </si>
  <si>
    <t>1.  Enter the package name and date of review on the "Missoin Types" tab.</t>
  </si>
  <si>
    <t>2.  For each item in tab "Mission Types," select the highest applicable value.</t>
  </si>
  <si>
    <t>3.  Apply this security category to the RMF package in MCCAST.</t>
  </si>
  <si>
    <t>Notes</t>
  </si>
  <si>
    <t>“The security category of a system should not be changed or modified to reflect management decisions to allocate more stringent or less stringent security controls.”  CNSSI 1253 3.1.1</t>
  </si>
  <si>
    <t>Do not further consolidate the security objective values into a single overall value as the FIPS 200 high water mark was not adopted by the CNSSI 1253.</t>
  </si>
  <si>
    <t>Governing Documents</t>
  </si>
  <si>
    <t>FIPS 199:  Standards for Security Categorization of Federal Information and Information Systems</t>
  </si>
  <si>
    <t>NIST SP 800-60 Vol1:  Guide for Mapping Types of Information and Information Systems to Security Categories</t>
  </si>
  <si>
    <t xml:space="preserve">NIST SP 800-60 Vol2:  Appendices to Guide for Mapping Types of Information and Information Systems to Security Categories </t>
  </si>
  <si>
    <t xml:space="preserve">CNSSI 1253:  Security Categorization and Control Selection for National Security Systems </t>
  </si>
  <si>
    <t>Definitions</t>
  </si>
  <si>
    <t>Confidentiality</t>
  </si>
  <si>
    <t>Integrity</t>
  </si>
  <si>
    <t>Availability</t>
  </si>
  <si>
    <t>Low</t>
  </si>
  <si>
    <t>Moderate</t>
  </si>
  <si>
    <t>High</t>
  </si>
  <si>
    <t>Limited</t>
  </si>
  <si>
    <t>Serious</t>
  </si>
  <si>
    <t>Severe or Catestrophic</t>
  </si>
  <si>
    <t>Acryonyms</t>
  </si>
  <si>
    <t>FIPS</t>
  </si>
  <si>
    <t>Federal Information Processing Standards Publication</t>
  </si>
  <si>
    <t>NIST</t>
  </si>
  <si>
    <t>National Institute of Standards and Technology</t>
  </si>
  <si>
    <t>SP</t>
  </si>
  <si>
    <t>Special Publication</t>
  </si>
  <si>
    <t>CNSSI</t>
  </si>
  <si>
    <t>Committee on National Security Systems Instruction</t>
  </si>
  <si>
    <t>MCCAST</t>
  </si>
  <si>
    <t>Marine Corps Certification and Authorization Support Tool</t>
  </si>
  <si>
    <t>RMF</t>
  </si>
  <si>
    <t>CAP</t>
  </si>
  <si>
    <t>Controlled Access Programs (Intel)</t>
  </si>
  <si>
    <t>Package</t>
  </si>
  <si>
    <r>
      <t xml:space="preserve">Insert Package Name </t>
    </r>
    <r>
      <rPr>
        <sz val="11"/>
        <color rgb="FFFFC000"/>
        <rFont val="Calibri"/>
        <family val="2"/>
        <scheme val="minor"/>
      </rPr>
      <t>%#</t>
    </r>
  </si>
  <si>
    <t>Security Category</t>
  </si>
  <si>
    <t>Gray Font indicates provisional impact value.</t>
  </si>
  <si>
    <t>Date</t>
  </si>
  <si>
    <r>
      <t xml:space="preserve">Insert Date </t>
    </r>
    <r>
      <rPr>
        <sz val="11"/>
        <color rgb="FFFFC000"/>
        <rFont val="Calibri"/>
        <family val="2"/>
        <scheme val="minor"/>
      </rPr>
      <t>%#</t>
    </r>
  </si>
  <si>
    <t>Applicability Actions:  Process, Store, Transmit, Protect</t>
  </si>
  <si>
    <t>Hover over Mission Type for 800-60 description</t>
  </si>
  <si>
    <t>Mission Type</t>
  </si>
  <si>
    <t>Applicability</t>
  </si>
  <si>
    <t xml:space="preserve">Confidentiality </t>
  </si>
  <si>
    <t xml:space="preserve">Availablilty </t>
  </si>
  <si>
    <t xml:space="preserve">Defense and National Security </t>
  </si>
  <si>
    <t xml:space="preserve">National Security </t>
  </si>
  <si>
    <t>Homeland Security</t>
  </si>
  <si>
    <t>Border Control and Transportation Security</t>
  </si>
  <si>
    <t>No</t>
  </si>
  <si>
    <t>Key Asset and Critical Infrastructure Protection</t>
  </si>
  <si>
    <t>Catastrophic Defense</t>
  </si>
  <si>
    <t>Executive Functions of the EOP</t>
  </si>
  <si>
    <t>Intelligence Operations</t>
  </si>
  <si>
    <t>Disaster Management</t>
  </si>
  <si>
    <t>Disaster Monitoring and Prediction</t>
  </si>
  <si>
    <t>Disaster Preparedness and Planning</t>
  </si>
  <si>
    <t>Disaster Repair and Restoration</t>
  </si>
  <si>
    <t>Emergency Response</t>
  </si>
  <si>
    <t xml:space="preserve">International Affairs and Commerce                         </t>
  </si>
  <si>
    <t>Foreign Affairs</t>
  </si>
  <si>
    <t>International Development and Humanitarian Aid</t>
  </si>
  <si>
    <t>Global Trade</t>
  </si>
  <si>
    <t>Natural Resources</t>
  </si>
  <si>
    <t>Water Resource Management</t>
  </si>
  <si>
    <t>Conservation, Marine, and Land Management</t>
  </si>
  <si>
    <t>Recreational Resource Management and Tourism</t>
  </si>
  <si>
    <t>Agricultural Innovation and Services</t>
  </si>
  <si>
    <t>Energy</t>
  </si>
  <si>
    <t>Energy Supply</t>
  </si>
  <si>
    <t>Energy Conservation and Preparedness</t>
  </si>
  <si>
    <t>Energy Resource Management</t>
  </si>
  <si>
    <t>Energy Production</t>
  </si>
  <si>
    <t>Environmental Management</t>
  </si>
  <si>
    <t>Environmental Monitoring/ Forecasting</t>
  </si>
  <si>
    <t>Environmental Remediation</t>
  </si>
  <si>
    <t>Pollution Prevention And Control</t>
  </si>
  <si>
    <t>Economic Development</t>
  </si>
  <si>
    <t>Business and Industry Development</t>
  </si>
  <si>
    <t>Intellectual Property Protection</t>
  </si>
  <si>
    <t>Financial Sector Oversight</t>
  </si>
  <si>
    <t>Industry Sector Income Stabilization</t>
  </si>
  <si>
    <t>Community and Social Services</t>
  </si>
  <si>
    <t>Homeownership Promotion</t>
  </si>
  <si>
    <t>Community and Regional Development</t>
  </si>
  <si>
    <t>Social Services</t>
  </si>
  <si>
    <t>Postal Services</t>
  </si>
  <si>
    <t>Transportation</t>
  </si>
  <si>
    <t>Ground Transportation</t>
  </si>
  <si>
    <t>Water Transportation</t>
  </si>
  <si>
    <t>Air Transportation</t>
  </si>
  <si>
    <t>Space Operations</t>
  </si>
  <si>
    <t>Education</t>
  </si>
  <si>
    <t>Elementary, Secondary, and Vocational Education</t>
  </si>
  <si>
    <t>Higher Education</t>
  </si>
  <si>
    <t>Cultural &amp; Historic Preservation</t>
  </si>
  <si>
    <t>Cultural &amp; Historic Exhibition</t>
  </si>
  <si>
    <t>Workforce Management</t>
  </si>
  <si>
    <t>Training and Employment</t>
  </si>
  <si>
    <t>Labor Rights Management</t>
  </si>
  <si>
    <t>Worker Safety</t>
  </si>
  <si>
    <t>Health</t>
  </si>
  <si>
    <t>Access to Care</t>
  </si>
  <si>
    <t>Population Health Management and Consumer Safety</t>
  </si>
  <si>
    <t>Health Care Administration</t>
  </si>
  <si>
    <t>Health Care Delivery Services</t>
  </si>
  <si>
    <t>Health Care Research and Practitioner Education</t>
  </si>
  <si>
    <t>Income Security</t>
  </si>
  <si>
    <t>General Retirement and Disability</t>
  </si>
  <si>
    <t>Unemployment Compensation</t>
  </si>
  <si>
    <t>Housing Assistance</t>
  </si>
  <si>
    <t>Food and Nutrition Assistance</t>
  </si>
  <si>
    <t>Survivor Compensation</t>
  </si>
  <si>
    <t>Law Enforcement</t>
  </si>
  <si>
    <t>Criminal Apprehension</t>
  </si>
  <si>
    <t>Criminal Investigation and Surveillance</t>
  </si>
  <si>
    <t>Citizen Protection</t>
  </si>
  <si>
    <t>Leadership Protection</t>
  </si>
  <si>
    <t>Property Protection</t>
  </si>
  <si>
    <t>Substance Control</t>
  </si>
  <si>
    <t>Crime Prevention</t>
  </si>
  <si>
    <t>Trade Law Enforcement</t>
  </si>
  <si>
    <t>Litigation and Judicial Activities</t>
  </si>
  <si>
    <t>Judicial Hearings</t>
  </si>
  <si>
    <t>Legal Defense</t>
  </si>
  <si>
    <t>Legal Investigation</t>
  </si>
  <si>
    <t>Legal Prosecution and Litigation</t>
  </si>
  <si>
    <t>Resolution Facilitation</t>
  </si>
  <si>
    <t>Federal Correctional Activities</t>
  </si>
  <si>
    <t>Criminal Incarceration</t>
  </si>
  <si>
    <t>Criminal Rehabilitation</t>
  </si>
  <si>
    <t>General Science and Innovation</t>
  </si>
  <si>
    <t>Scientific and Technological Research and Innovation</t>
  </si>
  <si>
    <t>Space Exploration and Innovation</t>
  </si>
  <si>
    <t>Knowledge Creation and Management</t>
  </si>
  <si>
    <t>Research and Development</t>
  </si>
  <si>
    <t>General Purpose Data and Statistics</t>
  </si>
  <si>
    <t>Advising and Consulting</t>
  </si>
  <si>
    <t>Knowledge Dissemination</t>
  </si>
  <si>
    <t>Regulatory Compliance and Enforcement</t>
  </si>
  <si>
    <t>Inspections and Auditing</t>
  </si>
  <si>
    <t>Standards Setting/ Reporting Guideline Development</t>
  </si>
  <si>
    <t>Permits and Licensing</t>
  </si>
  <si>
    <t>Public Goods Creation and Management</t>
  </si>
  <si>
    <t>Manufacturing</t>
  </si>
  <si>
    <t>Construction</t>
  </si>
  <si>
    <t>Public Resources, Facility, and Infrastructure Management</t>
  </si>
  <si>
    <t>Information Infrastructure Management</t>
  </si>
  <si>
    <t>Federal Financial Assistance</t>
  </si>
  <si>
    <t>Federal Grants (Non-State)</t>
  </si>
  <si>
    <t>Direct Transfers to Individuals</t>
  </si>
  <si>
    <t>Subsidies</t>
  </si>
  <si>
    <t>Tax Credits</t>
  </si>
  <si>
    <t>Credits and Insurance</t>
  </si>
  <si>
    <t>Direct Loans</t>
  </si>
  <si>
    <t>Loan Guarantees</t>
  </si>
  <si>
    <t>General Insurance</t>
  </si>
  <si>
    <t>Transfers to State/Local Governments</t>
  </si>
  <si>
    <t>Formula Grants</t>
  </si>
  <si>
    <t>Project/Competitive Grants</t>
  </si>
  <si>
    <t>Earmarked Grants</t>
  </si>
  <si>
    <t>State Loans</t>
  </si>
  <si>
    <t>Direct Services for Citizens</t>
  </si>
  <si>
    <t>N/A</t>
  </si>
  <si>
    <t>Military Operations</t>
  </si>
  <si>
    <t>Civilian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</si>
</sst>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4" x14ac:knownFonts="1">
    <font>
      <sz val="11"/>
      <color theme="1"/>
      <name val="Calibri"/>
      <family val="2"/>
      <scheme val="minor"/>
    </font>
    <font>
      <b/>
      <sz val="12"/>
      <color theme="1"/>
      <name val="Calibri"/>
      <family val="2"/>
      <scheme val="minor"/>
    </font>
    <font>
      <sz val="12"/>
      <color theme="1"/>
      <name val="Calibri"/>
      <family val="2"/>
      <scheme val="minor"/>
    </font>
    <font>
      <b/>
      <sz val="14"/>
      <color theme="0"/>
      <name val="Calibri"/>
      <family val="2"/>
      <scheme val="minor"/>
    </font>
    <font>
      <b/>
      <sz val="12"/>
      <color theme="2" tint="-0.499984740745262"/>
      <name val="Calibri"/>
      <family val="2"/>
      <scheme val="minor"/>
    </font>
    <font>
      <b/>
      <sz val="12"/>
      <color theme="6" tint="-0.249977111117893"/>
      <name val="Calibri"/>
      <family val="2"/>
      <scheme val="minor"/>
    </font>
    <font>
      <b/>
      <sz val="11"/>
      <color theme="0"/>
      <name val="Calibri"/>
      <family val="2"/>
      <scheme val="minor"/>
    </font>
    <font>
      <sz val="9"/>
      <color indexed="81"/>
      <name val="Tahoma"/>
      <family val="2"/>
    </font>
    <font>
      <sz val="10"/>
      <color indexed="81"/>
      <name val="Tahoma"/>
      <family val="2"/>
    </font>
    <font>
      <b/>
      <sz val="11"/>
      <color theme="1"/>
      <name val="Calibri"/>
      <family val="2"/>
      <scheme val="minor"/>
    </font>
    <font>
      <sz val="11"/>
      <color rgb="FFFFC000"/>
      <name val="Calibri"/>
      <family val="2"/>
      <scheme val="minor"/>
    </font>
    <font>
      <b/>
      <sz val="11"/>
      <name val="Calibri"/>
      <family val="2"/>
      <scheme val="minor"/>
    </font>
    <font>
      <sz val="11"/>
      <color theme="1"/>
      <name val="Times New Roman"/>
      <family val="1"/>
    </font>
    <font>
      <b/>
      <sz val="11"/>
      <color theme="1"/>
      <name val="Times New Roman"/>
      <family val="1"/>
    </font>
  </fonts>
  <fills count="4">
    <fill>
      <patternFill patternType="none"/>
    </fill>
    <fill>
      <patternFill patternType="gray125"/>
    </fill>
    <fill>
      <patternFill patternType="solid">
        <fgColor theme="1"/>
        <bgColor indexed="64"/>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theme="0"/>
      </bottom>
      <diagonal/>
    </border>
    <border>
      <left/>
      <right/>
      <top style="thin">
        <color indexed="64"/>
      </top>
      <bottom/>
      <diagonal/>
    </border>
    <border>
      <left/>
      <right style="thin">
        <color indexed="64"/>
      </right>
      <top/>
      <bottom/>
      <diagonal/>
    </border>
    <border>
      <left/>
      <right style="thin">
        <color indexed="64"/>
      </right>
      <top style="thin">
        <color indexed="64"/>
      </top>
      <bottom style="thick">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1">
    <xf numFmtId="0" fontId="0" fillId="0" borderId="0"/>
  </cellStyleXfs>
  <cellXfs count="39">
    <xf numFmtId="0" fontId="0" fillId="0" borderId="0" xfId="0"/>
    <xf numFmtId="0" fontId="0" fillId="0" borderId="0" xfId="0" applyAlignment="1">
      <alignment horizontal="center"/>
    </xf>
    <xf numFmtId="0" fontId="1" fillId="0" borderId="1" xfId="0" applyFont="1" applyBorder="1"/>
    <xf numFmtId="0" fontId="0" fillId="0" borderId="1" xfId="0" applyBorder="1" applyAlignment="1">
      <alignment horizontal="right"/>
    </xf>
    <xf numFmtId="0" fontId="0" fillId="0" borderId="1" xfId="0" applyFont="1" applyBorder="1" applyAlignment="1">
      <alignment horizontal="right"/>
    </xf>
    <xf numFmtId="0" fontId="1" fillId="0" borderId="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xf>
    <xf numFmtId="0" fontId="6" fillId="2" borderId="1" xfId="0" applyFont="1" applyFill="1" applyBorder="1" applyAlignment="1">
      <alignment horizontal="center" wrapText="1"/>
    </xf>
    <xf numFmtId="0" fontId="9" fillId="0" borderId="0" xfId="0" applyFont="1"/>
    <xf numFmtId="0" fontId="0" fillId="0" borderId="0" xfId="0" applyFont="1"/>
    <xf numFmtId="0" fontId="3" fillId="2" borderId="2" xfId="0" applyFont="1" applyFill="1" applyBorder="1" applyAlignment="1">
      <alignment horizontal="center"/>
    </xf>
    <xf numFmtId="0" fontId="3" fillId="2" borderId="5" xfId="0" applyFont="1" applyFill="1" applyBorder="1" applyAlignment="1">
      <alignment horizontal="center"/>
    </xf>
    <xf numFmtId="0" fontId="2" fillId="0" borderId="1" xfId="0" applyFont="1" applyBorder="1" applyAlignment="1">
      <alignment horizontal="right"/>
    </xf>
    <xf numFmtId="0" fontId="0" fillId="0" borderId="1" xfId="0" applyBorder="1" applyAlignment="1">
      <alignment horizontal="left"/>
    </xf>
    <xf numFmtId="0" fontId="0" fillId="0" borderId="1" xfId="0" applyFont="1" applyBorder="1" applyAlignment="1">
      <alignment horizontal="left"/>
    </xf>
    <xf numFmtId="0" fontId="6" fillId="2" borderId="1" xfId="0" applyFont="1" applyFill="1" applyBorder="1" applyAlignment="1">
      <alignment horizontal="center" vertical="center"/>
    </xf>
    <xf numFmtId="0" fontId="11" fillId="0" borderId="0" xfId="0" applyFont="1" applyFill="1" applyAlignment="1">
      <alignment horizontal="center" vertical="center" wrapText="1"/>
    </xf>
    <xf numFmtId="0" fontId="0" fillId="0" borderId="0" xfId="0" applyFont="1" applyAlignment="1">
      <alignment horizontal="center"/>
    </xf>
    <xf numFmtId="0" fontId="12" fillId="0" borderId="0" xfId="0" applyFont="1" applyAlignment="1">
      <alignment vertical="center"/>
    </xf>
    <xf numFmtId="49" fontId="0" fillId="0" borderId="0" xfId="0" applyNumberFormat="1" applyAlignment="1">
      <alignment wrapText="1"/>
    </xf>
    <xf numFmtId="0" fontId="13" fillId="0" borderId="0" xfId="0" applyFont="1" applyAlignment="1">
      <alignment vertical="center"/>
    </xf>
    <xf numFmtId="164" fontId="0" fillId="0" borderId="0" xfId="0" applyNumberFormat="1" applyAlignment="1"/>
    <xf numFmtId="0" fontId="9" fillId="0" borderId="0" xfId="0" applyFont="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9" fillId="3" borderId="11" xfId="0" applyFont="1" applyFill="1" applyBorder="1" applyAlignment="1">
      <alignment horizontal="left"/>
    </xf>
    <xf numFmtId="0" fontId="9" fillId="3" borderId="0" xfId="0" applyFont="1" applyFill="1" applyBorder="1" applyAlignment="1">
      <alignment horizontal="left"/>
    </xf>
    <xf numFmtId="0" fontId="9" fillId="3" borderId="4" xfId="0" applyFont="1" applyFill="1" applyBorder="1" applyAlignment="1">
      <alignment horizontal="left"/>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9" fillId="3" borderId="6" xfId="0" applyFont="1" applyFill="1" applyBorder="1" applyAlignment="1">
      <alignment horizontal="left"/>
    </xf>
    <xf numFmtId="0" fontId="9" fillId="3" borderId="3" xfId="0" applyFont="1" applyFill="1" applyBorder="1" applyAlignment="1">
      <alignment horizontal="left"/>
    </xf>
    <xf numFmtId="0" fontId="9" fillId="3" borderId="7" xfId="0" applyFont="1" applyFill="1" applyBorder="1" applyAlignment="1">
      <alignment horizontal="left"/>
    </xf>
    <xf numFmtId="0" fontId="9" fillId="3" borderId="8" xfId="0" applyFont="1" applyFill="1" applyBorder="1" applyAlignment="1">
      <alignment horizontal="left"/>
    </xf>
    <xf numFmtId="0" fontId="9" fillId="3" borderId="9" xfId="0" applyFont="1" applyFill="1" applyBorder="1" applyAlignment="1">
      <alignment horizontal="left"/>
    </xf>
    <xf numFmtId="0" fontId="9" fillId="3" borderId="10" xfId="0" applyFont="1" applyFill="1" applyBorder="1" applyAlignment="1">
      <alignment horizontal="left"/>
    </xf>
    <xf numFmtId="0" fontId="1" fillId="0" borderId="6" xfId="0" applyFont="1" applyBorder="1" applyAlignment="1"/>
    <xf numFmtId="0" fontId="1" fillId="0" borderId="7" xfId="0" applyFont="1" applyBorder="1" applyAlignment="1"/>
  </cellXfs>
  <cellStyles count="1">
    <cellStyle name="Normal" xfId="0" builtinId="0"/>
  </cellStyles>
  <dxfs count="1">
    <dxf>
      <font>
        <color theme="1"/>
      </font>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workbookViewId="0">
      <selection activeCell="D8" sqref="D8"/>
    </sheetView>
  </sheetViews>
  <sheetFormatPr defaultRowHeight="14.5" x14ac:dyDescent="0.35"/>
  <cols>
    <col min="1" max="1" width="12.54296875" customWidth="1"/>
    <col min="2" max="2" width="68.54296875" bestFit="1" customWidth="1"/>
  </cols>
  <sheetData>
    <row r="1" spans="1:2" x14ac:dyDescent="0.35">
      <c r="A1" s="23" t="s">
        <v>0</v>
      </c>
      <c r="B1" s="23"/>
    </row>
    <row r="2" spans="1:2" x14ac:dyDescent="0.35">
      <c r="A2" s="23" t="s">
        <v>1</v>
      </c>
      <c r="B2" s="23"/>
    </row>
    <row r="4" spans="1:2" x14ac:dyDescent="0.35">
      <c r="A4" s="9" t="s">
        <v>2</v>
      </c>
    </row>
    <row r="5" spans="1:2" ht="29" x14ac:dyDescent="0.35">
      <c r="B5" s="20" t="s">
        <v>3</v>
      </c>
    </row>
    <row r="7" spans="1:2" x14ac:dyDescent="0.35">
      <c r="A7" s="9" t="s">
        <v>4</v>
      </c>
    </row>
    <row r="8" spans="1:2" x14ac:dyDescent="0.35">
      <c r="B8" t="s">
        <v>5</v>
      </c>
    </row>
    <row r="9" spans="1:2" x14ac:dyDescent="0.35">
      <c r="B9" t="s">
        <v>6</v>
      </c>
    </row>
    <row r="10" spans="1:2" x14ac:dyDescent="0.35">
      <c r="B10" t="s">
        <v>7</v>
      </c>
    </row>
    <row r="11" spans="1:2" x14ac:dyDescent="0.35">
      <c r="B11" t="s">
        <v>8</v>
      </c>
    </row>
    <row r="13" spans="1:2" x14ac:dyDescent="0.35">
      <c r="A13" s="9" t="s">
        <v>9</v>
      </c>
    </row>
    <row r="14" spans="1:2" x14ac:dyDescent="0.35">
      <c r="A14" s="9"/>
      <c r="B14" t="s">
        <v>10</v>
      </c>
    </row>
    <row r="15" spans="1:2" x14ac:dyDescent="0.35">
      <c r="B15" t="s">
        <v>11</v>
      </c>
    </row>
    <row r="16" spans="1:2" x14ac:dyDescent="0.35">
      <c r="B16" t="s">
        <v>12</v>
      </c>
    </row>
    <row r="18" spans="1:2" x14ac:dyDescent="0.35">
      <c r="A18" s="9" t="s">
        <v>13</v>
      </c>
    </row>
    <row r="19" spans="1:2" ht="43.5" x14ac:dyDescent="0.35">
      <c r="A19" s="19"/>
      <c r="B19" s="20" t="s">
        <v>14</v>
      </c>
    </row>
    <row r="20" spans="1:2" ht="30.75" customHeight="1" x14ac:dyDescent="0.35">
      <c r="A20" s="19"/>
      <c r="B20" s="20" t="s">
        <v>15</v>
      </c>
    </row>
    <row r="21" spans="1:2" x14ac:dyDescent="0.35">
      <c r="A21" s="19"/>
    </row>
    <row r="22" spans="1:2" x14ac:dyDescent="0.35">
      <c r="A22" s="21" t="s">
        <v>16</v>
      </c>
    </row>
    <row r="23" spans="1:2" ht="29" x14ac:dyDescent="0.35">
      <c r="A23" s="19"/>
      <c r="B23" s="20" t="s">
        <v>17</v>
      </c>
    </row>
    <row r="24" spans="1:2" ht="29" x14ac:dyDescent="0.35">
      <c r="A24" s="19"/>
      <c r="B24" s="20" t="s">
        <v>18</v>
      </c>
    </row>
    <row r="25" spans="1:2" ht="29" x14ac:dyDescent="0.35">
      <c r="A25" s="19"/>
      <c r="B25" s="20" t="s">
        <v>19</v>
      </c>
    </row>
    <row r="26" spans="1:2" ht="29" x14ac:dyDescent="0.35">
      <c r="A26" s="19"/>
      <c r="B26" s="20" t="s">
        <v>20</v>
      </c>
    </row>
    <row r="27" spans="1:2" x14ac:dyDescent="0.35">
      <c r="A27" s="19"/>
      <c r="B27" s="20"/>
    </row>
    <row r="29" spans="1:2" x14ac:dyDescent="0.35">
      <c r="A29" s="9" t="s">
        <v>21</v>
      </c>
    </row>
    <row r="30" spans="1:2" x14ac:dyDescent="0.35">
      <c r="A30" t="s">
        <v>22</v>
      </c>
    </row>
    <row r="31" spans="1:2" x14ac:dyDescent="0.35">
      <c r="A31" t="s">
        <v>23</v>
      </c>
    </row>
    <row r="32" spans="1:2" x14ac:dyDescent="0.35">
      <c r="A32" t="s">
        <v>24</v>
      </c>
    </row>
    <row r="33" spans="1:2" x14ac:dyDescent="0.35">
      <c r="A33" t="s">
        <v>25</v>
      </c>
    </row>
    <row r="34" spans="1:2" x14ac:dyDescent="0.35">
      <c r="A34" t="s">
        <v>26</v>
      </c>
    </row>
    <row r="35" spans="1:2" x14ac:dyDescent="0.35">
      <c r="A35" t="s">
        <v>27</v>
      </c>
    </row>
    <row r="36" spans="1:2" x14ac:dyDescent="0.35">
      <c r="A36" t="s">
        <v>28</v>
      </c>
    </row>
    <row r="37" spans="1:2" x14ac:dyDescent="0.35">
      <c r="A37" t="s">
        <v>29</v>
      </c>
    </row>
    <row r="38" spans="1:2" x14ac:dyDescent="0.35">
      <c r="A38" t="s">
        <v>30</v>
      </c>
    </row>
    <row r="40" spans="1:2" x14ac:dyDescent="0.35">
      <c r="A40" s="9" t="s">
        <v>31</v>
      </c>
    </row>
    <row r="41" spans="1:2" x14ac:dyDescent="0.35">
      <c r="A41" t="s">
        <v>32</v>
      </c>
      <c r="B41" t="s">
        <v>33</v>
      </c>
    </row>
    <row r="42" spans="1:2" x14ac:dyDescent="0.35">
      <c r="A42" t="s">
        <v>34</v>
      </c>
      <c r="B42" t="s">
        <v>35</v>
      </c>
    </row>
    <row r="43" spans="1:2" x14ac:dyDescent="0.35">
      <c r="A43" t="s">
        <v>36</v>
      </c>
      <c r="B43" t="s">
        <v>37</v>
      </c>
    </row>
    <row r="44" spans="1:2" x14ac:dyDescent="0.35">
      <c r="A44" t="s">
        <v>38</v>
      </c>
      <c r="B44" t="s">
        <v>39</v>
      </c>
    </row>
    <row r="45" spans="1:2" x14ac:dyDescent="0.35">
      <c r="A45" t="s">
        <v>40</v>
      </c>
      <c r="B45" t="s">
        <v>41</v>
      </c>
    </row>
    <row r="46" spans="1:2" x14ac:dyDescent="0.35">
      <c r="A46" t="s">
        <v>42</v>
      </c>
      <c r="B46" t="s">
        <v>0</v>
      </c>
    </row>
    <row r="47" spans="1:2" x14ac:dyDescent="0.35">
      <c r="A47" t="s">
        <v>43</v>
      </c>
      <c r="B47" t="s">
        <v>44</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L175"/>
  <sheetViews>
    <sheetView tabSelected="1" zoomScale="115" zoomScaleNormal="115" workbookViewId="0">
      <pane ySplit="4" topLeftCell="A5" activePane="bottomLeft" state="frozen"/>
      <selection pane="bottomLeft" activeCell="C7" sqref="C7:C49"/>
    </sheetView>
  </sheetViews>
  <sheetFormatPr defaultRowHeight="14.5" x14ac:dyDescent="0.35"/>
  <cols>
    <col min="1" max="1" width="9.81640625" customWidth="1"/>
    <col min="2" max="2" width="51.54296875" customWidth="1"/>
    <col min="3" max="3" width="16.54296875" bestFit="1" customWidth="1"/>
    <col min="4" max="4" width="19" bestFit="1" customWidth="1"/>
    <col min="5" max="5" width="19.1796875" customWidth="1"/>
    <col min="6" max="6" width="20.81640625" customWidth="1"/>
    <col min="7" max="9" width="7.1796875" customWidth="1"/>
    <col min="10" max="10" width="18.453125" style="9" customWidth="1"/>
    <col min="11" max="11" width="19.54296875" style="9" customWidth="1"/>
    <col min="12" max="12" width="18.81640625" style="9" customWidth="1"/>
  </cols>
  <sheetData>
    <row r="1" spans="1:12" x14ac:dyDescent="0.35">
      <c r="A1" s="9" t="s">
        <v>45</v>
      </c>
      <c r="B1" s="22" t="s">
        <v>46</v>
      </c>
      <c r="C1" s="18" t="s">
        <v>47</v>
      </c>
      <c r="D1" s="17" t="str">
        <f>IF(COUNTIFS($C$7:$C$122,"Yes",$D$7:$D$122,"High")&gt;0,"High",IF(COUNTIFS($C$7:$C$122,"Yes",$D$7:$D$122,"Moderate")&gt;0,"Moderate","Low"))</f>
        <v>Low</v>
      </c>
      <c r="E1" s="17" t="str">
        <f>IF(COUNTIFS($C$7:$C$122,"Yes",$E$7:$E$122,"High")&gt;0,"High",IF(COUNTIFS($C$7:$C$122,"Yes",$E$7:$E$122,"Moderate")&gt;0,"Moderate","Low"))</f>
        <v>Low</v>
      </c>
      <c r="F1" s="17" t="str">
        <f>IF(COUNTIFS($C$7:$C$122,"Yes",$F$7:$F$122,"High")&gt;0,"High",IF(COUNTIFS($C$7:$C$122,"Yes",$F$7:$F$122,"Moderate")&gt;0,"Moderate","Low"))</f>
        <v>Low</v>
      </c>
      <c r="H1" s="31" t="s">
        <v>48</v>
      </c>
      <c r="I1" s="32"/>
      <c r="J1" s="32"/>
      <c r="K1" s="33"/>
    </row>
    <row r="2" spans="1:12" x14ac:dyDescent="0.35">
      <c r="A2" s="9" t="s">
        <v>49</v>
      </c>
      <c r="B2" s="22" t="s">
        <v>50</v>
      </c>
      <c r="H2" s="26" t="s">
        <v>51</v>
      </c>
      <c r="I2" s="27"/>
      <c r="J2" s="27"/>
      <c r="K2" s="28"/>
    </row>
    <row r="3" spans="1:12" x14ac:dyDescent="0.35">
      <c r="H3" s="34" t="s">
        <v>52</v>
      </c>
      <c r="I3" s="35"/>
      <c r="J3" s="35"/>
      <c r="K3" s="36"/>
    </row>
    <row r="4" spans="1:12" s="10" customFormat="1" x14ac:dyDescent="0.35">
      <c r="A4" s="29" t="s">
        <v>53</v>
      </c>
      <c r="B4" s="30"/>
      <c r="C4" s="8" t="s">
        <v>54</v>
      </c>
      <c r="D4" s="16" t="s">
        <v>55</v>
      </c>
      <c r="E4" s="16" t="s">
        <v>23</v>
      </c>
      <c r="F4" s="16" t="s">
        <v>56</v>
      </c>
      <c r="J4" s="9"/>
      <c r="K4" s="9"/>
      <c r="L4" s="9"/>
    </row>
    <row r="5" spans="1:12" ht="17.25" customHeight="1" x14ac:dyDescent="0.35">
      <c r="A5" s="37" t="s">
        <v>57</v>
      </c>
      <c r="B5" s="38"/>
      <c r="C5" s="2"/>
      <c r="D5" s="5" t="s">
        <v>58</v>
      </c>
      <c r="E5" s="5" t="s">
        <v>58</v>
      </c>
      <c r="F5" s="5" t="s">
        <v>58</v>
      </c>
    </row>
    <row r="6" spans="1:12" ht="19" thickBot="1" x14ac:dyDescent="0.5">
      <c r="A6" s="24" t="s">
        <v>59</v>
      </c>
      <c r="B6" s="25"/>
      <c r="C6" s="12"/>
      <c r="D6" s="12" t="str">
        <f>IF(COUNTIFS($C$7:$C$10,"Yes",$D$7:$D$10,"High")&gt;0,"High",IF(COUNTIFS($C$7:$C$10,"Yes",$D$7:$D$10,"Moderate")&gt;0,"Moderate","Low"))</f>
        <v>Low</v>
      </c>
      <c r="E6" s="12" t="str">
        <f>IF(COUNTIFS($C$7:$C$10,"Yes",$E$7:$E$10,"High")&gt;0,"High",IF(COUNTIFS($C$7:$C$10,"Yes",$E$7:$E$10,"Moderate")&gt;0,"Moderate","Low"))</f>
        <v>Low</v>
      </c>
      <c r="F6" s="11" t="str">
        <f>IF(COUNTIFS($C$7:$C$10,"Yes",$F$7:$F$10,"High")&gt;0,"High",IF(COUNTIFS($C$7:$C$10,"Yes",$F$7:$F$10,"Moderate")&gt;0,"Moderate","Low"))</f>
        <v>Low</v>
      </c>
    </row>
    <row r="7" spans="1:12" ht="16" thickTop="1" x14ac:dyDescent="0.35">
      <c r="B7" s="14" t="s">
        <v>60</v>
      </c>
      <c r="C7" s="3" t="s">
        <v>61</v>
      </c>
      <c r="D7" s="6" t="s">
        <v>26</v>
      </c>
      <c r="E7" s="6" t="s">
        <v>26</v>
      </c>
      <c r="F7" s="6" t="s">
        <v>26</v>
      </c>
    </row>
    <row r="8" spans="1:12" ht="15.5" x14ac:dyDescent="0.35">
      <c r="B8" s="14" t="s">
        <v>62</v>
      </c>
      <c r="C8" s="3" t="s">
        <v>61</v>
      </c>
      <c r="D8" s="5" t="s">
        <v>27</v>
      </c>
      <c r="E8" s="5" t="s">
        <v>27</v>
      </c>
      <c r="F8" s="5" t="s">
        <v>27</v>
      </c>
    </row>
    <row r="9" spans="1:12" ht="15.5" x14ac:dyDescent="0.35">
      <c r="B9" s="14" t="s">
        <v>63</v>
      </c>
      <c r="C9" s="3" t="s">
        <v>61</v>
      </c>
      <c r="D9" s="5" t="s">
        <v>27</v>
      </c>
      <c r="E9" s="5" t="s">
        <v>27</v>
      </c>
      <c r="F9" s="5" t="s">
        <v>27</v>
      </c>
    </row>
    <row r="10" spans="1:12" ht="15.5" x14ac:dyDescent="0.35">
      <c r="B10" s="14" t="s">
        <v>64</v>
      </c>
      <c r="C10" s="3" t="s">
        <v>61</v>
      </c>
      <c r="D10" s="5" t="s">
        <v>27</v>
      </c>
      <c r="E10" s="5" t="s">
        <v>26</v>
      </c>
      <c r="F10" s="5" t="s">
        <v>27</v>
      </c>
    </row>
    <row r="11" spans="1:12" ht="15.5" x14ac:dyDescent="0.35">
      <c r="A11" s="24" t="s">
        <v>65</v>
      </c>
      <c r="B11" s="25"/>
      <c r="C11" s="13" t="s">
        <v>61</v>
      </c>
      <c r="D11" s="5" t="s">
        <v>27</v>
      </c>
      <c r="E11" s="5" t="s">
        <v>27</v>
      </c>
      <c r="F11" s="5" t="s">
        <v>27</v>
      </c>
    </row>
    <row r="12" spans="1:12" ht="19" thickBot="1" x14ac:dyDescent="0.5">
      <c r="A12" s="24" t="s">
        <v>66</v>
      </c>
      <c r="B12" s="25"/>
      <c r="C12" s="12"/>
      <c r="D12" s="11" t="str">
        <f>IF(COUNTIFS($C$13:$C$16,"Yes",$D$13:$D$16,"High")&gt;0,"High",IF(COUNTIFS($C13:$C$16,"Yes",$D$13:$D$16,"Moderate")&gt;0,"Moderate","Low"))</f>
        <v>Low</v>
      </c>
      <c r="E12" s="11" t="str">
        <f>IF(COUNTIFS($C$13:$C$16,"Yes",$E$13:$E$16,"High")&gt;0,"High",IF(COUNTIFS($C$13:$C$16,"Yes",$E$13:$E$16,"Moderate")&gt;0,"Moderate","Low"))</f>
        <v>Low</v>
      </c>
      <c r="F12" s="11" t="str">
        <f>IF(COUNTIFS($C$13:$C$16,"Yes",$F$13:$F$16,"High")&gt;0,"High",IF(COUNTIFS($C$13:$C$16,"Yes",$F$13:$F$16,"Moderate")&gt;0,"Moderate","Low"))</f>
        <v>Low</v>
      </c>
    </row>
    <row r="13" spans="1:12" ht="16" thickTop="1" x14ac:dyDescent="0.35">
      <c r="B13" s="14" t="s">
        <v>67</v>
      </c>
      <c r="C13" s="3" t="s">
        <v>61</v>
      </c>
      <c r="D13" s="6" t="s">
        <v>25</v>
      </c>
      <c r="E13" s="5" t="s">
        <v>27</v>
      </c>
      <c r="F13" s="5" t="s">
        <v>27</v>
      </c>
    </row>
    <row r="14" spans="1:12" ht="15.5" x14ac:dyDescent="0.35">
      <c r="B14" s="14" t="s">
        <v>68</v>
      </c>
      <c r="C14" s="3" t="s">
        <v>61</v>
      </c>
      <c r="D14" s="6" t="s">
        <v>25</v>
      </c>
      <c r="E14" s="6" t="s">
        <v>25</v>
      </c>
      <c r="F14" s="6" t="s">
        <v>25</v>
      </c>
    </row>
    <row r="15" spans="1:12" ht="15.5" x14ac:dyDescent="0.35">
      <c r="B15" s="14" t="s">
        <v>69</v>
      </c>
      <c r="C15" s="3" t="s">
        <v>61</v>
      </c>
      <c r="D15" s="5" t="s">
        <v>25</v>
      </c>
      <c r="E15" s="5" t="s">
        <v>25</v>
      </c>
      <c r="F15" s="5" t="s">
        <v>25</v>
      </c>
    </row>
    <row r="16" spans="1:12" ht="15.5" x14ac:dyDescent="0.35">
      <c r="B16" s="14" t="s">
        <v>70</v>
      </c>
      <c r="C16" s="3" t="s">
        <v>61</v>
      </c>
      <c r="D16" s="6" t="s">
        <v>25</v>
      </c>
      <c r="E16" s="5" t="s">
        <v>27</v>
      </c>
      <c r="F16" s="5" t="s">
        <v>27</v>
      </c>
    </row>
    <row r="17" spans="1:7" ht="19" thickBot="1" x14ac:dyDescent="0.5">
      <c r="A17" s="24" t="s">
        <v>71</v>
      </c>
      <c r="B17" s="25"/>
      <c r="C17" s="12"/>
      <c r="D17" s="11" t="str">
        <f>IF(COUNTIFS($C$18:$C$20,"Yes",$D$18:$D$20,"High")&gt;0,"High",IF(COUNTIFS($C18:$C$20,"Yes",$D$18:$D$20,"Moderate")&gt;0,"Moderate","Low"))</f>
        <v>Low</v>
      </c>
      <c r="E17" s="11" t="str">
        <f>IF(COUNTIFS($C$18:$C$20,"Yes",$E$18:$E$20,"High")&gt;0,"High",IF(COUNTIFS($C$18:$C$20,"Yes",$E$18:$E$20,"Moderate")&gt;0,"Moderate","Low"))</f>
        <v>Low</v>
      </c>
      <c r="F17" s="11" t="str">
        <f>IF(COUNTIFS($C$18:$C$20,"Yes",$F$18:$F$20,"High")&gt;0,"High",IF(COUNTIFS($C$18:$C$20,"Yes",$F$18:$F$20,"Moderate")&gt;0,"Moderate","Low"))</f>
        <v>Low</v>
      </c>
    </row>
    <row r="18" spans="1:7" ht="16" thickTop="1" x14ac:dyDescent="0.35">
      <c r="B18" s="14" t="s">
        <v>72</v>
      </c>
      <c r="C18" s="3" t="s">
        <v>61</v>
      </c>
      <c r="D18" s="5" t="s">
        <v>27</v>
      </c>
      <c r="E18" s="5" t="s">
        <v>27</v>
      </c>
      <c r="F18" s="6" t="s">
        <v>26</v>
      </c>
    </row>
    <row r="19" spans="1:7" ht="15.5" x14ac:dyDescent="0.35">
      <c r="B19" s="14" t="s">
        <v>73</v>
      </c>
      <c r="C19" s="3" t="s">
        <v>61</v>
      </c>
      <c r="D19" s="6" t="s">
        <v>26</v>
      </c>
      <c r="E19" s="6" t="s">
        <v>25</v>
      </c>
      <c r="F19" s="6" t="s">
        <v>25</v>
      </c>
    </row>
    <row r="20" spans="1:7" ht="15.5" x14ac:dyDescent="0.35">
      <c r="B20" s="14" t="s">
        <v>74</v>
      </c>
      <c r="C20" s="3" t="s">
        <v>61</v>
      </c>
      <c r="D20" s="5" t="s">
        <v>27</v>
      </c>
      <c r="E20" s="5" t="s">
        <v>27</v>
      </c>
      <c r="F20" s="5" t="s">
        <v>27</v>
      </c>
    </row>
    <row r="21" spans="1:7" ht="19" thickBot="1" x14ac:dyDescent="0.5">
      <c r="A21" s="24" t="s">
        <v>75</v>
      </c>
      <c r="B21" s="25"/>
      <c r="C21" s="12"/>
      <c r="D21" s="11" t="s">
        <v>25</v>
      </c>
      <c r="E21" s="11" t="s">
        <v>25</v>
      </c>
      <c r="F21" s="11" t="s">
        <v>25</v>
      </c>
    </row>
    <row r="22" spans="1:7" ht="16" thickTop="1" x14ac:dyDescent="0.35">
      <c r="B22" s="14" t="s">
        <v>76</v>
      </c>
      <c r="C22" s="3" t="s">
        <v>61</v>
      </c>
      <c r="D22" s="6" t="s">
        <v>25</v>
      </c>
      <c r="E22" s="5" t="s">
        <v>25</v>
      </c>
      <c r="F22" s="5" t="s">
        <v>25</v>
      </c>
    </row>
    <row r="23" spans="1:7" ht="15.5" x14ac:dyDescent="0.35">
      <c r="B23" s="14" t="s">
        <v>77</v>
      </c>
      <c r="C23" s="3" t="s">
        <v>61</v>
      </c>
      <c r="D23" s="6" t="s">
        <v>25</v>
      </c>
      <c r="E23" s="6" t="s">
        <v>25</v>
      </c>
      <c r="F23" s="6" t="s">
        <v>25</v>
      </c>
    </row>
    <row r="24" spans="1:7" ht="15.5" x14ac:dyDescent="0.35">
      <c r="B24" s="14" t="s">
        <v>78</v>
      </c>
      <c r="C24" s="3" t="s">
        <v>61</v>
      </c>
      <c r="D24" s="6" t="s">
        <v>25</v>
      </c>
      <c r="E24" s="6" t="s">
        <v>25</v>
      </c>
      <c r="F24" s="6" t="s">
        <v>25</v>
      </c>
    </row>
    <row r="25" spans="1:7" ht="13.5" customHeight="1" x14ac:dyDescent="0.35">
      <c r="B25" s="14" t="s">
        <v>79</v>
      </c>
      <c r="C25" s="3" t="s">
        <v>61</v>
      </c>
      <c r="D25" s="6" t="s">
        <v>25</v>
      </c>
      <c r="E25" s="5" t="s">
        <v>25</v>
      </c>
      <c r="F25" s="5" t="s">
        <v>25</v>
      </c>
    </row>
    <row r="26" spans="1:7" ht="19" thickBot="1" x14ac:dyDescent="0.5">
      <c r="A26" s="24" t="s">
        <v>80</v>
      </c>
      <c r="B26" s="25"/>
      <c r="C26" s="12"/>
      <c r="D26" s="11" t="str">
        <f>IF(COUNTIFS($C$27:$C$30,"Yes",$D$27:$D$30,"High")&gt;0,"High",IF(COUNTIFS($C27:$C$30,"Yes",$D$27:$D$30,"Moderate")&gt;0,"Moderate","Low"))</f>
        <v>Low</v>
      </c>
      <c r="E26" s="11" t="str">
        <f>IF(COUNTIFS($C$27:$C$30,"Yes",$E$27:$E$30,"High")&gt;0,"High",IF(COUNTIFS($C$27:$C$30,"Yes",$E$27:$E$30,"Moderate")&gt;0,"Moderate","Low"))</f>
        <v>Low</v>
      </c>
      <c r="F26" s="11" t="str">
        <f>IF(COUNTIFS($C$27:$C$30,"Yes",$F$27:$F$30,"High")&gt;0,"High",IF(COUNTIFS($C$27:$C$30,"Yes",$F$27:$F$30,"Moderate")&gt;0,"Moderate","Low"))</f>
        <v>Low</v>
      </c>
    </row>
    <row r="27" spans="1:7" ht="16" thickTop="1" x14ac:dyDescent="0.35">
      <c r="B27" s="14" t="s">
        <v>81</v>
      </c>
      <c r="C27" s="3" t="s">
        <v>61</v>
      </c>
      <c r="D27" s="6" t="s">
        <v>25</v>
      </c>
      <c r="E27" s="6" t="s">
        <v>26</v>
      </c>
      <c r="F27" s="6" t="s">
        <v>26</v>
      </c>
    </row>
    <row r="28" spans="1:7" ht="15.5" x14ac:dyDescent="0.35">
      <c r="B28" s="14" t="s">
        <v>82</v>
      </c>
      <c r="C28" s="3" t="s">
        <v>61</v>
      </c>
      <c r="D28" s="6" t="s">
        <v>25</v>
      </c>
      <c r="E28" s="6" t="s">
        <v>25</v>
      </c>
      <c r="F28" s="6" t="s">
        <v>25</v>
      </c>
      <c r="G28" s="1"/>
    </row>
    <row r="29" spans="1:7" ht="15.5" x14ac:dyDescent="0.35">
      <c r="B29" s="14" t="s">
        <v>83</v>
      </c>
      <c r="C29" s="3" t="s">
        <v>61</v>
      </c>
      <c r="D29" s="6" t="s">
        <v>26</v>
      </c>
      <c r="E29" s="6" t="s">
        <v>25</v>
      </c>
      <c r="F29" s="5" t="s">
        <v>25</v>
      </c>
    </row>
    <row r="30" spans="1:7" ht="15.5" x14ac:dyDescent="0.35">
      <c r="B30" s="14" t="s">
        <v>84</v>
      </c>
      <c r="C30" s="3" t="s">
        <v>61</v>
      </c>
      <c r="D30" s="6" t="s">
        <v>25</v>
      </c>
      <c r="E30" s="6" t="s">
        <v>25</v>
      </c>
      <c r="F30" s="5" t="s">
        <v>25</v>
      </c>
    </row>
    <row r="31" spans="1:7" ht="19" thickBot="1" x14ac:dyDescent="0.5">
      <c r="A31" s="24" t="s">
        <v>85</v>
      </c>
      <c r="B31" s="25"/>
      <c r="C31" s="12"/>
      <c r="D31" s="11" t="str">
        <f>IF(COUNTIFS($C$32:$C$34,"Yes",$D$32:$D$34,"High")&gt;0,"High",IF(COUNTIFS($C32:$C$34,"Yes",$D$32:$D$34,"Moderate")&gt;0,"Moderate","Low"))</f>
        <v>Low</v>
      </c>
      <c r="E31" s="11" t="str">
        <f>IF(COUNTIFS($C$32:$C$34,"Yes",$E$32:$E$34,"High")&gt;0,"High",IF(COUNTIFS($C$32:$C$34,"Yes",$E$32:$E$34,"Moderate")&gt;0,"Moderate","Low"))</f>
        <v>Low</v>
      </c>
      <c r="F31" s="11" t="s">
        <v>25</v>
      </c>
    </row>
    <row r="32" spans="1:7" ht="16" thickTop="1" x14ac:dyDescent="0.35">
      <c r="B32" s="14" t="s">
        <v>86</v>
      </c>
      <c r="C32" s="3" t="s">
        <v>61</v>
      </c>
      <c r="D32" s="6" t="s">
        <v>25</v>
      </c>
      <c r="E32" s="6" t="s">
        <v>26</v>
      </c>
      <c r="F32" s="5" t="s">
        <v>25</v>
      </c>
    </row>
    <row r="33" spans="1:6" ht="15.5" x14ac:dyDescent="0.35">
      <c r="B33" s="14" t="s">
        <v>87</v>
      </c>
      <c r="C33" s="3" t="s">
        <v>61</v>
      </c>
      <c r="D33" s="5" t="s">
        <v>26</v>
      </c>
      <c r="E33" s="5" t="s">
        <v>25</v>
      </c>
      <c r="F33" s="5" t="s">
        <v>25</v>
      </c>
    </row>
    <row r="34" spans="1:6" ht="15.5" x14ac:dyDescent="0.35">
      <c r="B34" s="14" t="s">
        <v>88</v>
      </c>
      <c r="C34" s="3" t="s">
        <v>61</v>
      </c>
      <c r="D34" s="5" t="s">
        <v>25</v>
      </c>
      <c r="E34" s="5" t="s">
        <v>25</v>
      </c>
      <c r="F34" s="5" t="s">
        <v>25</v>
      </c>
    </row>
    <row r="35" spans="1:6" ht="19" thickBot="1" x14ac:dyDescent="0.5">
      <c r="A35" s="24" t="s">
        <v>89</v>
      </c>
      <c r="B35" s="25"/>
      <c r="C35" s="12"/>
      <c r="D35" s="11" t="str">
        <f>IF(COUNTIFS($C$36:$C$39,"Yes",$D$36:$D$39,"High")&gt;0,"High",IF(COUNTIFS($C36:$C$39,"Yes",$D$36:$D$39,"Moderate")&gt;0,"Moderate","Low"))</f>
        <v>Low</v>
      </c>
      <c r="E35" s="11" t="s">
        <v>25</v>
      </c>
      <c r="F35" s="11" t="s">
        <v>25</v>
      </c>
    </row>
    <row r="36" spans="1:6" ht="16" thickTop="1" x14ac:dyDescent="0.35">
      <c r="B36" s="14" t="s">
        <v>90</v>
      </c>
      <c r="C36" s="3" t="s">
        <v>61</v>
      </c>
      <c r="D36" s="6" t="s">
        <v>25</v>
      </c>
      <c r="E36" s="5" t="s">
        <v>25</v>
      </c>
      <c r="F36" s="5" t="s">
        <v>25</v>
      </c>
    </row>
    <row r="37" spans="1:6" ht="15.5" x14ac:dyDescent="0.35">
      <c r="B37" s="14" t="s">
        <v>91</v>
      </c>
      <c r="C37" s="3" t="s">
        <v>61</v>
      </c>
      <c r="D37" s="6" t="s">
        <v>25</v>
      </c>
      <c r="E37" s="5" t="s">
        <v>25</v>
      </c>
      <c r="F37" s="5" t="s">
        <v>25</v>
      </c>
    </row>
    <row r="38" spans="1:6" ht="15.5" x14ac:dyDescent="0.35">
      <c r="B38" s="14" t="s">
        <v>92</v>
      </c>
      <c r="C38" s="3" t="s">
        <v>61</v>
      </c>
      <c r="D38" s="6" t="s">
        <v>26</v>
      </c>
      <c r="E38" s="6" t="s">
        <v>25</v>
      </c>
      <c r="F38" s="5" t="s">
        <v>25</v>
      </c>
    </row>
    <row r="39" spans="1:6" ht="15.5" x14ac:dyDescent="0.35">
      <c r="B39" s="14" t="s">
        <v>93</v>
      </c>
      <c r="C39" s="3" t="s">
        <v>61</v>
      </c>
      <c r="D39" s="5" t="s">
        <v>26</v>
      </c>
      <c r="E39" s="5" t="s">
        <v>25</v>
      </c>
      <c r="F39" s="5" t="s">
        <v>25</v>
      </c>
    </row>
    <row r="40" spans="1:6" ht="19" thickBot="1" x14ac:dyDescent="0.5">
      <c r="A40" s="24" t="s">
        <v>94</v>
      </c>
      <c r="B40" s="25"/>
      <c r="C40" s="12"/>
      <c r="D40" s="11" t="s">
        <v>25</v>
      </c>
      <c r="E40" s="11" t="str">
        <f>IF(COUNTIFS($C$41:$C44,"Yes",$E$41:$E$44,"High")&gt;0,"High",IF(COUNTIFS($C$41:$C$44,"Yes",$E$41:$E$44,"Moderate")&gt;0,"Moderate","Low"))</f>
        <v>Low</v>
      </c>
      <c r="F40" s="11" t="str">
        <f>IF(COUNTIFS($C$41:$C$44,"Yes",$F$41:$F$44,"High")&gt;0,"High",IF(COUNTIFS($C$41:$C$44,"Yes",$F$41:$F$44,"Moderate")&gt;0,"Moderate","Low"))</f>
        <v>Low</v>
      </c>
    </row>
    <row r="41" spans="1:6" ht="16" thickTop="1" x14ac:dyDescent="0.35">
      <c r="B41" s="14" t="s">
        <v>95</v>
      </c>
      <c r="C41" s="3" t="s">
        <v>61</v>
      </c>
      <c r="D41" s="6" t="s">
        <v>25</v>
      </c>
      <c r="E41" s="5" t="s">
        <v>25</v>
      </c>
      <c r="F41" s="5" t="s">
        <v>25</v>
      </c>
    </row>
    <row r="42" spans="1:6" ht="15.5" x14ac:dyDescent="0.35">
      <c r="B42" s="14" t="s">
        <v>96</v>
      </c>
      <c r="C42" s="3" t="s">
        <v>61</v>
      </c>
      <c r="D42" s="6" t="s">
        <v>25</v>
      </c>
      <c r="E42" s="5" t="s">
        <v>25</v>
      </c>
      <c r="F42" s="5" t="s">
        <v>25</v>
      </c>
    </row>
    <row r="43" spans="1:6" ht="15.5" x14ac:dyDescent="0.35">
      <c r="B43" s="14" t="s">
        <v>97</v>
      </c>
      <c r="C43" s="3" t="s">
        <v>61</v>
      </c>
      <c r="D43" s="6" t="s">
        <v>25</v>
      </c>
      <c r="E43" s="5" t="s">
        <v>25</v>
      </c>
      <c r="F43" s="5" t="s">
        <v>25</v>
      </c>
    </row>
    <row r="44" spans="1:6" ht="15.5" x14ac:dyDescent="0.35">
      <c r="B44" s="14" t="s">
        <v>98</v>
      </c>
      <c r="C44" s="3" t="s">
        <v>61</v>
      </c>
      <c r="D44" s="6" t="s">
        <v>25</v>
      </c>
      <c r="E44" s="6" t="s">
        <v>26</v>
      </c>
      <c r="F44" s="5" t="s">
        <v>26</v>
      </c>
    </row>
    <row r="45" spans="1:6" ht="19" thickBot="1" x14ac:dyDescent="0.5">
      <c r="A45" s="24" t="s">
        <v>99</v>
      </c>
      <c r="B45" s="25"/>
      <c r="C45" s="12"/>
      <c r="D45" s="11" t="s">
        <v>25</v>
      </c>
      <c r="E45" s="11" t="str">
        <f>IF(COUNTIFS($C$46:$C$49,"Yes",$E$46:$E$49,"High")&gt;0,"High",IF(COUNTIFS($C$46:$C$49,"Yes",$E$46:$E$49,"Moderate")&gt;0,"Moderate","Low"))</f>
        <v>Low</v>
      </c>
      <c r="F45" s="11" t="str">
        <f>IF(COUNTIFS($C$46:$C$49,"Yes",$F$46:$F$49,"High")&gt;0,"High",IF(COUNTIFS($C$46:$C$49,"Yes",$F$46:$F$49,"Moderate")&gt;0,"Moderate","Low"))</f>
        <v>Low</v>
      </c>
    </row>
    <row r="46" spans="1:6" ht="16" thickTop="1" x14ac:dyDescent="0.35">
      <c r="B46" s="14" t="s">
        <v>100</v>
      </c>
      <c r="C46" s="3" t="s">
        <v>61</v>
      </c>
      <c r="D46" s="6" t="s">
        <v>25</v>
      </c>
      <c r="E46" s="6" t="s">
        <v>25</v>
      </c>
      <c r="F46" s="6" t="s">
        <v>25</v>
      </c>
    </row>
    <row r="47" spans="1:6" ht="15.5" x14ac:dyDescent="0.35">
      <c r="B47" s="14" t="s">
        <v>101</v>
      </c>
      <c r="C47" s="3" t="s">
        <v>61</v>
      </c>
      <c r="D47" s="6" t="s">
        <v>25</v>
      </c>
      <c r="E47" s="6" t="s">
        <v>25</v>
      </c>
      <c r="F47" s="6" t="s">
        <v>25</v>
      </c>
    </row>
    <row r="48" spans="1:6" ht="15.5" x14ac:dyDescent="0.35">
      <c r="B48" s="14" t="s">
        <v>102</v>
      </c>
      <c r="C48" s="3" t="s">
        <v>61</v>
      </c>
      <c r="D48" s="6" t="s">
        <v>25</v>
      </c>
      <c r="E48" s="6" t="s">
        <v>25</v>
      </c>
      <c r="F48" s="6" t="s">
        <v>25</v>
      </c>
    </row>
    <row r="49" spans="1:6" ht="15.5" x14ac:dyDescent="0.35">
      <c r="B49" s="14" t="s">
        <v>103</v>
      </c>
      <c r="C49" s="3" t="s">
        <v>61</v>
      </c>
      <c r="D49" s="6" t="s">
        <v>25</v>
      </c>
      <c r="E49" s="5" t="s">
        <v>27</v>
      </c>
      <c r="F49" s="5" t="s">
        <v>27</v>
      </c>
    </row>
    <row r="50" spans="1:6" ht="19" thickBot="1" x14ac:dyDescent="0.5">
      <c r="A50" s="24" t="s">
        <v>104</v>
      </c>
      <c r="B50" s="25"/>
      <c r="C50" s="12"/>
      <c r="D50" s="11" t="s">
        <v>25</v>
      </c>
      <c r="E50" s="11" t="s">
        <v>25</v>
      </c>
      <c r="F50" s="11" t="s">
        <v>25</v>
      </c>
    </row>
    <row r="51" spans="1:6" ht="16" thickTop="1" x14ac:dyDescent="0.35">
      <c r="B51" s="14" t="s">
        <v>105</v>
      </c>
      <c r="C51" s="3"/>
      <c r="D51" s="5" t="s">
        <v>25</v>
      </c>
      <c r="E51" s="5" t="s">
        <v>25</v>
      </c>
      <c r="F51" s="5" t="s">
        <v>25</v>
      </c>
    </row>
    <row r="52" spans="1:6" ht="15.5" x14ac:dyDescent="0.35">
      <c r="B52" s="15" t="s">
        <v>106</v>
      </c>
      <c r="C52" s="4"/>
      <c r="D52" s="6" t="s">
        <v>25</v>
      </c>
      <c r="E52" s="6" t="s">
        <v>25</v>
      </c>
      <c r="F52" s="5" t="s">
        <v>25</v>
      </c>
    </row>
    <row r="53" spans="1:6" ht="15.5" x14ac:dyDescent="0.35">
      <c r="B53" s="14" t="s">
        <v>107</v>
      </c>
      <c r="C53" s="3"/>
      <c r="D53" s="6" t="s">
        <v>25</v>
      </c>
      <c r="E53" s="6" t="s">
        <v>25</v>
      </c>
      <c r="F53" s="5" t="s">
        <v>25</v>
      </c>
    </row>
    <row r="54" spans="1:6" ht="15.5" x14ac:dyDescent="0.35">
      <c r="B54" s="14" t="s">
        <v>108</v>
      </c>
      <c r="C54" s="3"/>
      <c r="D54" s="6" t="s">
        <v>25</v>
      </c>
      <c r="E54" s="6" t="s">
        <v>25</v>
      </c>
      <c r="F54" s="5" t="s">
        <v>25</v>
      </c>
    </row>
    <row r="55" spans="1:6" ht="19" thickBot="1" x14ac:dyDescent="0.5">
      <c r="A55" s="24" t="s">
        <v>109</v>
      </c>
      <c r="B55" s="25"/>
      <c r="C55" s="12"/>
      <c r="D55" s="11" t="s">
        <v>25</v>
      </c>
      <c r="E55" s="11" t="s">
        <v>25</v>
      </c>
      <c r="F55" s="11" t="s">
        <v>25</v>
      </c>
    </row>
    <row r="56" spans="1:6" ht="16" thickTop="1" x14ac:dyDescent="0.35">
      <c r="B56" s="14" t="s">
        <v>110</v>
      </c>
      <c r="C56" s="3"/>
      <c r="D56" s="7" t="s">
        <v>25</v>
      </c>
      <c r="E56" s="7" t="s">
        <v>25</v>
      </c>
      <c r="F56" s="5" t="s">
        <v>25</v>
      </c>
    </row>
    <row r="57" spans="1:6" ht="15.5" x14ac:dyDescent="0.35">
      <c r="B57" s="14" t="s">
        <v>111</v>
      </c>
      <c r="C57" s="3"/>
      <c r="D57" s="5" t="s">
        <v>25</v>
      </c>
      <c r="E57" s="5" t="s">
        <v>25</v>
      </c>
      <c r="F57" s="5" t="s">
        <v>25</v>
      </c>
    </row>
    <row r="58" spans="1:6" ht="15.5" x14ac:dyDescent="0.35">
      <c r="B58" s="14" t="s">
        <v>112</v>
      </c>
      <c r="C58" s="3"/>
      <c r="D58" s="5" t="s">
        <v>25</v>
      </c>
      <c r="E58" s="5" t="s">
        <v>25</v>
      </c>
      <c r="F58" s="5" t="s">
        <v>25</v>
      </c>
    </row>
    <row r="59" spans="1:6" ht="19" thickBot="1" x14ac:dyDescent="0.5">
      <c r="A59" s="24" t="s">
        <v>113</v>
      </c>
      <c r="B59" s="25"/>
      <c r="C59" s="12"/>
      <c r="D59" s="11" t="s">
        <v>25</v>
      </c>
      <c r="E59" s="11" t="str">
        <f>IF(COUNTIFS($C$60:$C$64,"Yes",$E$60:$E$64,"High")&gt;0,"High",IF(COUNTIFS($C$60:$C$64,"Yes",$E$60:$E$64,"Moderate")&gt;0,"Moderate","Low"))</f>
        <v>Low</v>
      </c>
      <c r="F59" s="11" t="s">
        <v>25</v>
      </c>
    </row>
    <row r="60" spans="1:6" ht="16" thickTop="1" x14ac:dyDescent="0.35">
      <c r="B60" s="14" t="s">
        <v>114</v>
      </c>
      <c r="C60" s="3"/>
      <c r="D60" s="7" t="s">
        <v>25</v>
      </c>
      <c r="E60" s="5" t="s">
        <v>26</v>
      </c>
      <c r="F60" s="7" t="s">
        <v>25</v>
      </c>
    </row>
    <row r="61" spans="1:6" ht="15.5" x14ac:dyDescent="0.35">
      <c r="B61" s="14" t="s">
        <v>115</v>
      </c>
      <c r="C61" s="3"/>
      <c r="D61" s="7" t="s">
        <v>25</v>
      </c>
      <c r="E61" s="7" t="s">
        <v>26</v>
      </c>
      <c r="F61" s="7" t="s">
        <v>25</v>
      </c>
    </row>
    <row r="62" spans="1:6" ht="15.5" x14ac:dyDescent="0.35">
      <c r="B62" s="14" t="s">
        <v>116</v>
      </c>
      <c r="C62" s="3"/>
      <c r="D62" s="7" t="s">
        <v>25</v>
      </c>
      <c r="E62" s="7" t="s">
        <v>26</v>
      </c>
      <c r="F62" s="5" t="s">
        <v>25</v>
      </c>
    </row>
    <row r="63" spans="1:6" ht="15.5" x14ac:dyDescent="0.35">
      <c r="B63" s="14" t="s">
        <v>117</v>
      </c>
      <c r="C63" s="3"/>
      <c r="D63" s="7" t="s">
        <v>25</v>
      </c>
      <c r="E63" s="5" t="s">
        <v>27</v>
      </c>
      <c r="F63" s="7" t="s">
        <v>25</v>
      </c>
    </row>
    <row r="64" spans="1:6" ht="15.5" x14ac:dyDescent="0.35">
      <c r="B64" s="14" t="s">
        <v>118</v>
      </c>
      <c r="C64" s="3"/>
      <c r="D64" s="5" t="s">
        <v>25</v>
      </c>
      <c r="E64" s="5" t="s">
        <v>26</v>
      </c>
      <c r="F64" s="5" t="s">
        <v>25</v>
      </c>
    </row>
    <row r="65" spans="1:6" ht="19" thickBot="1" x14ac:dyDescent="0.5">
      <c r="A65" s="24" t="s">
        <v>119</v>
      </c>
      <c r="B65" s="25"/>
      <c r="C65" s="12"/>
      <c r="D65" s="11" t="str">
        <f>IF(COUNTIFS($C$66:$C$70,"Yes",$D$66:$D$70,"High")&gt;0,"High",IF(COUNTIFS($C66:$C$70,"Yes",$D$66:$D$70,"Moderate")&gt;0,"Moderate","Low"))</f>
        <v>Low</v>
      </c>
      <c r="E65" s="11" t="str">
        <f>IF(COUNTIFS($C$66:$C$70,"Yes",$E$66:$E$70,"High")&gt;0,"High",IF(COUNTIFS($C$66:$C$70,"Yes",$E$66:$E$70,"Moderate")&gt;0,"Moderate","Low"))</f>
        <v>Low</v>
      </c>
      <c r="F65" s="11" t="str">
        <f>IF(COUNTIFS($C$66:$C$70,"Yes",$F$66:$F$70,"High")&gt;0,"High",IF(COUNTIFS($C$66:$C$70,"Yes",$F$66:$F$70,"Moderate")&gt;0,"Moderate","Low"))</f>
        <v>Low</v>
      </c>
    </row>
    <row r="66" spans="1:6" ht="16" thickTop="1" x14ac:dyDescent="0.35">
      <c r="B66" s="14" t="s">
        <v>120</v>
      </c>
      <c r="C66" s="3"/>
      <c r="D66" s="5" t="s">
        <v>26</v>
      </c>
      <c r="E66" s="7" t="s">
        <v>26</v>
      </c>
      <c r="F66" s="7" t="s">
        <v>26</v>
      </c>
    </row>
    <row r="67" spans="1:6" ht="15.5" x14ac:dyDescent="0.35">
      <c r="B67" s="14" t="s">
        <v>121</v>
      </c>
      <c r="C67" s="3"/>
      <c r="D67" s="7" t="s">
        <v>25</v>
      </c>
      <c r="E67" s="5" t="s">
        <v>25</v>
      </c>
      <c r="F67" s="5" t="s">
        <v>25</v>
      </c>
    </row>
    <row r="68" spans="1:6" ht="12.75" customHeight="1" x14ac:dyDescent="0.35">
      <c r="B68" s="14" t="s">
        <v>122</v>
      </c>
      <c r="C68" s="3"/>
      <c r="D68" s="7" t="s">
        <v>25</v>
      </c>
      <c r="E68" s="5" t="s">
        <v>25</v>
      </c>
      <c r="F68" s="5" t="s">
        <v>25</v>
      </c>
    </row>
    <row r="69" spans="1:6" ht="15.5" x14ac:dyDescent="0.35">
      <c r="B69" s="14" t="s">
        <v>123</v>
      </c>
      <c r="C69" s="3"/>
      <c r="D69" s="7" t="s">
        <v>25</v>
      </c>
      <c r="E69" s="5" t="s">
        <v>25</v>
      </c>
      <c r="F69" s="5" t="s">
        <v>25</v>
      </c>
    </row>
    <row r="70" spans="1:6" ht="15.5" x14ac:dyDescent="0.35">
      <c r="B70" s="14" t="s">
        <v>124</v>
      </c>
      <c r="C70" s="3"/>
      <c r="D70" s="7" t="s">
        <v>25</v>
      </c>
      <c r="E70" s="5" t="s">
        <v>25</v>
      </c>
      <c r="F70" s="5" t="s">
        <v>25</v>
      </c>
    </row>
    <row r="71" spans="1:6" ht="19" thickBot="1" x14ac:dyDescent="0.5">
      <c r="A71" s="24" t="s">
        <v>125</v>
      </c>
      <c r="B71" s="25"/>
      <c r="C71" s="12"/>
      <c r="D71" s="11" t="str">
        <f>IF(COUNTIFS($C$72:$C$79,"Yes",$D$72:$D$79,"High")&gt;0,"High",IF(COUNTIFS($C72:$C$79,"Yes",$D$72:$D$79,"Moderate")&gt;0,"Moderate","Low"))</f>
        <v>Low</v>
      </c>
      <c r="E71" s="11" t="str">
        <f>IF(COUNTIFS($C$72:$C$79,"Yes",$E$72:$E$79,"High")&gt;0,"High",IF(COUNTIFS($C$72:$C$79,"Yes",$E$72:$E$79,"Moderate")&gt;0,"Moderate","Low"))</f>
        <v>Low</v>
      </c>
      <c r="F71" s="11" t="str">
        <f>IF(COUNTIFS($C$72:$C$79,"Yes",$F$72:$F$79,"High")&gt;0,"High",IF(COUNTIFS($C$72:$C$79,"Yes",$F$72:F$79,"Moderate")&gt;0,"Moderate","Low"))</f>
        <v>Low</v>
      </c>
    </row>
    <row r="72" spans="1:6" ht="16" thickTop="1" x14ac:dyDescent="0.35">
      <c r="B72" s="14" t="s">
        <v>126</v>
      </c>
      <c r="C72" s="3"/>
      <c r="D72" s="7" t="s">
        <v>25</v>
      </c>
      <c r="E72" s="7" t="s">
        <v>25</v>
      </c>
      <c r="F72" s="5" t="s">
        <v>26</v>
      </c>
    </row>
    <row r="73" spans="1:6" ht="15.5" x14ac:dyDescent="0.35">
      <c r="B73" s="14" t="s">
        <v>127</v>
      </c>
      <c r="C73" s="3"/>
      <c r="D73" s="7" t="s">
        <v>26</v>
      </c>
      <c r="E73" s="7" t="s">
        <v>26</v>
      </c>
      <c r="F73" s="7" t="s">
        <v>26</v>
      </c>
    </row>
    <row r="74" spans="1:6" ht="15.5" x14ac:dyDescent="0.35">
      <c r="B74" s="14" t="s">
        <v>128</v>
      </c>
      <c r="C74" s="3"/>
      <c r="D74" s="7" t="s">
        <v>26</v>
      </c>
      <c r="E74" s="7" t="s">
        <v>26</v>
      </c>
      <c r="F74" s="7" t="s">
        <v>26</v>
      </c>
    </row>
    <row r="75" spans="1:6" ht="15.5" x14ac:dyDescent="0.35">
      <c r="B75" s="14" t="s">
        <v>129</v>
      </c>
      <c r="C75" s="3"/>
      <c r="D75" s="7" t="s">
        <v>26</v>
      </c>
      <c r="E75" s="7" t="s">
        <v>25</v>
      </c>
      <c r="F75" s="7" t="s">
        <v>25</v>
      </c>
    </row>
    <row r="76" spans="1:6" ht="15.5" x14ac:dyDescent="0.35">
      <c r="B76" s="14" t="s">
        <v>130</v>
      </c>
      <c r="C76" s="3"/>
      <c r="D76" s="7" t="s">
        <v>25</v>
      </c>
      <c r="E76" s="7" t="s">
        <v>25</v>
      </c>
      <c r="F76" s="7" t="s">
        <v>25</v>
      </c>
    </row>
    <row r="77" spans="1:6" ht="15.5" x14ac:dyDescent="0.35">
      <c r="B77" s="14" t="s">
        <v>131</v>
      </c>
      <c r="C77" s="3"/>
      <c r="D77" s="7" t="s">
        <v>26</v>
      </c>
      <c r="E77" s="7" t="s">
        <v>26</v>
      </c>
      <c r="F77" s="7" t="s">
        <v>26</v>
      </c>
    </row>
    <row r="78" spans="1:6" ht="15.5" x14ac:dyDescent="0.35">
      <c r="B78" s="14" t="s">
        <v>132</v>
      </c>
      <c r="C78" s="3"/>
      <c r="D78" s="7" t="s">
        <v>25</v>
      </c>
      <c r="E78" s="5" t="s">
        <v>25</v>
      </c>
      <c r="F78" s="7" t="s">
        <v>25</v>
      </c>
    </row>
    <row r="79" spans="1:6" ht="15.5" x14ac:dyDescent="0.35">
      <c r="B79" s="14" t="s">
        <v>133</v>
      </c>
      <c r="C79" s="3"/>
      <c r="D79" s="5" t="s">
        <v>26</v>
      </c>
      <c r="E79" s="7" t="s">
        <v>26</v>
      </c>
      <c r="F79" s="5" t="s">
        <v>26</v>
      </c>
    </row>
    <row r="80" spans="1:6" ht="19" thickBot="1" x14ac:dyDescent="0.5">
      <c r="A80" s="24" t="s">
        <v>134</v>
      </c>
      <c r="B80" s="25"/>
      <c r="C80" s="12"/>
      <c r="D80" s="11" t="str">
        <f>IF(COUNTIFS($C$81:$C$85,"Yes",$D$81:$D$85,"High")&gt;0,"High",IF(COUNTIFS($C81:$C$85,"Yes",$D$81:$D$85,"Moderate")&gt;0,"Moderate","Low"))</f>
        <v>Low</v>
      </c>
      <c r="E80" s="11" t="str">
        <f>IF(COUNTIFS($C$81:$C$85,"Yes",$E$81:$E$85,"High")&gt;0,"High",IF(COUNTIFS($C$81:$C$85,"Yes",$E$81:$E$85,"Moderate")&gt;0,"Moderate","Low"))</f>
        <v>Low</v>
      </c>
      <c r="F80" s="11" t="str">
        <f>IF(COUNTIFS($C$81:$C$85,"Yes",$F$81:$F$85,"High")&gt;0,"High",IF(COUNTIFS($C$81:$C$85,"Yes",$F$81:$F$85,"Moderate")&gt;0,"Moderate","Low"))</f>
        <v>Low</v>
      </c>
    </row>
    <row r="81" spans="1:6" ht="16" thickTop="1" x14ac:dyDescent="0.35">
      <c r="B81" s="14" t="s">
        <v>135</v>
      </c>
      <c r="C81" s="3"/>
      <c r="D81" s="7" t="s">
        <v>26</v>
      </c>
      <c r="E81" s="5" t="s">
        <v>25</v>
      </c>
      <c r="F81" s="7" t="s">
        <v>25</v>
      </c>
    </row>
    <row r="82" spans="1:6" ht="15.5" x14ac:dyDescent="0.35">
      <c r="B82" s="14" t="s">
        <v>136</v>
      </c>
      <c r="C82" s="3"/>
      <c r="D82" s="7" t="s">
        <v>26</v>
      </c>
      <c r="E82" s="7" t="s">
        <v>27</v>
      </c>
      <c r="F82" s="7" t="s">
        <v>25</v>
      </c>
    </row>
    <row r="83" spans="1:6" ht="15.5" x14ac:dyDescent="0.35">
      <c r="B83" s="14" t="s">
        <v>137</v>
      </c>
      <c r="C83" s="3"/>
      <c r="D83" s="7" t="s">
        <v>26</v>
      </c>
      <c r="E83" s="7" t="s">
        <v>26</v>
      </c>
      <c r="F83" s="7" t="s">
        <v>26</v>
      </c>
    </row>
    <row r="84" spans="1:6" ht="15.5" x14ac:dyDescent="0.35">
      <c r="B84" s="14" t="s">
        <v>138</v>
      </c>
      <c r="C84" s="3"/>
      <c r="D84" s="7" t="s">
        <v>25</v>
      </c>
      <c r="E84" s="7" t="s">
        <v>26</v>
      </c>
      <c r="F84" s="7" t="s">
        <v>25</v>
      </c>
    </row>
    <row r="85" spans="1:6" ht="15.5" x14ac:dyDescent="0.35">
      <c r="B85" s="14" t="s">
        <v>139</v>
      </c>
      <c r="C85" s="3"/>
      <c r="D85" s="7" t="s">
        <v>26</v>
      </c>
      <c r="E85" s="5" t="s">
        <v>25</v>
      </c>
      <c r="F85" s="5" t="s">
        <v>25</v>
      </c>
    </row>
    <row r="86" spans="1:6" ht="19" thickBot="1" x14ac:dyDescent="0.5">
      <c r="A86" s="24" t="s">
        <v>140</v>
      </c>
      <c r="B86" s="25"/>
      <c r="C86" s="12"/>
      <c r="D86" s="11" t="s">
        <v>25</v>
      </c>
      <c r="E86" s="11" t="str">
        <f>IF(COUNTIFS($C$87:$C$88,"Yes",$E$87:$E$88,"High")&gt;0,"High",IF(COUNTIFS($C$87:$C$88,"Yes",$E$87:$E$88,"Moderate")&gt;0,"Moderate","Low"))</f>
        <v>Low</v>
      </c>
      <c r="F86" s="11" t="s">
        <v>25</v>
      </c>
    </row>
    <row r="87" spans="1:6" ht="16" thickTop="1" x14ac:dyDescent="0.35">
      <c r="B87" s="14" t="s">
        <v>141</v>
      </c>
      <c r="C87" s="3"/>
      <c r="D87" s="5" t="s">
        <v>25</v>
      </c>
      <c r="E87" s="7" t="s">
        <v>26</v>
      </c>
      <c r="F87" s="7" t="s">
        <v>25</v>
      </c>
    </row>
    <row r="88" spans="1:6" ht="15.5" x14ac:dyDescent="0.35">
      <c r="B88" s="14" t="s">
        <v>142</v>
      </c>
      <c r="C88" s="3"/>
      <c r="D88" s="7" t="s">
        <v>25</v>
      </c>
      <c r="E88" s="5" t="s">
        <v>25</v>
      </c>
      <c r="F88" s="5" t="s">
        <v>25</v>
      </c>
    </row>
    <row r="89" spans="1:6" ht="19" thickBot="1" x14ac:dyDescent="0.5">
      <c r="A89" s="24" t="s">
        <v>143</v>
      </c>
      <c r="B89" s="25"/>
      <c r="C89" s="12"/>
      <c r="D89" s="11" t="s">
        <v>25</v>
      </c>
      <c r="E89" s="11" t="str">
        <f>IF(COUNTIFS($C$90:$C$91,"Yes",$E$90:$E$91,"High")&gt;0,"High",IF(COUNTIFS($C$90:$C$91,"Yes",$E$90:$E$91,"Moderate")&gt;0,"Moderate","Low"))</f>
        <v>Low</v>
      </c>
      <c r="F89" s="11" t="s">
        <v>25</v>
      </c>
    </row>
    <row r="90" spans="1:6" ht="16" thickTop="1" x14ac:dyDescent="0.35">
      <c r="B90" s="15" t="s">
        <v>144</v>
      </c>
      <c r="C90" s="4"/>
      <c r="D90" s="5" t="s">
        <v>25</v>
      </c>
      <c r="E90" s="7" t="s">
        <v>26</v>
      </c>
      <c r="F90" s="7" t="s">
        <v>25</v>
      </c>
    </row>
    <row r="91" spans="1:6" ht="15.5" x14ac:dyDescent="0.35">
      <c r="B91" s="14" t="s">
        <v>145</v>
      </c>
      <c r="C91" s="3"/>
      <c r="D91" s="7" t="s">
        <v>25</v>
      </c>
      <c r="E91" s="5" t="s">
        <v>25</v>
      </c>
      <c r="F91" s="5" t="s">
        <v>25</v>
      </c>
    </row>
    <row r="92" spans="1:6" ht="19" thickBot="1" x14ac:dyDescent="0.5">
      <c r="A92" s="24" t="s">
        <v>146</v>
      </c>
      <c r="B92" s="25"/>
      <c r="C92" s="12"/>
      <c r="D92" s="11" t="s">
        <v>25</v>
      </c>
      <c r="E92" s="11" t="str">
        <f>IF(COUNTIFS($C$93:$C$96,"Yes",$E$93:$E$96,"High")&gt;0,"High",IF(COUNTIFS($C$93:$C$96,"Yes",$E$93:$E$96,"Moderate")&gt;0,"Moderate","Low"))</f>
        <v>Low</v>
      </c>
      <c r="F92" s="11" t="s">
        <v>25</v>
      </c>
    </row>
    <row r="93" spans="1:6" ht="16" thickTop="1" x14ac:dyDescent="0.35">
      <c r="B93" s="14" t="s">
        <v>147</v>
      </c>
      <c r="C93" s="3"/>
      <c r="D93" s="7" t="s">
        <v>25</v>
      </c>
      <c r="E93" s="5" t="s">
        <v>26</v>
      </c>
      <c r="F93" s="5" t="s">
        <v>25</v>
      </c>
    </row>
    <row r="94" spans="1:6" ht="15.5" x14ac:dyDescent="0.35">
      <c r="B94" s="14" t="s">
        <v>148</v>
      </c>
      <c r="C94" s="3"/>
      <c r="D94" s="7" t="s">
        <v>25</v>
      </c>
      <c r="E94" s="5" t="s">
        <v>25</v>
      </c>
      <c r="F94" s="5" t="s">
        <v>25</v>
      </c>
    </row>
    <row r="95" spans="1:6" ht="15.5" x14ac:dyDescent="0.35">
      <c r="B95" s="14" t="s">
        <v>149</v>
      </c>
      <c r="C95" s="3"/>
      <c r="D95" s="7" t="s">
        <v>25</v>
      </c>
      <c r="E95" s="5" t="s">
        <v>25</v>
      </c>
      <c r="F95" s="5" t="s">
        <v>25</v>
      </c>
    </row>
    <row r="96" spans="1:6" ht="15.5" x14ac:dyDescent="0.35">
      <c r="B96" s="14" t="s">
        <v>150</v>
      </c>
      <c r="C96" s="3"/>
      <c r="D96" s="7" t="s">
        <v>25</v>
      </c>
      <c r="E96" s="7" t="s">
        <v>25</v>
      </c>
      <c r="F96" s="7" t="s">
        <v>25</v>
      </c>
    </row>
    <row r="97" spans="1:6" ht="19" thickBot="1" x14ac:dyDescent="0.5">
      <c r="A97" s="24" t="s">
        <v>151</v>
      </c>
      <c r="B97" s="25"/>
      <c r="C97" s="12"/>
      <c r="D97" s="11" t="str">
        <f>IF(COUNTIFS($C$98:$C$100,"Yes",$D$98:$D$100,"High")&gt;0,"High",IF(COUNTIFS($C98:$C$100,"Yes",$D$98:$D$100,"Moderate")&gt;0,"Moderate","Low"))</f>
        <v>Low</v>
      </c>
      <c r="E97" s="11" t="str">
        <f>IF(COUNTIFS($C$98:$C$100,"Yes",$E$98:$E$100,"High")&gt;0,"High",IF(COUNTIFS($C$98:$C$100,"Yes",$E$98:$E$100,"Moderate")&gt;0,"Moderate","Low"))</f>
        <v>Low</v>
      </c>
      <c r="F97" s="11" t="str">
        <f>IF(COUNTIFS($C$98:$C$100,"Yes",$F$98:$F$100,"High")&gt;0,"High",IF(COUNTIFS($C$98:$C$100,"Yes",$F$98:$F$100,"Moderate")&gt;0,"Moderate","Low"))</f>
        <v>Low</v>
      </c>
    </row>
    <row r="98" spans="1:6" ht="16" thickTop="1" x14ac:dyDescent="0.35">
      <c r="B98" s="14" t="s">
        <v>152</v>
      </c>
      <c r="C98" s="3"/>
      <c r="D98" s="7" t="s">
        <v>26</v>
      </c>
      <c r="E98" s="5" t="s">
        <v>26</v>
      </c>
      <c r="F98" s="5" t="s">
        <v>25</v>
      </c>
    </row>
    <row r="99" spans="1:6" ht="15.5" x14ac:dyDescent="0.35">
      <c r="B99" s="14" t="s">
        <v>153</v>
      </c>
      <c r="C99" s="3"/>
      <c r="D99" s="5" t="s">
        <v>25</v>
      </c>
      <c r="E99" s="5" t="s">
        <v>25</v>
      </c>
      <c r="F99" s="5" t="s">
        <v>25</v>
      </c>
    </row>
    <row r="100" spans="1:6" ht="15.5" x14ac:dyDescent="0.35">
      <c r="B100" s="14" t="s">
        <v>154</v>
      </c>
      <c r="C100" s="3"/>
      <c r="D100" s="7" t="s">
        <v>25</v>
      </c>
      <c r="E100" s="5" t="s">
        <v>25</v>
      </c>
      <c r="F100" s="5" t="s">
        <v>25</v>
      </c>
    </row>
    <row r="101" spans="1:6" ht="19" thickBot="1" x14ac:dyDescent="0.5">
      <c r="A101" s="24" t="s">
        <v>155</v>
      </c>
      <c r="B101" s="25"/>
      <c r="C101" s="12"/>
      <c r="D101" s="11" t="s">
        <v>25</v>
      </c>
      <c r="E101" s="11" t="s">
        <v>25</v>
      </c>
      <c r="F101" s="11" t="s">
        <v>25</v>
      </c>
    </row>
    <row r="102" spans="1:6" ht="16" thickTop="1" x14ac:dyDescent="0.35">
      <c r="B102" s="14" t="s">
        <v>156</v>
      </c>
      <c r="C102" s="3"/>
      <c r="D102" s="5" t="s">
        <v>25</v>
      </c>
      <c r="E102" s="5" t="s">
        <v>25</v>
      </c>
      <c r="F102" s="5" t="s">
        <v>25</v>
      </c>
    </row>
    <row r="103" spans="1:6" ht="15.5" x14ac:dyDescent="0.35">
      <c r="B103" s="14" t="s">
        <v>157</v>
      </c>
      <c r="C103" s="3"/>
      <c r="D103" s="7" t="s">
        <v>25</v>
      </c>
      <c r="E103" s="5" t="s">
        <v>25</v>
      </c>
      <c r="F103" s="5" t="s">
        <v>25</v>
      </c>
    </row>
    <row r="104" spans="1:6" ht="15.5" x14ac:dyDescent="0.35">
      <c r="B104" s="14" t="s">
        <v>158</v>
      </c>
      <c r="C104" s="3"/>
      <c r="D104" s="7" t="s">
        <v>25</v>
      </c>
      <c r="E104" s="5" t="s">
        <v>25</v>
      </c>
      <c r="F104" s="7" t="s">
        <v>25</v>
      </c>
    </row>
    <row r="105" spans="1:6" ht="15.5" x14ac:dyDescent="0.35">
      <c r="B105" s="14" t="s">
        <v>159</v>
      </c>
      <c r="C105" s="3"/>
      <c r="D105" s="7" t="s">
        <v>25</v>
      </c>
      <c r="E105" s="7" t="s">
        <v>25</v>
      </c>
      <c r="F105" s="7" t="s">
        <v>25</v>
      </c>
    </row>
    <row r="106" spans="1:6" ht="19" thickBot="1" x14ac:dyDescent="0.5">
      <c r="A106" s="24" t="s">
        <v>160</v>
      </c>
      <c r="B106" s="25"/>
      <c r="C106" s="12"/>
      <c r="D106" s="11" t="str">
        <f>IF(COUNTIFS($C$107:$C$110,"Yes",$D$107:$D$110,"High")&gt;0,"High",IF(COUNTIFS($C107:$C$110,"Yes",$D$107:$D$110,"Moderate")&gt;0,"Moderate","Low"))</f>
        <v>Low</v>
      </c>
      <c r="E106" s="11" t="s">
        <v>25</v>
      </c>
      <c r="F106" s="11" t="s">
        <v>25</v>
      </c>
    </row>
    <row r="107" spans="1:6" ht="16" thickTop="1" x14ac:dyDescent="0.35">
      <c r="B107" s="14" t="s">
        <v>161</v>
      </c>
      <c r="C107" s="3"/>
      <c r="D107" s="7" t="s">
        <v>25</v>
      </c>
      <c r="E107" s="7" t="s">
        <v>25</v>
      </c>
      <c r="F107" s="5" t="s">
        <v>25</v>
      </c>
    </row>
    <row r="108" spans="1:6" ht="15.5" x14ac:dyDescent="0.35">
      <c r="B108" s="14" t="s">
        <v>162</v>
      </c>
      <c r="C108" s="3"/>
      <c r="D108" s="7" t="s">
        <v>25</v>
      </c>
      <c r="E108" s="7" t="s">
        <v>25</v>
      </c>
      <c r="F108" s="7" t="s">
        <v>25</v>
      </c>
    </row>
    <row r="109" spans="1:6" ht="15.5" x14ac:dyDescent="0.35">
      <c r="B109" s="14" t="s">
        <v>163</v>
      </c>
      <c r="C109" s="3"/>
      <c r="D109" s="7" t="s">
        <v>25</v>
      </c>
      <c r="E109" s="5" t="s">
        <v>25</v>
      </c>
      <c r="F109" s="5" t="s">
        <v>25</v>
      </c>
    </row>
    <row r="110" spans="1:6" ht="15.5" x14ac:dyDescent="0.35">
      <c r="B110" s="14" t="s">
        <v>164</v>
      </c>
      <c r="C110" s="3"/>
      <c r="D110" s="5" t="s">
        <v>26</v>
      </c>
      <c r="E110" s="5" t="s">
        <v>25</v>
      </c>
      <c r="F110" s="5" t="s">
        <v>25</v>
      </c>
    </row>
    <row r="111" spans="1:6" ht="19" thickBot="1" x14ac:dyDescent="0.5">
      <c r="A111" s="24" t="s">
        <v>165</v>
      </c>
      <c r="B111" s="25"/>
      <c r="C111" s="12"/>
      <c r="D111" s="11" t="s">
        <v>25</v>
      </c>
      <c r="E111" s="11" t="s">
        <v>25</v>
      </c>
      <c r="F111" s="11" t="s">
        <v>25</v>
      </c>
    </row>
    <row r="112" spans="1:6" ht="16" thickTop="1" x14ac:dyDescent="0.35">
      <c r="B112" s="14" t="s">
        <v>166</v>
      </c>
      <c r="C112" s="3"/>
      <c r="D112" s="7" t="s">
        <v>25</v>
      </c>
      <c r="E112" s="7" t="s">
        <v>25</v>
      </c>
      <c r="F112" s="5" t="s">
        <v>25</v>
      </c>
    </row>
    <row r="113" spans="1:6" ht="15.5" x14ac:dyDescent="0.35">
      <c r="B113" s="14" t="s">
        <v>167</v>
      </c>
      <c r="C113" s="3"/>
      <c r="D113" s="7" t="s">
        <v>25</v>
      </c>
      <c r="E113" s="5" t="s">
        <v>25</v>
      </c>
      <c r="F113" s="5" t="s">
        <v>25</v>
      </c>
    </row>
    <row r="114" spans="1:6" ht="15.5" x14ac:dyDescent="0.35">
      <c r="B114" s="14" t="s">
        <v>168</v>
      </c>
      <c r="C114" s="3"/>
      <c r="D114" s="7" t="s">
        <v>25</v>
      </c>
      <c r="E114" s="5" t="s">
        <v>25</v>
      </c>
      <c r="F114" s="7" t="s">
        <v>25</v>
      </c>
    </row>
    <row r="115" spans="1:6" ht="19" thickBot="1" x14ac:dyDescent="0.5">
      <c r="A115" s="24" t="s">
        <v>169</v>
      </c>
      <c r="B115" s="25"/>
      <c r="C115" s="12"/>
      <c r="D115" s="11" t="s">
        <v>25</v>
      </c>
      <c r="E115" s="11" t="s">
        <v>25</v>
      </c>
      <c r="F115" s="11" t="s">
        <v>25</v>
      </c>
    </row>
    <row r="116" spans="1:6" ht="16" thickTop="1" x14ac:dyDescent="0.35">
      <c r="B116" s="14" t="s">
        <v>170</v>
      </c>
      <c r="C116" s="3"/>
      <c r="D116" s="7" t="s">
        <v>25</v>
      </c>
      <c r="E116" s="5" t="s">
        <v>25</v>
      </c>
      <c r="F116" s="5" t="s">
        <v>25</v>
      </c>
    </row>
    <row r="117" spans="1:6" ht="15.5" x14ac:dyDescent="0.35">
      <c r="B117" s="14" t="s">
        <v>171</v>
      </c>
      <c r="C117" s="3"/>
      <c r="D117" s="7" t="s">
        <v>25</v>
      </c>
      <c r="E117" s="5" t="s">
        <v>25</v>
      </c>
      <c r="F117" s="5" t="s">
        <v>25</v>
      </c>
    </row>
    <row r="118" spans="1:6" ht="15.5" x14ac:dyDescent="0.35">
      <c r="B118" s="14" t="s">
        <v>172</v>
      </c>
      <c r="C118" s="3"/>
      <c r="D118" s="7" t="s">
        <v>25</v>
      </c>
      <c r="E118" s="5" t="s">
        <v>25</v>
      </c>
      <c r="F118" s="5" t="s">
        <v>25</v>
      </c>
    </row>
    <row r="119" spans="1:6" ht="15.5" x14ac:dyDescent="0.35">
      <c r="B119" s="14" t="s">
        <v>173</v>
      </c>
      <c r="C119" s="3"/>
      <c r="D119" s="5" t="s">
        <v>25</v>
      </c>
      <c r="E119" s="5" t="s">
        <v>25</v>
      </c>
      <c r="F119" s="5" t="s">
        <v>25</v>
      </c>
    </row>
    <row r="120" spans="1:6" ht="19" thickBot="1" x14ac:dyDescent="0.5">
      <c r="A120" s="24" t="s">
        <v>174</v>
      </c>
      <c r="B120" s="25"/>
      <c r="C120" s="12"/>
      <c r="D120" s="11" t="s">
        <v>175</v>
      </c>
      <c r="E120" s="11" t="s">
        <v>175</v>
      </c>
      <c r="F120" s="11" t="s">
        <v>175</v>
      </c>
    </row>
    <row r="121" spans="1:6" ht="16" thickTop="1" x14ac:dyDescent="0.35">
      <c r="B121" s="14" t="s">
        <v>176</v>
      </c>
      <c r="C121" s="3"/>
      <c r="D121" s="5" t="s">
        <v>175</v>
      </c>
      <c r="E121" s="5" t="s">
        <v>175</v>
      </c>
      <c r="F121" s="5" t="s">
        <v>175</v>
      </c>
    </row>
    <row r="122" spans="1:6" ht="15.5" x14ac:dyDescent="0.35">
      <c r="B122" s="14" t="s">
        <v>177</v>
      </c>
      <c r="C122" s="3"/>
      <c r="D122" s="5" t="s">
        <v>175</v>
      </c>
      <c r="E122" s="5" t="s">
        <v>175</v>
      </c>
      <c r="F122" s="5" t="s">
        <v>175</v>
      </c>
    </row>
    <row r="157" ht="12.75" customHeight="1" x14ac:dyDescent="0.35"/>
    <row r="175" ht="12" customHeight="1" x14ac:dyDescent="0.35"/>
  </sheetData>
  <protectedRanges>
    <protectedRange sqref="C5:C122" name="Range2"/>
    <protectedRange sqref="C5:C122" name="Range1"/>
  </protectedRanges>
  <dataConsolidate>
    <dataRefs count="1">
      <dataRef ref="B4:D119" sheet="Mission Types"/>
    </dataRefs>
  </dataConsolidate>
  <mergeCells count="30">
    <mergeCell ref="A40:B40"/>
    <mergeCell ref="A45:B45"/>
    <mergeCell ref="A50:B50"/>
    <mergeCell ref="A55:B55"/>
    <mergeCell ref="A17:B17"/>
    <mergeCell ref="A21:B21"/>
    <mergeCell ref="A26:B26"/>
    <mergeCell ref="A31:B31"/>
    <mergeCell ref="A35:B35"/>
    <mergeCell ref="H1:K1"/>
    <mergeCell ref="H3:K3"/>
    <mergeCell ref="A5:B5"/>
    <mergeCell ref="A6:B6"/>
    <mergeCell ref="A11:B11"/>
    <mergeCell ref="A111:B111"/>
    <mergeCell ref="A115:B115"/>
    <mergeCell ref="A120:B120"/>
    <mergeCell ref="H2:K2"/>
    <mergeCell ref="A89:B89"/>
    <mergeCell ref="A92:B92"/>
    <mergeCell ref="A97:B97"/>
    <mergeCell ref="A101:B101"/>
    <mergeCell ref="A106:B106"/>
    <mergeCell ref="A59:B59"/>
    <mergeCell ref="A65:B65"/>
    <mergeCell ref="A71:B71"/>
    <mergeCell ref="A80:B80"/>
    <mergeCell ref="A86:B86"/>
    <mergeCell ref="A4:B4"/>
    <mergeCell ref="A12:B12"/>
  </mergeCells>
  <conditionalFormatting sqref="B1:B2">
    <cfRule type="containsText" dxfId="0" priority="1" operator="containsText" text="%#">
      <formula>NOT(ISERROR(SEARCH("%#",B1)))</formula>
    </cfRule>
  </conditionalFormatting>
  <dataValidations count="1">
    <dataValidation type="list" allowBlank="1" showInputMessage="1" showErrorMessage="1" sqref="C13:C16 C18:C20 C22:C25 C27:C30 C32:C34 C36:C39 C41:C44 C46:C49 C51:C54 C56:C58 C60:C64 C66:C70 C72:C79 C81:C85 C87:C88 C90:C91 C93:C96 C98:C100 C102:C105 C107:C110 C112:C114 C116:C119 C121:C122 C7:C11" xr:uid="{00000000-0002-0000-0100-000000000000}">
      <formula1>"Yes, No"</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b083741-5b55-4943-922b-9b161b90f552">
      <Terms xmlns="http://schemas.microsoft.com/office/infopath/2007/PartnerControls"/>
    </lcf76f155ced4ddcb4097134ff3c332f>
    <TaxCatchAll xmlns="211893bd-b47d-4d7e-af38-a32c15d6a178" xsi:nil="true"/>
    <Keep xmlns="1b083741-5b55-4943-922b-9b161b90f552">true</Keep>
    <Move_x0020_To xmlns="1b083741-5b55-4943-922b-9b161b90f552" xsi:nil="true"/>
    <GeneratedBy xmlns="1b083741-5b55-4943-922b-9b161b90f552">User</GeneratedBy>
    <IM_x002d_Comments xmlns="1b083741-5b55-4943-922b-9b161b90f552" xsi:nil="true"/>
    <Tag xmlns="1b083741-5b55-4943-922b-9b161b90f552" xsi:nil="true"/>
    <URL xmlns="1b083741-5b55-4943-922b-9b161b90f552">
      <Url xsi:nil="true"/>
      <Description xsi:nil="true"/>
    </URL>
    <Intended_x002d_Use xmlns="1b083741-5b55-4943-922b-9b161b90f55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E502846CC4074FBF580B7AB5A8104A" ma:contentTypeVersion="23" ma:contentTypeDescription="Create a new document." ma:contentTypeScope="" ma:versionID="d5b443b17d55fde38b776c05dcf58eff">
  <xsd:schema xmlns:xsd="http://www.w3.org/2001/XMLSchema" xmlns:xs="http://www.w3.org/2001/XMLSchema" xmlns:p="http://schemas.microsoft.com/office/2006/metadata/properties" xmlns:ns2="1b083741-5b55-4943-922b-9b161b90f552" xmlns:ns3="211893bd-b47d-4d7e-af38-a32c15d6a178" targetNamespace="http://schemas.microsoft.com/office/2006/metadata/properties" ma:root="true" ma:fieldsID="18296816bcfb95598d40c35e520989a3" ns2:_="" ns3:_="">
    <xsd:import namespace="1b083741-5b55-4943-922b-9b161b90f552"/>
    <xsd:import namespace="211893bd-b47d-4d7e-af38-a32c15d6a17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Keep" minOccurs="0"/>
                <xsd:element ref="ns2:Move_x0020_To" minOccurs="0"/>
                <xsd:element ref="ns2:IM_x002d_Comments" minOccurs="0"/>
                <xsd:element ref="ns2:GeneratedBy" minOccurs="0"/>
                <xsd:element ref="ns2:Tag" minOccurs="0"/>
                <xsd:element ref="ns2:Intended_x002d_Use" minOccurs="0"/>
                <xsd:element ref="ns2:UR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083741-5b55-4943-922b-9b161b90f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Keep" ma:index="21" nillable="true" ma:displayName="Keep" ma:default="1" ma:internalName="Keep">
      <xsd:simpleType>
        <xsd:restriction base="dms:Boolean"/>
      </xsd:simpleType>
    </xsd:element>
    <xsd:element name="Move_x0020_To" ma:index="22" nillable="true" ma:displayName="Move To" ma:description="Enter lib or list to move to or simply delete as doc is a &quot;one time or not-popular&quot; doc" ma:internalName="Move_x0020_To">
      <xsd:simpleType>
        <xsd:restriction base="dms:Text">
          <xsd:maxLength value="255"/>
        </xsd:restriction>
      </xsd:simpleType>
    </xsd:element>
    <xsd:element name="IM_x002d_Comments" ma:index="23" nillable="true" ma:displayName="IM-Comments" ma:internalName="IM_x002d_Comments">
      <xsd:simpleType>
        <xsd:restriction base="dms:Text">
          <xsd:maxLength value="255"/>
        </xsd:restriction>
      </xsd:simpleType>
    </xsd:element>
    <xsd:element name="GeneratedBy" ma:index="24" nillable="true" ma:displayName="GeneratedBy" ma:description="CY or User Generated?" ma:format="Dropdown" ma:internalName="GeneratedBy">
      <xsd:simpleType>
        <xsd:union memberTypes="dms:Text">
          <xsd:simpleType>
            <xsd:restriction base="dms:Choice">
              <xsd:enumeration value="CY"/>
              <xsd:enumeration value="User"/>
              <xsd:enumeration value="Choice 3"/>
            </xsd:restriction>
          </xsd:simpleType>
        </xsd:union>
      </xsd:simpleType>
    </xsd:element>
    <xsd:element name="Tag" ma:index="25" nillable="true" ma:displayName="Tag" ma:description="Helps to sort/ filter documents" ma:internalName="Tag">
      <xsd:simpleType>
        <xsd:restriction base="dms:Text">
          <xsd:maxLength value="25"/>
        </xsd:restriction>
      </xsd:simpleType>
    </xsd:element>
    <xsd:element name="Intended_x002d_Use" ma:index="26" nillable="true" ma:displayName="Intended-Use" ma:format="Dropdown" ma:internalName="Intended_x002d_Use">
      <xsd:simpleType>
        <xsd:restriction base="dms:Choice">
          <xsd:enumeration value="Authority-To-Operate-Or-Connect"/>
          <xsd:enumeration value="Hardware-Supporting-Docs"/>
          <xsd:enumeration value="Software-Supporting-Docs"/>
          <xsd:enumeration value="Policy &amp; Guidance"/>
          <xsd:enumeration value="Training &amp; Education"/>
        </xsd:restriction>
      </xsd:simpleType>
    </xsd:element>
    <xsd:element name="URL" ma:index="27" nillable="true" ma:displayName="URL" ma:description="If document is stored elsewhere, list here." ma:format="Hyperlink" ma:internalName="URL">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1893bd-b47d-4d7e-af38-a32c15d6a17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f4ac68f-d341-4f33-b758-5a510aee1da2}" ma:internalName="TaxCatchAll" ma:showField="CatchAllData" ma:web="211893bd-b47d-4d7e-af38-a32c15d6a1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33B16E-1142-4CDF-973A-26A0B3A44380}">
  <ds:schemaRefs>
    <ds:schemaRef ds:uri="http://schemas.microsoft.com/office/2006/metadata/properties"/>
    <ds:schemaRef ds:uri="http://schemas.microsoft.com/office/infopath/2007/PartnerControls"/>
    <ds:schemaRef ds:uri="1b083741-5b55-4943-922b-9b161b90f552"/>
    <ds:schemaRef ds:uri="211893bd-b47d-4d7e-af38-a32c15d6a178"/>
  </ds:schemaRefs>
</ds:datastoreItem>
</file>

<file path=customXml/itemProps2.xml><?xml version="1.0" encoding="utf-8"?>
<ds:datastoreItem xmlns:ds="http://schemas.openxmlformats.org/officeDocument/2006/customXml" ds:itemID="{2A098B91-6766-4B94-91BE-18858E563068}">
  <ds:schemaRefs>
    <ds:schemaRef ds:uri="http://schemas.microsoft.com/sharepoint/v3/contenttype/forms"/>
  </ds:schemaRefs>
</ds:datastoreItem>
</file>

<file path=customXml/itemProps3.xml><?xml version="1.0" encoding="utf-8"?>
<ds:datastoreItem xmlns:ds="http://schemas.openxmlformats.org/officeDocument/2006/customXml" ds:itemID="{E9B97D42-DB44-4F9B-A10D-DFAA41DAC7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083741-5b55-4943-922b-9b161b90f552"/>
    <ds:schemaRef ds:uri="211893bd-b47d-4d7e-af38-a32c15d6a1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Step 1 - Instructions</vt:lpstr>
      <vt:lpstr>Mission Types</vt:lpstr>
    </vt:vector>
  </TitlesOfParts>
  <Manager/>
  <Company>USMC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Griffin CTR Cody R.</dc:creator>
  <cp:keywords/>
  <dc:description/>
  <cp:lastModifiedBy>Baptiste, Joanelle [US-US]</cp:lastModifiedBy>
  <cp:revision/>
  <dcterms:created xsi:type="dcterms:W3CDTF">2017-08-23T13:25:49Z</dcterms:created>
  <dcterms:modified xsi:type="dcterms:W3CDTF">2025-01-17T21:35:19Z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0x01010023E502846CC4074FBF580B7AB5A8104A</vt:lpwstr>
  </property>
  <property fmtid="{D5CDD505-2E9C-101B-9397-08002B2CF9AE}" pid="3" name="MediaServiceImageTags">
    <vt:lpwstr/>
  </property>
  <property fmtid="{D5CDD505-2E9C-101B-9397-08002B2CF9AE}" pid="4" name="MSIP_Label_f6d9267f-51c3-48a8-8f26-940622cc44f1_Enabled">
    <vt:lpwstr>true</vt:lpwstr>
  </property>
  <property fmtid="{D5CDD505-2E9C-101B-9397-08002B2CF9AE}" pid="5" name="MSIP_Label_f6d9267f-51c3-48a8-8f26-940622cc44f1_SetDate">
    <vt:lpwstr>2024-05-15T23:47:08Z</vt:lpwstr>
  </property>
  <property fmtid="{D5CDD505-2E9C-101B-9397-08002B2CF9AE}" pid="6" name="MSIP_Label_f6d9267f-51c3-48a8-8f26-940622cc44f1_Method">
    <vt:lpwstr>Privileged</vt:lpwstr>
  </property>
  <property fmtid="{D5CDD505-2E9C-101B-9397-08002B2CF9AE}" pid="7" name="MSIP_Label_f6d9267f-51c3-48a8-8f26-940622cc44f1_Name">
    <vt:lpwstr>General Business</vt:lpwstr>
  </property>
  <property fmtid="{D5CDD505-2E9C-101B-9397-08002B2CF9AE}" pid="8" name="MSIP_Label_f6d9267f-51c3-48a8-8f26-940622cc44f1_SiteId">
    <vt:lpwstr>5d8b83ea-b573-4f09-a2a9-c904b7a56ece</vt:lpwstr>
  </property>
  <property fmtid="{D5CDD505-2E9C-101B-9397-08002B2CF9AE}" pid="9" name="MSIP_Label_f6d9267f-51c3-48a8-8f26-940622cc44f1_ActionId">
    <vt:lpwstr>3ebe77af-2e7c-4317-a43a-edd201a88d78</vt:lpwstr>
  </property>
  <property fmtid="{D5CDD505-2E9C-101B-9397-08002B2CF9AE}" pid="10" name="MSIP_Label_f6d9267f-51c3-48a8-8f26-940622cc44f1_ContentBits">
    <vt:lpwstr>0</vt:lpwstr>
  </property>
</Properties>
</file>